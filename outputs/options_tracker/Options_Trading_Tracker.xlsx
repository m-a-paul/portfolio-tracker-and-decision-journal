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Options Positions" sheetId="4" state="visible" r:id="rId4"/>
    <sheet xmlns:r="http://schemas.openxmlformats.org/officeDocument/2006/relationships" name="Revenue Tracker" sheetId="5" state="visible" r:id="rId5"/>
    <sheet xmlns:r="http://schemas.openxmlformats.org/officeDocument/2006/relationships" name="Portfolio" sheetId="6" state="visible" r:id="rId6"/>
    <sheet xmlns:r="http://schemas.openxmlformats.org/officeDocument/2006/relationships" name="Trade Ideas" sheetId="7" state="visible" r:id="rId7"/>
    <sheet xmlns:r="http://schemas.openxmlformats.org/officeDocument/2006/relationships" name="Checks" sheetId="8" state="visible" r:id="rId8"/>
    <sheet xmlns:r="http://schemas.openxmlformats.org/officeDocument/2006/relationships" name="Lists" sheetId="9" state="hidden" r:id="rId9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yyyy-mm-dd"/>
    <numFmt numFmtId="166" formatCode="$0.00"/>
    <numFmt numFmtId="167" formatCode="$#,##0;[Red]($#,##0);-"/>
    <numFmt numFmtId="168" formatCode="0.0%;[Red](0.0%);-"/>
    <numFmt numFmtId="169" formatCode="mmm yyyy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95959"/>
    </font>
    <font>
      <b val="1"/>
      <color rgb="00FFFFFF"/>
    </font>
    <font>
      <color rgb="000000FF"/>
    </font>
    <font>
      <b val="1"/>
      <color rgb="00595959"/>
    </font>
    <font>
      <b val="1"/>
      <sz val="13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top style="medium">
        <color rgb="001F4E78"/>
      </top>
      <bottom style="medium">
        <color rgb="001F4E78"/>
      </bottom>
    </border>
    <border>
      <bottom style="medium">
        <color rgb="001F4E7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top" wrapText="1"/>
    </xf>
    <xf numFmtId="0" fontId="5" fillId="3" borderId="0" pivotButton="0" quotePrefix="0" xfId="0"/>
    <xf numFmtId="167" fontId="6" fillId="5" borderId="3" pivotButton="0" quotePrefix="0" xfId="0"/>
    <xf numFmtId="3" fontId="6" fillId="5" borderId="3" pivotButton="0" quotePrefix="0" xfId="0"/>
    <xf numFmtId="0" fontId="3" fillId="2" borderId="0" pivotButton="0" quotePrefix="0" xfId="0"/>
    <xf numFmtId="169" fontId="3" fillId="2" borderId="2" applyAlignment="1" pivotButton="0" quotePrefix="0" xfId="0">
      <alignment horizontal="center" vertical="center" wrapText="1"/>
    </xf>
    <xf numFmtId="167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169" fontId="0" fillId="0" borderId="1" applyAlignment="1" pivotButton="0" quotePrefix="0" xfId="0">
      <alignment vertical="center"/>
    </xf>
    <xf numFmtId="167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center"/>
    </xf>
    <xf numFmtId="165" fontId="4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6" fontId="4" fillId="0" borderId="1" applyAlignment="1" pivotButton="0" quotePrefix="0" xfId="0">
      <alignment vertical="center"/>
    </xf>
    <xf numFmtId="167" fontId="4" fillId="0" borderId="1" applyAlignment="1" pivotButton="0" quotePrefix="0" xfId="0">
      <alignment vertical="center"/>
    </xf>
    <xf numFmtId="168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167" fontId="0" fillId="0" borderId="0" pivotButton="0" quotePrefix="0" xfId="0"/>
    <xf numFmtId="3" fontId="0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Realized P/L by Bucket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'Revenue Tracker'!B4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'Revenue Tracker'!$A$5:$A$28</f>
            </numRef>
          </cat>
          <val>
            <numRef>
              <f>'Revenue Tracker'!$B$5:$B$28</f>
            </numRef>
          </val>
        </ser>
        <ser>
          <idx val="1"/>
          <order val="1"/>
          <tx>
            <strRef>
              <f>'Revenue Tracker'!C4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'Revenue Tracker'!$A$5:$A$28</f>
            </numRef>
          </cat>
          <val>
            <numRef>
              <f>'Revenue Tracker'!$C$5:$C$28</f>
            </numRef>
          </val>
        </ser>
        <ser>
          <idx val="2"/>
          <order val="2"/>
          <tx>
            <strRef>
              <f>'Revenue Tracker'!D4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'Revenue Tracker'!$A$5:$A$28</f>
            </numRef>
          </cat>
          <val>
            <numRef>
              <f>'Revenue Tracker'!$D$5:$D$28</f>
            </numRef>
          </val>
        </ser>
        <ser>
          <idx val="3"/>
          <order val="3"/>
          <tx>
            <strRef>
              <f>'Revenue Tracker'!E4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'Revenue Tracker'!$A$5:$A$28</f>
            </numRef>
          </cat>
          <val>
            <numRef>
              <f>'Revenue Tracker'!$E$5:$E$28</f>
            </numRef>
          </val>
        </ser>
        <ser>
          <idx val="4"/>
          <order val="4"/>
          <tx>
            <strRef>
              <f>'Revenue Tracker'!F4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'Revenue Tracker'!$A$5:$A$28</f>
            </numRef>
          </cat>
          <val>
            <numRef>
              <f>'Revenue Tracker'!$F$5:$F$28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Realized P/L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Portfolio Weight</a:t>
            </a:r>
          </a:p>
        </rich>
      </tx>
    </title>
    <plotArea>
      <pieChart>
        <varyColors val="1"/>
        <ser>
          <idx val="0"/>
          <order val="0"/>
          <tx>
            <strRef>
              <f>'Portfolio'!E4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'Portfolio'!$A$5:$A$17</f>
            </numRef>
          </cat>
          <val>
            <numRef>
              <f>'Portfolio'!$E$5:$E$17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3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radeLog" displayName="TradeLog" ref="A4:W1004" headerRowCount="1">
  <autoFilter ref="A4:W1004"/>
  <tableColumns count="23">
    <tableColumn id="1" name="Trade ID"/>
    <tableColumn id="2" name="Strategy"/>
    <tableColumn id="3" name="Status"/>
    <tableColumn id="4" name="Open Date"/>
    <tableColumn id="5" name="Close Date"/>
    <tableColumn id="6" name="Realization Month"/>
    <tableColumn id="7" name="Ticker"/>
    <tableColumn id="8" name="Asset"/>
    <tableColumn id="9" name="Action"/>
    <tableColumn id="10" name="Option Type"/>
    <tableColumn id="11" name="Strike"/>
    <tableColumn id="12" name="Expiration"/>
    <tableColumn id="13" name="Qty"/>
    <tableColumn id="14" name="Entry Price"/>
    <tableColumn id="15" name="Exit/Close Price"/>
    <tableColumn id="16" name="Fees"/>
    <tableColumn id="17" name="Trade P/L / Cash Flow"/>
    <tableColumn id="18" name="Realized P/L"/>
    <tableColumn id="19" name="Revenue Category"/>
    <tableColumn id="20" name="Collateral / Notional"/>
    <tableColumn id="21" name="Annualized Return"/>
    <tableColumn id="22" name="Notes"/>
    <tableColumn id="23" name="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urrentOptions" displayName="CurrentOptions" ref="A4:R26" headerRowCount="1">
  <autoFilter ref="A4:R26"/>
  <tableColumns count="18">
    <tableColumn id="1" name="Ticker"/>
    <tableColumn id="2" name="Structure"/>
    <tableColumn id="3" name="Long/Short"/>
    <tableColumn id="4" name="Contracts / Qty"/>
    <tableColumn id="5" name="Option Type"/>
    <tableColumn id="6" name="Strike / Lower Strike"/>
    <tableColumn id="7" name="Upper Strike"/>
    <tableColumn id="8" name="Expiration"/>
    <tableColumn id="9" name="Open Date"/>
    <tableColumn id="10" name="Avg Credit / Cost"/>
    <tableColumn id="11" name="Current Price"/>
    <tableColumn id="12" name="Original Premium / Cost"/>
    <tableColumn id="13" name="Current Market Value"/>
    <tableColumn id="14" name="Unrealized P/L"/>
    <tableColumn id="15" name="Cash-Secured Obligation"/>
    <tableColumn id="16" name="Covered Shares Used"/>
    <tableColumn id="17" name="Notes"/>
    <tableColumn id="18" name="Sour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onthlyRevenue" displayName="MonthlyRevenue" ref="A4:I28" headerRowCount="1">
  <autoFilter ref="A4:I28"/>
  <tableColumns count="9">
    <tableColumn id="1" name="Month"/>
    <tableColumn id="2" name="Covered Call Premium"/>
    <tableColumn id="3" name="Cash Secured Put Premium"/>
    <tableColumn id="4" name="Long Call/Put P/L"/>
    <tableColumn id="5" name="Stock Sales"/>
    <tableColumn id="6" name="Other"/>
    <tableColumn id="7" name="Total Realized P/L"/>
    <tableColumn id="8" name="Trade Count"/>
    <tableColumn id="9" name="Avg P/L / Trad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ortfolioPositions" displayName="PortfolioPositions" ref="A4:N154" headerRowCount="1">
  <autoFilter ref="A4:N154"/>
  <tableColumns count="14">
    <tableColumn id="1" name="Ticker"/>
    <tableColumn id="2" name="Shares"/>
    <tableColumn id="3" name="Current Price"/>
    <tableColumn id="4" name="Avg Cost"/>
    <tableColumn id="5" name="Market Value"/>
    <tableColumn id="6" name="Cost Basis"/>
    <tableColumn id="7" name="Unrealized P/L"/>
    <tableColumn id="8" name="Weight"/>
    <tableColumn id="9" name="Open CC Contracts"/>
    <tableColumn id="10" name="Open CSP Contracts"/>
    <tableColumn id="11" name="Cash Secured Obligation"/>
    <tableColumn id="12" name="Covered Shares"/>
    <tableColumn id="13" name="Coverage %"/>
    <tableColumn id="14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radeIdeas" displayName="TradeIdeas" ref="A4:O204" headerRowCount="1">
  <autoFilter ref="A4:O204"/>
  <tableColumns count="15">
    <tableColumn id="1" name="Idea ID"/>
    <tableColumn id="2" name="Date"/>
    <tableColumn id="3" name="Ticker"/>
    <tableColumn id="4" name="Market View"/>
    <tableColumn id="5" name="Setup / Strategy"/>
    <tableColumn id="6" name="Legs"/>
    <tableColumn id="7" name="Net Credit / Debit"/>
    <tableColumn id="8" name="Max Profit"/>
    <tableColumn id="9" name="Max Loss"/>
    <tableColumn id="10" name="Breakeven"/>
    <tableColumn id="11" name="Target"/>
    <tableColumn id="12" name="Status"/>
    <tableColumn id="13" name="Outcome P/L"/>
    <tableColumn id="14" name="Lesson / Preference"/>
    <tableColumn id="15" name="Link to Trade 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3.xml" Id="rId2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4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7" customWidth="1" min="3" max="3"/>
    <col width="15" customWidth="1" min="4" max="4"/>
    <col width="14" customWidth="1" min="5" max="5"/>
    <col width="12" customWidth="1" min="6" max="6"/>
    <col width="15" customWidth="1" min="7" max="7"/>
    <col width="12" customWidth="1" min="8" max="8"/>
    <col width="14" customWidth="1" min="9" max="9"/>
  </cols>
  <sheetData>
    <row r="1" ht="28" customHeight="1">
      <c r="A1" s="1" t="inlineStr">
        <is>
          <t>Options Income Dashboard</t>
        </is>
      </c>
    </row>
    <row r="2" ht="34" customHeight="1">
      <c r="A2" s="2" t="inlineStr">
        <is>
          <t>High-level view across realized P/L, strategy buckets, current portfolio weight, and open option exposure.</t>
        </is>
      </c>
    </row>
    <row r="4">
      <c r="A4" s="3" t="inlineStr">
        <is>
          <t>YTD Realized P/L</t>
        </is>
      </c>
      <c r="B4" s="4">
        <f>SUM('Trade Log'!$R$5:$R$1004)</f>
        <v/>
      </c>
      <c r="D4" s="3" t="inlineStr">
        <is>
          <t>Avg Monthly P/L</t>
        </is>
      </c>
      <c r="E4" s="4">
        <f>IFERROR(AVERAGEIF('Revenue Tracker'!$G$5:$G$28,"&lt;&gt;0",'Revenue Tracker'!$G$5:$G$28),0)</f>
        <v/>
      </c>
      <c r="G4" s="3" t="inlineStr">
        <is>
          <t>Portfolio Value</t>
        </is>
      </c>
      <c r="H4" s="4">
        <f>SUM(Portfolio!$E$5:$E$154)</f>
        <v/>
      </c>
    </row>
    <row r="7">
      <c r="A7" s="3" t="inlineStr">
        <is>
          <t>Open CSP Collateral</t>
        </is>
      </c>
      <c r="B7" s="4">
        <f>SUMIFS('Trade Log'!$T$5:$T$1004,'Trade Log'!$B$5:$B$1004,"Cash Secured Put",'Trade Log'!$C$5:$C$1004,"Open")</f>
        <v/>
      </c>
      <c r="D7" s="3" t="inlineStr">
        <is>
          <t>Open CC Contracts</t>
        </is>
      </c>
      <c r="E7" s="5">
        <f>SUMIFS('Trade Log'!$M$5:$M$1004,'Trade Log'!$B$5:$B$1004,"Covered Call",'Trade Log'!$C$5:$C$1004,"Open")</f>
        <v/>
      </c>
      <c r="G7" s="3" t="inlineStr">
        <is>
          <t>Closed Trade Count</t>
        </is>
      </c>
      <c r="H7" s="5">
        <f>COUNTIF('Trade Log'!$C$5:$C$1004,"Closed")</f>
        <v/>
      </c>
    </row>
    <row r="11">
      <c r="A11" s="6" t="inlineStr">
        <is>
          <t>Recent Monthly Performance</t>
        </is>
      </c>
    </row>
    <row r="12">
      <c r="A12" s="7">
        <f>'Revenue Tracker'!A5</f>
        <v/>
      </c>
      <c r="B12" s="8">
        <f>'Revenue Tracker'!B5</f>
        <v/>
      </c>
      <c r="C12" s="8">
        <f>'Revenue Tracker'!C5</f>
        <v/>
      </c>
      <c r="D12" s="8">
        <f>'Revenue Tracker'!D5</f>
        <v/>
      </c>
      <c r="E12" s="8">
        <f>'Revenue Tracker'!E5</f>
        <v/>
      </c>
      <c r="F12" s="8">
        <f>'Revenue Tracker'!F5</f>
        <v/>
      </c>
      <c r="G12" s="8">
        <f>'Revenue Tracker'!G5</f>
        <v/>
      </c>
      <c r="H12" s="9">
        <f>'Revenue Tracker'!H5</f>
        <v/>
      </c>
      <c r="I12" s="8">
        <f>'Revenue Tracker'!I5</f>
        <v/>
      </c>
    </row>
    <row r="13">
      <c r="A13" s="10">
        <f>'Revenue Tracker'!A6</f>
        <v/>
      </c>
      <c r="B13" s="11">
        <f>'Revenue Tracker'!B6</f>
        <v/>
      </c>
      <c r="C13" s="11">
        <f>'Revenue Tracker'!C6</f>
        <v/>
      </c>
      <c r="D13" s="11">
        <f>'Revenue Tracker'!D6</f>
        <v/>
      </c>
      <c r="E13" s="11">
        <f>'Revenue Tracker'!E6</f>
        <v/>
      </c>
      <c r="F13" s="11">
        <f>'Revenue Tracker'!F6</f>
        <v/>
      </c>
      <c r="G13" s="11">
        <f>'Revenue Tracker'!G6</f>
        <v/>
      </c>
      <c r="H13" s="12">
        <f>'Revenue Tracker'!H6</f>
        <v/>
      </c>
      <c r="I13" s="11">
        <f>'Revenue Tracker'!I6</f>
        <v/>
      </c>
    </row>
    <row r="14">
      <c r="A14" s="10">
        <f>'Revenue Tracker'!A7</f>
        <v/>
      </c>
      <c r="B14" s="11">
        <f>'Revenue Tracker'!B7</f>
        <v/>
      </c>
      <c r="C14" s="11">
        <f>'Revenue Tracker'!C7</f>
        <v/>
      </c>
      <c r="D14" s="11">
        <f>'Revenue Tracker'!D7</f>
        <v/>
      </c>
      <c r="E14" s="11">
        <f>'Revenue Tracker'!E7</f>
        <v/>
      </c>
      <c r="F14" s="11">
        <f>'Revenue Tracker'!F7</f>
        <v/>
      </c>
      <c r="G14" s="11">
        <f>'Revenue Tracker'!G7</f>
        <v/>
      </c>
      <c r="H14" s="12">
        <f>'Revenue Tracker'!H7</f>
        <v/>
      </c>
      <c r="I14" s="11">
        <f>'Revenue Tracker'!I7</f>
        <v/>
      </c>
    </row>
    <row r="15">
      <c r="A15" s="10">
        <f>'Revenue Tracker'!A8</f>
        <v/>
      </c>
      <c r="B15" s="11">
        <f>'Revenue Tracker'!B8</f>
        <v/>
      </c>
      <c r="C15" s="11">
        <f>'Revenue Tracker'!C8</f>
        <v/>
      </c>
      <c r="D15" s="11">
        <f>'Revenue Tracker'!D8</f>
        <v/>
      </c>
      <c r="E15" s="11">
        <f>'Revenue Tracker'!E8</f>
        <v/>
      </c>
      <c r="F15" s="11">
        <f>'Revenue Tracker'!F8</f>
        <v/>
      </c>
      <c r="G15" s="11">
        <f>'Revenue Tracker'!G8</f>
        <v/>
      </c>
      <c r="H15" s="12">
        <f>'Revenue Tracker'!H8</f>
        <v/>
      </c>
      <c r="I15" s="11">
        <f>'Revenue Tracker'!I8</f>
        <v/>
      </c>
    </row>
    <row r="16">
      <c r="A16" s="10">
        <f>'Revenue Tracker'!A9</f>
        <v/>
      </c>
      <c r="B16" s="11">
        <f>'Revenue Tracker'!B9</f>
        <v/>
      </c>
      <c r="C16" s="11">
        <f>'Revenue Tracker'!C9</f>
        <v/>
      </c>
      <c r="D16" s="11">
        <f>'Revenue Tracker'!D9</f>
        <v/>
      </c>
      <c r="E16" s="11">
        <f>'Revenue Tracker'!E9</f>
        <v/>
      </c>
      <c r="F16" s="11">
        <f>'Revenue Tracker'!F9</f>
        <v/>
      </c>
      <c r="G16" s="11">
        <f>'Revenue Tracker'!G9</f>
        <v/>
      </c>
      <c r="H16" s="12">
        <f>'Revenue Tracker'!H9</f>
        <v/>
      </c>
      <c r="I16" s="11">
        <f>'Revenue Tracker'!I9</f>
        <v/>
      </c>
    </row>
    <row r="17">
      <c r="A17" s="10">
        <f>'Revenue Tracker'!A10</f>
        <v/>
      </c>
      <c r="B17" s="11">
        <f>'Revenue Tracker'!B10</f>
        <v/>
      </c>
      <c r="C17" s="11">
        <f>'Revenue Tracker'!C10</f>
        <v/>
      </c>
      <c r="D17" s="11">
        <f>'Revenue Tracker'!D10</f>
        <v/>
      </c>
      <c r="E17" s="11">
        <f>'Revenue Tracker'!E10</f>
        <v/>
      </c>
      <c r="F17" s="11">
        <f>'Revenue Tracker'!F10</f>
        <v/>
      </c>
      <c r="G17" s="11">
        <f>'Revenue Tracker'!G10</f>
        <v/>
      </c>
      <c r="H17" s="12">
        <f>'Revenue Tracker'!H10</f>
        <v/>
      </c>
      <c r="I17" s="11">
        <f>'Revenue Tracker'!I10</f>
        <v/>
      </c>
    </row>
  </sheetData>
  <mergeCells count="3">
    <mergeCell ref="A1:J1"/>
    <mergeCell ref="A11:I1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How to Use This Tracker</t>
        </is>
      </c>
    </row>
    <row r="2" ht="34" customHeight="1">
      <c r="A2" s="2" t="inlineStr">
        <is>
          <t>Designed for a Google Sheets or Excel workflow: one trade row, formula summaries, manual current positions, and a running idea log.</t>
        </is>
      </c>
    </row>
    <row r="4">
      <c r="A4" s="6" t="inlineStr">
        <is>
          <t>1. Log each trade</t>
        </is>
      </c>
    </row>
    <row r="5" ht="36" customHeight="1">
      <c r="A5" s="13" t="inlineStr">
        <is>
          <t>Use Trade Log for options and stock trades. Fill the blue input columns: strategy, status, open/close dates, ticker, asset/action, option type, strike, expiration, quantity, entry price, close price, fees, and notes. The realized P/L, category, collateral/notional, and annualized return columns calculate automatically.</t>
        </is>
      </c>
    </row>
    <row r="6" ht="18" customHeight="1"/>
    <row r="8">
      <c r="A8" s="6" t="inlineStr">
        <is>
          <t>2. Review monthly income</t>
        </is>
      </c>
    </row>
    <row r="9" ht="36" customHeight="1">
      <c r="A9" s="13" t="inlineStr">
        <is>
          <t>Revenue Tracker rolls closed trades into monthly buckets: covered call premiums, cash secured put premiums, long option/spread P/L, stock sales, and other. The ticker summary underneath shows which symbols are producing or losing money.</t>
        </is>
      </c>
    </row>
    <row r="10" ht="18" customHeight="1"/>
    <row r="12">
      <c r="A12" s="6" t="inlineStr">
        <is>
          <t>3. Maintain portfolio weights</t>
        </is>
      </c>
    </row>
    <row r="13" ht="36" customHeight="1">
      <c r="A13" s="13" t="inlineStr">
        <is>
          <t>Portfolio is intentionally manual for current shares, prices, and average cost. Enter current broker balances there; market value, weight, unrealized P/L, open covered calls, open short puts, and cash-secured obligation update from formulas.</t>
        </is>
      </c>
    </row>
    <row r="14" ht="18" customHeight="1"/>
    <row r="16">
      <c r="A16" s="6" t="inlineStr">
        <is>
          <t>4. Train future recommendations</t>
        </is>
      </c>
    </row>
    <row r="17" ht="36" customHeight="1">
      <c r="A17" s="13" t="inlineStr">
        <is>
          <t>Use Trade Ideas to capture sample setups, combinations, thesis, max profit/loss, result, and lessons. Over time, this becomes the preference file for what kinds of option structures you like, avoid, or want me to compare.</t>
        </is>
      </c>
    </row>
    <row r="18" ht="18" customHeight="1"/>
    <row r="20">
      <c r="A20" s="6" t="inlineStr">
        <is>
          <t>5. Updating with Codex</t>
        </is>
      </c>
    </row>
    <row r="21" ht="36" customHeight="1">
      <c r="A21" s="13" t="inlineStr">
        <is>
          <t>You can paste trade confirmations, broker export rows, or plain-English trade notes and ask me to append them. Best input format is: date, ticker, strategy, buy/sell, call/put, strike, expiration, quantity, entry/exit price, fees, status, and any assignment/roll notes.</t>
        </is>
      </c>
    </row>
    <row r="22" ht="18" customHeight="1"/>
  </sheetData>
  <mergeCells count="12">
    <mergeCell ref="A12:H12"/>
    <mergeCell ref="A4:H4"/>
    <mergeCell ref="A17:H18"/>
    <mergeCell ref="A9:H10"/>
    <mergeCell ref="A13:H14"/>
    <mergeCell ref="A20:H20"/>
    <mergeCell ref="A2:H2"/>
    <mergeCell ref="A16:H16"/>
    <mergeCell ref="A1:H1"/>
    <mergeCell ref="A21:H22"/>
    <mergeCell ref="A5:H6"/>
    <mergeCell ref="A8:H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0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1" customWidth="1" min="3" max="3"/>
    <col width="12" customWidth="1" min="4" max="4"/>
    <col width="12" customWidth="1" min="5" max="5"/>
    <col width="14" customWidth="1" min="6" max="6"/>
    <col width="10" customWidth="1" min="7" max="7"/>
    <col width="13" customWidth="1" min="8" max="8"/>
    <col width="10" customWidth="1" min="9" max="9"/>
    <col width="11" customWidth="1" min="10" max="10"/>
    <col width="10" customWidth="1" min="11" max="11"/>
    <col width="12" customWidth="1" min="12" max="12"/>
    <col width="8" customWidth="1" min="13" max="13"/>
    <col width="11" customWidth="1" min="14" max="14"/>
    <col width="13" customWidth="1" min="15" max="15"/>
    <col width="9" customWidth="1" min="16" max="16"/>
    <col width="14" customWidth="1" min="17" max="17"/>
    <col width="12" customWidth="1" min="18" max="18"/>
    <col width="22" customWidth="1" min="19" max="19"/>
    <col width="17" customWidth="1" min="20" max="20"/>
    <col width="14" customWidth="1" min="21" max="21"/>
    <col width="42" customWidth="1" min="22" max="22"/>
    <col width="14" customWidth="1" min="23" max="23"/>
  </cols>
  <sheetData>
    <row r="1" ht="28" customHeight="1">
      <c r="A1" s="1" t="inlineStr">
        <is>
          <t>Options &amp; Stock Trade Log</t>
        </is>
      </c>
    </row>
    <row r="2" ht="34" customHeight="1">
      <c r="A2" s="2" t="inlineStr">
        <is>
          <t>One row per trade. Blue columns are the usual inputs; calculated P/L, category, collateral, and annualized return update from the row.</t>
        </is>
      </c>
    </row>
    <row r="4">
      <c r="A4" s="9" t="inlineStr">
        <is>
          <t>Trade ID</t>
        </is>
      </c>
      <c r="B4" s="9" t="inlineStr">
        <is>
          <t>Strategy</t>
        </is>
      </c>
      <c r="C4" s="9" t="inlineStr">
        <is>
          <t>Status</t>
        </is>
      </c>
      <c r="D4" s="9" t="inlineStr">
        <is>
          <t>Open Date</t>
        </is>
      </c>
      <c r="E4" s="9" t="inlineStr">
        <is>
          <t>Close Date</t>
        </is>
      </c>
      <c r="F4" s="9" t="inlineStr">
        <is>
          <t>Realization Month</t>
        </is>
      </c>
      <c r="G4" s="9" t="inlineStr">
        <is>
          <t>Ticker</t>
        </is>
      </c>
      <c r="H4" s="9" t="inlineStr">
        <is>
          <t>Asset</t>
        </is>
      </c>
      <c r="I4" s="9" t="inlineStr">
        <is>
          <t>Action</t>
        </is>
      </c>
      <c r="J4" s="9" t="inlineStr">
        <is>
          <t>Option Type</t>
        </is>
      </c>
      <c r="K4" s="9" t="inlineStr">
        <is>
          <t>Strike</t>
        </is>
      </c>
      <c r="L4" s="9" t="inlineStr">
        <is>
          <t>Expiration</t>
        </is>
      </c>
      <c r="M4" s="9" t="inlineStr">
        <is>
          <t>Qty</t>
        </is>
      </c>
      <c r="N4" s="9" t="inlineStr">
        <is>
          <t>Entry Price</t>
        </is>
      </c>
      <c r="O4" s="9" t="inlineStr">
        <is>
          <t>Exit/Close Price</t>
        </is>
      </c>
      <c r="P4" s="9" t="inlineStr">
        <is>
          <t>Fees</t>
        </is>
      </c>
      <c r="Q4" s="9" t="inlineStr">
        <is>
          <t>Trade P/L / Cash Flow</t>
        </is>
      </c>
      <c r="R4" s="9" t="inlineStr">
        <is>
          <t>Realized P/L</t>
        </is>
      </c>
      <c r="S4" s="9" t="inlineStr">
        <is>
          <t>Revenue Category</t>
        </is>
      </c>
      <c r="T4" s="9" t="inlineStr">
        <is>
          <t>Collateral / Notional</t>
        </is>
      </c>
      <c r="U4" s="9" t="inlineStr">
        <is>
          <t>Annualized Return</t>
        </is>
      </c>
      <c r="V4" s="9" t="inlineStr">
        <is>
          <t>Notes</t>
        </is>
      </c>
      <c r="W4" s="9" t="inlineStr">
        <is>
          <t>Source</t>
        </is>
      </c>
    </row>
    <row r="5">
      <c r="A5" s="12" t="n">
        <v>1</v>
      </c>
      <c r="B5" s="14" t="inlineStr">
        <is>
          <t>Covered Call</t>
        </is>
      </c>
      <c r="C5" s="14" t="inlineStr">
        <is>
          <t>Closed</t>
        </is>
      </c>
      <c r="D5" s="15" t="n">
        <v>46136</v>
      </c>
      <c r="E5" s="15" t="n">
        <v>46168</v>
      </c>
      <c r="F5" s="16">
        <f>IF($E5="","",DATE(YEAR($E5),MONTH($E5),1))</f>
        <v/>
      </c>
      <c r="G5" s="14" t="inlineStr">
        <is>
          <t>BMNR</t>
        </is>
      </c>
      <c r="H5" s="14" t="inlineStr">
        <is>
          <t>Option</t>
        </is>
      </c>
      <c r="I5" s="14" t="inlineStr">
        <is>
          <t>Sell</t>
        </is>
      </c>
      <c r="J5" s="14" t="inlineStr">
        <is>
          <t>Call</t>
        </is>
      </c>
      <c r="K5" s="17" t="n">
        <v>26.5</v>
      </c>
      <c r="L5" s="15" t="n">
        <v>46178</v>
      </c>
      <c r="M5" s="14" t="n">
        <v>1</v>
      </c>
      <c r="N5" s="17" t="n">
        <v>1.06</v>
      </c>
      <c r="O5" s="17" t="n">
        <v>0.1</v>
      </c>
      <c r="P5" s="18" t="n">
        <v>0.04</v>
      </c>
      <c r="Q5" s="11">
        <f>IF($A5="","",IF($H5="Stock",IF($I5="Buy",-$M5*$N5-$P5,IF($I5="Sell",IF($N5="", $M5*$O5-$P5,($O5-$N5)*$M5-$P5),"")),IF($I5="Sell",($N5-IF($O5="",0,$O5))*$M5*100-$P5,IF($I5="Buy",(IF($O5="",0,$O5)-$N5)*$M5*100-$P5,""))))</f>
        <v/>
      </c>
      <c r="R5" s="11">
        <f>IF($A5="","",IF($C5="Open","",$Q5))</f>
        <v/>
      </c>
      <c r="S5" s="12">
        <f>IF($A5="","",IFS($B5="Covered Call","Covered Call Premium",$B5="Cash Secured Put","Cash Secured Put Premium",$B5="Long Call/Put","Long Call/Put P/L",$B5="Debit Spread","Long Call/Put P/L",$B5="Stock Sale","Stock Sales",TRUE,"Other"))</f>
        <v/>
      </c>
      <c r="T5" s="11">
        <f>IF($A5="","",IF($B5="Cash Secured Put",$K5*$M5*100,IF($B5="Covered Call",$K5*$M5*100,IF($H5="Stock",$M5*$N5,""))))</f>
        <v/>
      </c>
      <c r="U5" s="19">
        <f>IF(OR($A5="",$C5&lt;&gt;"Closed",$D5="",$E5="",$T5=0),"",$R5/$T5*365/MAX(1,$E5-$D5))</f>
        <v/>
      </c>
      <c r="V5" s="14" t="inlineStr">
        <is>
          <t>Bought to close per individual CSV.</t>
        </is>
      </c>
      <c r="W5" s="12" t="inlineStr">
        <is>
          <t>Broker CSV</t>
        </is>
      </c>
    </row>
    <row r="6">
      <c r="A6" s="12" t="n">
        <v>2</v>
      </c>
      <c r="B6" s="14" t="inlineStr">
        <is>
          <t>Cash Secured Put</t>
        </is>
      </c>
      <c r="C6" s="14" t="inlineStr">
        <is>
          <t>Open</t>
        </is>
      </c>
      <c r="D6" s="15" t="n">
        <v>46156</v>
      </c>
      <c r="E6" s="15" t="n"/>
      <c r="F6" s="16">
        <f>IF($E6="","",DATE(YEAR($E6),MONTH($E6),1))</f>
        <v/>
      </c>
      <c r="G6" s="14" t="inlineStr">
        <is>
          <t>LUMN</t>
        </is>
      </c>
      <c r="H6" s="14" t="inlineStr">
        <is>
          <t>Option</t>
        </is>
      </c>
      <c r="I6" s="14" t="inlineStr">
        <is>
          <t>Sell</t>
        </is>
      </c>
      <c r="J6" s="14" t="inlineStr">
        <is>
          <t>Put</t>
        </is>
      </c>
      <c r="K6" s="17" t="n">
        <v>11</v>
      </c>
      <c r="L6" s="15" t="n">
        <v>46185</v>
      </c>
      <c r="M6" s="14" t="n">
        <v>1</v>
      </c>
      <c r="N6" s="17" t="n">
        <v>1.02</v>
      </c>
      <c r="O6" s="17" t="n">
        <v>1.35</v>
      </c>
      <c r="P6" s="18" t="n">
        <v>0</v>
      </c>
      <c r="Q6" s="11">
        <f>IF($A6="","",IF($H6="Stock",IF($I6="Buy",-$M6*$N6-$P6,IF($I6="Sell",IF($N6="", $M6*$O6-$P6,($O6-$N6)*$M6-$P6),"")),IF($I6="Sell",($N6-IF($O6="",0,$O6))*$M6*100-$P6,IF($I6="Buy",(IF($O6="",0,$O6)-$N6)*$M6*100-$P6,""))))</f>
        <v/>
      </c>
      <c r="R6" s="11">
        <f>IF($A6="","",IF($C6="Open","",$Q6))</f>
        <v/>
      </c>
      <c r="S6" s="12">
        <f>IF($A6="","",IFS($B6="Covered Call","Covered Call Premium",$B6="Cash Secured Put","Cash Secured Put Premium",$B6="Long Call/Put","Long Call/Put P/L",$B6="Debit Spread","Long Call/Put P/L",$B6="Stock Sale","Stock Sales",TRUE,"Other"))</f>
        <v/>
      </c>
      <c r="T6" s="11">
        <f>IF($A6="","",IF($B6="Cash Secured Put",$K6*$M6*100,IF($B6="Covered Call",$K6*$M6*100,IF($H6="Stock",$M6*$N6,""))))</f>
        <v/>
      </c>
      <c r="U6" s="19">
        <f>IF(OR($A6="",$C6&lt;&gt;"Closed",$D6="",$E6="",$T6=0),"",$R6/$T6*365/MAX(1,$E6-$D6))</f>
        <v/>
      </c>
      <c r="V6" s="14" t="inlineStr">
        <is>
          <t>Open position retained from tracker; not present in YTD CSV exports.</t>
        </is>
      </c>
      <c r="W6" s="12" t="inlineStr">
        <is>
          <t>Existing tracker</t>
        </is>
      </c>
    </row>
    <row r="7">
      <c r="A7" s="12" t="n">
        <v>3</v>
      </c>
      <c r="B7" s="14" t="inlineStr">
        <is>
          <t>Cash Secured Put</t>
        </is>
      </c>
      <c r="C7" s="14" t="inlineStr">
        <is>
          <t>Closed</t>
        </is>
      </c>
      <c r="D7" s="15" t="n">
        <v>46136</v>
      </c>
      <c r="E7" s="15" t="n">
        <v>46170</v>
      </c>
      <c r="F7" s="16">
        <f>IF($E7="","",DATE(YEAR($E7),MONTH($E7),1))</f>
        <v/>
      </c>
      <c r="G7" s="14" t="inlineStr">
        <is>
          <t>SOFI</t>
        </is>
      </c>
      <c r="H7" s="14" t="inlineStr">
        <is>
          <t>Option</t>
        </is>
      </c>
      <c r="I7" s="14" t="inlineStr">
        <is>
          <t>Sell</t>
        </is>
      </c>
      <c r="J7" s="14" t="inlineStr">
        <is>
          <t>Put</t>
        </is>
      </c>
      <c r="K7" s="17" t="n">
        <v>17</v>
      </c>
      <c r="L7" s="15" t="n">
        <v>46178</v>
      </c>
      <c r="M7" s="14" t="n">
        <v>1</v>
      </c>
      <c r="N7" s="17" t="n">
        <v>0.91</v>
      </c>
      <c r="O7" s="17" t="n">
        <v>0.54</v>
      </c>
      <c r="P7" s="18" t="n">
        <v>0.04</v>
      </c>
      <c r="Q7" s="11">
        <f>IF($A7="","",IF($H7="Stock",IF($I7="Buy",-$M7*$N7-$P7,IF($I7="Sell",IF($N7="", $M7*$O7-$P7,($O7-$N7)*$M7-$P7),"")),IF($I7="Sell",($N7-IF($O7="",0,$O7))*$M7*100-$P7,IF($I7="Buy",(IF($O7="",0,$O7)-$N7)*$M7*100-$P7,""))))</f>
        <v/>
      </c>
      <c r="R7" s="11">
        <f>IF($A7="","",IF($C7="Open","",$Q7))</f>
        <v/>
      </c>
      <c r="S7" s="12">
        <f>IF($A7="","",IFS($B7="Covered Call","Covered Call Premium",$B7="Cash Secured Put","Cash Secured Put Premium",$B7="Long Call/Put","Long Call/Put P/L",$B7="Debit Spread","Long Call/Put P/L",$B7="Stock Sale","Stock Sales",TRUE,"Other"))</f>
        <v/>
      </c>
      <c r="T7" s="11">
        <f>IF($A7="","",IF($B7="Cash Secured Put",$K7*$M7*100,IF($B7="Covered Call",$K7*$M7*100,IF($H7="Stock",$M7*$N7,""))))</f>
        <v/>
      </c>
      <c r="U7" s="19">
        <f>IF(OR($A7="",$C7&lt;&gt;"Closed",$D7="",$E7="",$T7=0),"",$R7/$T7*365/MAX(1,$E7-$D7))</f>
        <v/>
      </c>
      <c r="V7" s="14" t="inlineStr">
        <is>
          <t>Bought to close per joint CSV.</t>
        </is>
      </c>
      <c r="W7" s="12" t="inlineStr">
        <is>
          <t>Broker CSV</t>
        </is>
      </c>
    </row>
    <row r="8">
      <c r="A8" s="12" t="n">
        <v>4</v>
      </c>
      <c r="B8" s="14" t="inlineStr">
        <is>
          <t>Covered Call</t>
        </is>
      </c>
      <c r="C8" s="14" t="inlineStr">
        <is>
          <t>Closed</t>
        </is>
      </c>
      <c r="D8" s="15" t="n">
        <v>46147</v>
      </c>
      <c r="E8" s="15" t="n">
        <v>46160</v>
      </c>
      <c r="F8" s="16">
        <f>IF($E8="","",DATE(YEAR($E8),MONTH($E8),1))</f>
        <v/>
      </c>
      <c r="G8" s="14" t="inlineStr">
        <is>
          <t>PLTR</t>
        </is>
      </c>
      <c r="H8" s="14" t="inlineStr">
        <is>
          <t>Option</t>
        </is>
      </c>
      <c r="I8" s="14" t="inlineStr">
        <is>
          <t>Sell</t>
        </is>
      </c>
      <c r="J8" s="14" t="inlineStr">
        <is>
          <t>Call</t>
        </is>
      </c>
      <c r="K8" s="17" t="n">
        <v>150</v>
      </c>
      <c r="L8" s="15" t="n">
        <v>46178</v>
      </c>
      <c r="M8" s="14" t="n">
        <v>1</v>
      </c>
      <c r="N8" s="17" t="n">
        <v>3.55</v>
      </c>
      <c r="O8" s="17" t="n">
        <v>1.16</v>
      </c>
      <c r="P8" s="18" t="n">
        <v>0.04</v>
      </c>
      <c r="Q8" s="11">
        <f>IF($A8="","",IF($H8="Stock",IF($I8="Buy",-$M8*$N8-$P8,IF($I8="Sell",IF($N8="", $M8*$O8-$P8,($O8-$N8)*$M8-$P8),"")),IF($I8="Sell",($N8-IF($O8="",0,$O8))*$M8*100-$P8,IF($I8="Buy",(IF($O8="",0,$O8)-$N8)*$M8*100-$P8,""))))</f>
        <v/>
      </c>
      <c r="R8" s="11">
        <f>IF($A8="","",IF($C8="Open","",$Q8))</f>
        <v/>
      </c>
      <c r="S8" s="12">
        <f>IF($A8="","",IFS($B8="Covered Call","Covered Call Premium",$B8="Cash Secured Put","Cash Secured Put Premium",$B8="Long Call/Put","Long Call/Put P/L",$B8="Debit Spread","Long Call/Put P/L",$B8="Stock Sale","Stock Sales",TRUE,"Other"))</f>
        <v/>
      </c>
      <c r="T8" s="11">
        <f>IF($A8="","",IF($B8="Cash Secured Put",$K8*$M8*100,IF($B8="Covered Call",$K8*$M8*100,IF($H8="Stock",$M8*$N8,""))))</f>
        <v/>
      </c>
      <c r="U8" s="19">
        <f>IF(OR($A8="",$C8&lt;&gt;"Closed",$D8="",$E8="",$T8=0),"",$R8/$T8*365/MAX(1,$E8-$D8))</f>
        <v/>
      </c>
      <c r="V8" s="14" t="inlineStr">
        <is>
          <t>Bought to close per joint CSV.</t>
        </is>
      </c>
      <c r="W8" s="12" t="inlineStr">
        <is>
          <t>Broker CSV</t>
        </is>
      </c>
    </row>
    <row r="9">
      <c r="A9" s="12" t="n">
        <v>5</v>
      </c>
      <c r="B9" s="14" t="inlineStr">
        <is>
          <t>Covered Call</t>
        </is>
      </c>
      <c r="C9" s="14" t="inlineStr">
        <is>
          <t>Closed</t>
        </is>
      </c>
      <c r="D9" s="15" t="n">
        <v>46148</v>
      </c>
      <c r="E9" s="15" t="n">
        <v>46170</v>
      </c>
      <c r="F9" s="16">
        <f>IF($E9="","",DATE(YEAR($E9),MONTH($E9),1))</f>
        <v/>
      </c>
      <c r="G9" s="14" t="inlineStr">
        <is>
          <t>PLTR</t>
        </is>
      </c>
      <c r="H9" s="14" t="inlineStr">
        <is>
          <t>Option</t>
        </is>
      </c>
      <c r="I9" s="14" t="inlineStr">
        <is>
          <t>Sell</t>
        </is>
      </c>
      <c r="J9" s="14" t="inlineStr">
        <is>
          <t>Call</t>
        </is>
      </c>
      <c r="K9" s="17" t="n">
        <v>160</v>
      </c>
      <c r="L9" s="15" t="n">
        <v>46178</v>
      </c>
      <c r="M9" s="14" t="n">
        <v>1</v>
      </c>
      <c r="N9" s="17" t="n">
        <v>1.45</v>
      </c>
      <c r="O9" s="17" t="n">
        <v>0.21</v>
      </c>
      <c r="P9" s="18" t="n">
        <v>0.04</v>
      </c>
      <c r="Q9" s="11">
        <f>IF($A9="","",IF($H9="Stock",IF($I9="Buy",-$M9*$N9-$P9,IF($I9="Sell",IF($N9="", $M9*$O9-$P9,($O9-$N9)*$M9-$P9),"")),IF($I9="Sell",($N9-IF($O9="",0,$O9))*$M9*100-$P9,IF($I9="Buy",(IF($O9="",0,$O9)-$N9)*$M9*100-$P9,""))))</f>
        <v/>
      </c>
      <c r="R9" s="11">
        <f>IF($A9="","",IF($C9="Open","",$Q9))</f>
        <v/>
      </c>
      <c r="S9" s="12">
        <f>IF($A9="","",IFS($B9="Covered Call","Covered Call Premium",$B9="Cash Secured Put","Cash Secured Put Premium",$B9="Long Call/Put","Long Call/Put P/L",$B9="Debit Spread","Long Call/Put P/L",$B9="Stock Sale","Stock Sales",TRUE,"Other"))</f>
        <v/>
      </c>
      <c r="T9" s="11">
        <f>IF($A9="","",IF($B9="Cash Secured Put",$K9*$M9*100,IF($B9="Covered Call",$K9*$M9*100,IF($H9="Stock",$M9*$N9,""))))</f>
        <v/>
      </c>
      <c r="U9" s="19">
        <f>IF(OR($A9="",$C9&lt;&gt;"Closed",$D9="",$E9="",$T9=0),"",$R9/$T9*365/MAX(1,$E9-$D9))</f>
        <v/>
      </c>
      <c r="V9" s="14" t="inlineStr">
        <is>
          <t>Bought to close per joint CSV.</t>
        </is>
      </c>
      <c r="W9" s="12" t="inlineStr">
        <is>
          <t>Broker CSV</t>
        </is>
      </c>
    </row>
    <row r="10">
      <c r="A10" s="12" t="n">
        <v>6</v>
      </c>
      <c r="B10" s="14" t="inlineStr">
        <is>
          <t>Covered Call</t>
        </is>
      </c>
      <c r="C10" s="14" t="inlineStr">
        <is>
          <t>Closed</t>
        </is>
      </c>
      <c r="D10" s="15" t="n">
        <v>46153</v>
      </c>
      <c r="E10" s="15" t="n">
        <v>46178</v>
      </c>
      <c r="F10" s="16">
        <f>IF($E10="","",DATE(YEAR($E10),MONTH($E10),1))</f>
        <v/>
      </c>
      <c r="G10" s="14" t="inlineStr">
        <is>
          <t>PLTR</t>
        </is>
      </c>
      <c r="H10" s="14" t="inlineStr">
        <is>
          <t>Option</t>
        </is>
      </c>
      <c r="I10" s="14" t="inlineStr">
        <is>
          <t>Sell</t>
        </is>
      </c>
      <c r="J10" s="14" t="inlineStr">
        <is>
          <t>Call</t>
        </is>
      </c>
      <c r="K10" s="17" t="n">
        <v>175</v>
      </c>
      <c r="L10" s="15" t="n">
        <v>46178</v>
      </c>
      <c r="M10" s="14" t="n">
        <v>1</v>
      </c>
      <c r="N10" s="17" t="n">
        <v>0.49</v>
      </c>
      <c r="O10" s="17" t="n">
        <v>0</v>
      </c>
      <c r="P10" s="18" t="n">
        <v>0</v>
      </c>
      <c r="Q10" s="11">
        <f>IF($A10="","",IF($H10="Stock",IF($I10="Buy",-$M10*$N10-$P10,IF($I10="Sell",IF($N10="", $M10*$O10-$P10,($O10-$N10)*$M10-$P10),"")),IF($I10="Sell",($N10-IF($O10="",0,$O10))*$M10*100-$P10,IF($I10="Buy",(IF($O10="",0,$O10)-$N10)*$M10*100-$P10,""))))</f>
        <v/>
      </c>
      <c r="R10" s="11">
        <f>IF($A10="","",IF($C10="Open","",$Q10))</f>
        <v/>
      </c>
      <c r="S10" s="12">
        <f>IF($A10="","",IFS($B10="Covered Call","Covered Call Premium",$B10="Cash Secured Put","Cash Secured Put Premium",$B10="Long Call/Put","Long Call/Put P/L",$B10="Debit Spread","Long Call/Put P/L",$B10="Stock Sale","Stock Sales",TRUE,"Other"))</f>
        <v/>
      </c>
      <c r="T10" s="11">
        <f>IF($A10="","",IF($B10="Cash Secured Put",$K10*$M10*100,IF($B10="Covered Call",$K10*$M10*100,IF($H10="Stock",$M10*$N10,""))))</f>
        <v/>
      </c>
      <c r="U10" s="19">
        <f>IF(OR($A10="",$C10&lt;&gt;"Closed",$D10="",$E10="",$T10=0),"",$R10/$T10*365/MAX(1,$E10-$D10))</f>
        <v/>
      </c>
      <c r="V10" s="14" t="inlineStr">
        <is>
          <t>Expired per joint CSV option expiration row.</t>
        </is>
      </c>
      <c r="W10" s="12" t="inlineStr">
        <is>
          <t>Broker CSV</t>
        </is>
      </c>
    </row>
    <row r="11">
      <c r="A11" s="12" t="n">
        <v>7</v>
      </c>
      <c r="B11" s="14" t="inlineStr">
        <is>
          <t>Covered Call</t>
        </is>
      </c>
      <c r="C11" s="14" t="inlineStr">
        <is>
          <t>Closed</t>
        </is>
      </c>
      <c r="D11" s="15" t="n">
        <v>46146</v>
      </c>
      <c r="E11" s="15" t="n">
        <v>46168</v>
      </c>
      <c r="F11" s="16">
        <f>IF($E11="","",DATE(YEAR($E11),MONTH($E11),1))</f>
        <v/>
      </c>
      <c r="G11" s="14" t="inlineStr">
        <is>
          <t>PLTR</t>
        </is>
      </c>
      <c r="H11" s="14" t="inlineStr">
        <is>
          <t>Option</t>
        </is>
      </c>
      <c r="I11" s="14" t="inlineStr">
        <is>
          <t>Sell</t>
        </is>
      </c>
      <c r="J11" s="14" t="inlineStr">
        <is>
          <t>Call</t>
        </is>
      </c>
      <c r="K11" s="17" t="n">
        <v>220</v>
      </c>
      <c r="L11" s="15" t="n">
        <v>46178</v>
      </c>
      <c r="M11" s="14" t="n">
        <v>1</v>
      </c>
      <c r="N11" s="17" t="n">
        <v>0.44</v>
      </c>
      <c r="O11" s="17" t="n">
        <v>0.03</v>
      </c>
      <c r="P11" s="18" t="n">
        <v>0.04</v>
      </c>
      <c r="Q11" s="11">
        <f>IF($A11="","",IF($H11="Stock",IF($I11="Buy",-$M11*$N11-$P11,IF($I11="Sell",IF($N11="", $M11*$O11-$P11,($O11-$N11)*$M11-$P11),"")),IF($I11="Sell",($N11-IF($O11="",0,$O11))*$M11*100-$P11,IF($I11="Buy",(IF($O11="",0,$O11)-$N11)*$M11*100-$P11,""))))</f>
        <v/>
      </c>
      <c r="R11" s="11">
        <f>IF($A11="","",IF($C11="Open","",$Q11))</f>
        <v/>
      </c>
      <c r="S11" s="12">
        <f>IF($A11="","",IFS($B11="Covered Call","Covered Call Premium",$B11="Cash Secured Put","Cash Secured Put Premium",$B11="Long Call/Put","Long Call/Put P/L",$B11="Debit Spread","Long Call/Put P/L",$B11="Stock Sale","Stock Sales",TRUE,"Other"))</f>
        <v/>
      </c>
      <c r="T11" s="11">
        <f>IF($A11="","",IF($B11="Cash Secured Put",$K11*$M11*100,IF($B11="Covered Call",$K11*$M11*100,IF($H11="Stock",$M11*$N11,""))))</f>
        <v/>
      </c>
      <c r="U11" s="19">
        <f>IF(OR($A11="",$C11&lt;&gt;"Closed",$D11="",$E11="",$T11=0),"",$R11/$T11*365/MAX(1,$E11-$D11))</f>
        <v/>
      </c>
      <c r="V11" s="14" t="inlineStr">
        <is>
          <t>Bought to close per joint CSV.</t>
        </is>
      </c>
      <c r="W11" s="12" t="inlineStr">
        <is>
          <t>Broker CSV</t>
        </is>
      </c>
    </row>
    <row r="12">
      <c r="A12" s="12" t="n">
        <v>8</v>
      </c>
      <c r="B12" s="14" t="inlineStr">
        <is>
          <t>Cash Secured Put</t>
        </is>
      </c>
      <c r="C12" s="14" t="inlineStr">
        <is>
          <t>Closed</t>
        </is>
      </c>
      <c r="D12" s="15" t="n">
        <v>46148</v>
      </c>
      <c r="E12" s="15" t="n">
        <v>46161</v>
      </c>
      <c r="F12" s="16">
        <f>IF($E12="","",DATE(YEAR($E12),MONTH($E12),1))</f>
        <v/>
      </c>
      <c r="G12" s="14" t="inlineStr">
        <is>
          <t>ASTS</t>
        </is>
      </c>
      <c r="H12" s="14" t="inlineStr">
        <is>
          <t>Option</t>
        </is>
      </c>
      <c r="I12" s="14" t="inlineStr">
        <is>
          <t>Sell</t>
        </is>
      </c>
      <c r="J12" s="14" t="inlineStr">
        <is>
          <t>Put</t>
        </is>
      </c>
      <c r="K12" s="17" t="n">
        <v>65</v>
      </c>
      <c r="L12" s="15" t="n">
        <v>46178</v>
      </c>
      <c r="M12" s="14" t="n">
        <v>1</v>
      </c>
      <c r="N12" s="17" t="n">
        <v>5.75</v>
      </c>
      <c r="O12" s="17" t="n">
        <v>1.5</v>
      </c>
      <c r="P12" s="18" t="n">
        <v>0.04</v>
      </c>
      <c r="Q12" s="11">
        <f>IF($A12="","",IF($H12="Stock",IF($I12="Buy",-$M12*$N12-$P12,IF($I12="Sell",IF($N12="", $M12*$O12-$P12,($O12-$N12)*$M12-$P12),"")),IF($I12="Sell",($N12-IF($O12="",0,$O12))*$M12*100-$P12,IF($I12="Buy",(IF($O12="",0,$O12)-$N12)*$M12*100-$P12,""))))</f>
        <v/>
      </c>
      <c r="R12" s="11">
        <f>IF($A12="","",IF($C12="Open","",$Q12))</f>
        <v/>
      </c>
      <c r="S12" s="12">
        <f>IF($A12="","",IFS($B12="Covered Call","Covered Call Premium",$B12="Cash Secured Put","Cash Secured Put Premium",$B12="Long Call/Put","Long Call/Put P/L",$B12="Debit Spread","Long Call/Put P/L",$B12="Stock Sale","Stock Sales",TRUE,"Other"))</f>
        <v/>
      </c>
      <c r="T12" s="11">
        <f>IF($A12="","",IF($B12="Cash Secured Put",$K12*$M12*100,IF($B12="Covered Call",$K12*$M12*100,IF($H12="Stock",$M12*$N12,""))))</f>
        <v/>
      </c>
      <c r="U12" s="19">
        <f>IF(OR($A12="",$C12&lt;&gt;"Closed",$D12="",$E12="",$T12=0),"",$R12/$T12*365/MAX(1,$E12-$D12))</f>
        <v/>
      </c>
      <c r="V12" s="14" t="inlineStr">
        <is>
          <t>Bought to close per user/broker activity.</t>
        </is>
      </c>
      <c r="W12" s="12" t="inlineStr">
        <is>
          <t>Broker CSV</t>
        </is>
      </c>
    </row>
    <row r="13">
      <c r="A13" s="12" t="n">
        <v>9</v>
      </c>
      <c r="B13" s="14" t="inlineStr">
        <is>
          <t>Cash Secured Put</t>
        </is>
      </c>
      <c r="C13" s="14" t="inlineStr">
        <is>
          <t>Closed</t>
        </is>
      </c>
      <c r="D13" s="15" t="n">
        <v>46146</v>
      </c>
      <c r="E13" s="15" t="n">
        <v>46157</v>
      </c>
      <c r="F13" s="16">
        <f>IF($E13="","",DATE(YEAR($E13),MONTH($E13),1))</f>
        <v/>
      </c>
      <c r="G13" s="14" t="inlineStr">
        <is>
          <t>NEXT</t>
        </is>
      </c>
      <c r="H13" s="14" t="inlineStr">
        <is>
          <t>Option</t>
        </is>
      </c>
      <c r="I13" s="14" t="inlineStr">
        <is>
          <t>Sell</t>
        </is>
      </c>
      <c r="J13" s="14" t="inlineStr">
        <is>
          <t>Put</t>
        </is>
      </c>
      <c r="K13" s="17" t="n">
        <v>8</v>
      </c>
      <c r="L13" s="15" t="n">
        <v>46157</v>
      </c>
      <c r="M13" s="14" t="n">
        <v>2</v>
      </c>
      <c r="N13" s="17" t="n">
        <v>0.33</v>
      </c>
      <c r="O13" s="17" t="n">
        <v>0</v>
      </c>
      <c r="P13" s="18" t="n">
        <v>0</v>
      </c>
      <c r="Q13" s="11">
        <f>IF($A13="","",IF($H13="Stock",IF($I13="Buy",-$M13*$N13-$P13,IF($I13="Sell",IF($N13="", $M13*$O13-$P13,($O13-$N13)*$M13-$P13),"")),IF($I13="Sell",($N13-IF($O13="",0,$O13))*$M13*100-$P13,IF($I13="Buy",(IF($O13="",0,$O13)-$N13)*$M13*100-$P13,""))))</f>
        <v/>
      </c>
      <c r="R13" s="11">
        <f>IF($A13="","",IF($C13="Open","",$Q13))</f>
        <v/>
      </c>
      <c r="S13" s="12">
        <f>IF($A13="","",IFS($B13="Covered Call","Covered Call Premium",$B13="Cash Secured Put","Cash Secured Put Premium",$B13="Long Call/Put","Long Call/Put P/L",$B13="Debit Spread","Long Call/Put P/L",$B13="Stock Sale","Stock Sales",TRUE,"Other"))</f>
        <v/>
      </c>
      <c r="T13" s="11">
        <f>IF($A13="","",IF($B13="Cash Secured Put",$K13*$M13*100,IF($B13="Covered Call",$K13*$M13*100,IF($H13="Stock",$M13*$N13,""))))</f>
        <v/>
      </c>
      <c r="U13" s="19">
        <f>IF(OR($A13="",$C13&lt;&gt;"Closed",$D13="",$E13="",$T13=0),"",$R13/$T13*365/MAX(1,$E13-$D13))</f>
        <v/>
      </c>
      <c r="V13" s="14" t="inlineStr">
        <is>
          <t>Expired/closed after 2026-05-15 expiration; retained from tracker with CSV confirming no later close.</t>
        </is>
      </c>
      <c r="W13" s="12" t="inlineStr">
        <is>
          <t>Existing tracker + Broker CSV</t>
        </is>
      </c>
    </row>
    <row r="14">
      <c r="A14" s="12" t="n">
        <v>10</v>
      </c>
      <c r="B14" s="14" t="inlineStr">
        <is>
          <t>Debit Spread</t>
        </is>
      </c>
      <c r="C14" s="14" t="inlineStr">
        <is>
          <t>Open</t>
        </is>
      </c>
      <c r="D14" s="15" t="n">
        <v>46051</v>
      </c>
      <c r="E14" s="15" t="n"/>
      <c r="F14" s="16">
        <f>IF($E14="","",DATE(YEAR($E14),MONTH($E14),1))</f>
        <v/>
      </c>
      <c r="G14" s="14" t="inlineStr">
        <is>
          <t>GRAB</t>
        </is>
      </c>
      <c r="H14" s="14" t="inlineStr">
        <is>
          <t>Option Spread</t>
        </is>
      </c>
      <c r="I14" s="14" t="inlineStr">
        <is>
          <t>Buy</t>
        </is>
      </c>
      <c r="J14" s="14" t="inlineStr">
        <is>
          <t>Call</t>
        </is>
      </c>
      <c r="K14" s="17" t="n">
        <v>10</v>
      </c>
      <c r="L14" s="15" t="n">
        <v>46773</v>
      </c>
      <c r="M14" s="14" t="n">
        <v>180</v>
      </c>
      <c r="N14" s="17" t="n">
        <v>0.1</v>
      </c>
      <c r="O14" s="17" t="n">
        <v>0.08</v>
      </c>
      <c r="P14" s="18" t="n">
        <v>0</v>
      </c>
      <c r="Q14" s="11">
        <f>IF($A14="","",IF($H14="Stock",IF($I14="Buy",-$M14*$N14-$P14,IF($I14="Sell",IF($N14="", $M14*$O14-$P14,($O14-$N14)*$M14-$P14),"")),IF($I14="Sell",($N14-IF($O14="",0,$O14))*$M14*100-$P14,IF($I14="Buy",(IF($O14="",0,$O14)-$N14)*$M14*100-$P14,""))))</f>
        <v/>
      </c>
      <c r="R14" s="11">
        <f>IF($A14="","",IF($C14="Open","",$Q14))</f>
        <v/>
      </c>
      <c r="S14" s="12">
        <f>IF($A14="","",IFS($B14="Covered Call","Covered Call Premium",$B14="Cash Secured Put","Cash Secured Put Premium",$B14="Long Call/Put","Long Call/Put P/L",$B14="Debit Spread","Long Call/Put P/L",$B14="Stock Sale","Stock Sales",TRUE,"Other"))</f>
        <v/>
      </c>
      <c r="T14" s="11">
        <f>IF($A14="","",IF($B14="Cash Secured Put",$K14*$M14*100,IF($B14="Covered Call",$K14*$M14*100,IF($H14="Stock",$M14*$N14,""))))</f>
        <v/>
      </c>
      <c r="U14" s="19">
        <f>IF(OR($A14="",$C14&lt;&gt;"Closed",$D14="",$E14="",$T14=0),"",$R14/$T14*365/MAX(1,$E14-$D14))</f>
        <v/>
      </c>
      <c r="V14" s="14" t="inlineStr">
        <is>
          <t>Open GRAB $10/$12 call debit spread; YTD CSV confirms 180 paired contracts.</t>
        </is>
      </c>
      <c r="W14" s="12" t="inlineStr">
        <is>
          <t>Broker CSV + existing tracker</t>
        </is>
      </c>
    </row>
    <row r="15">
      <c r="A15" s="12" t="n">
        <v>11</v>
      </c>
      <c r="B15" s="14" t="inlineStr">
        <is>
          <t>Covered Call</t>
        </is>
      </c>
      <c r="C15" s="14" t="inlineStr">
        <is>
          <t>Open</t>
        </is>
      </c>
      <c r="D15" s="15" t="n">
        <v>46129</v>
      </c>
      <c r="E15" s="15" t="n"/>
      <c r="F15" s="16">
        <f>IF($E15="","",DATE(YEAR($E15),MONTH($E15),1))</f>
        <v/>
      </c>
      <c r="G15" s="14" t="inlineStr">
        <is>
          <t>PLTR</t>
        </is>
      </c>
      <c r="H15" s="14" t="inlineStr">
        <is>
          <t>Option</t>
        </is>
      </c>
      <c r="I15" s="14" t="inlineStr">
        <is>
          <t>Sell</t>
        </is>
      </c>
      <c r="J15" s="14" t="inlineStr">
        <is>
          <t>Call</t>
        </is>
      </c>
      <c r="K15" s="17" t="n">
        <v>190</v>
      </c>
      <c r="L15" s="15" t="n">
        <v>46402</v>
      </c>
      <c r="M15" s="14" t="n">
        <v>1</v>
      </c>
      <c r="N15" s="17" t="n">
        <v>14.73</v>
      </c>
      <c r="O15" s="17" t="n">
        <v>9.380000000000001</v>
      </c>
      <c r="P15" s="18" t="n">
        <v>0</v>
      </c>
      <c r="Q15" s="11">
        <f>IF($A15="","",IF($H15="Stock",IF($I15="Buy",-$M15*$N15-$P15,IF($I15="Sell",IF($N15="", $M15*$O15-$P15,($O15-$N15)*$M15-$P15),"")),IF($I15="Sell",($N15-IF($O15="",0,$O15))*$M15*100-$P15,IF($I15="Buy",(IF($O15="",0,$O15)-$N15)*$M15*100-$P15,""))))</f>
        <v/>
      </c>
      <c r="R15" s="11">
        <f>IF($A15="","",IF($C15="Open","",$Q15))</f>
        <v/>
      </c>
      <c r="S15" s="12">
        <f>IF($A15="","",IFS($B15="Covered Call","Covered Call Premium",$B15="Cash Secured Put","Cash Secured Put Premium",$B15="Long Call/Put","Long Call/Put P/L",$B15="Debit Spread","Long Call/Put P/L",$B15="Stock Sale","Stock Sales",TRUE,"Other"))</f>
        <v/>
      </c>
      <c r="T15" s="11">
        <f>IF($A15="","",IF($B15="Cash Secured Put",$K15*$M15*100,IF($B15="Covered Call",$K15*$M15*100,IF($H15="Stock",$M15*$N15,""))))</f>
        <v/>
      </c>
      <c r="U15" s="19">
        <f>IF(OR($A15="",$C15&lt;&gt;"Closed",$D15="",$E15="",$T15=0),"",$R15/$T15*365/MAX(1,$E15-$D15))</f>
        <v/>
      </c>
      <c r="V15" s="14" t="inlineStr">
        <is>
          <t>Open PLTR $190 covered call per individual CSV.</t>
        </is>
      </c>
      <c r="W15" s="12" t="inlineStr">
        <is>
          <t>Broker CSV</t>
        </is>
      </c>
    </row>
    <row r="16">
      <c r="A16" s="12" t="n">
        <v>12</v>
      </c>
      <c r="B16" s="14" t="inlineStr">
        <is>
          <t>Debit Spread</t>
        </is>
      </c>
      <c r="C16" s="14" t="inlineStr">
        <is>
          <t>Open</t>
        </is>
      </c>
      <c r="D16" s="15" t="n">
        <v>45681</v>
      </c>
      <c r="E16" s="15" t="n"/>
      <c r="F16" s="16">
        <f>IF($E16="","",DATE(YEAR($E16),MONTH($E16),1))</f>
        <v/>
      </c>
      <c r="G16" s="14" t="inlineStr">
        <is>
          <t>GRAB</t>
        </is>
      </c>
      <c r="H16" s="14" t="inlineStr">
        <is>
          <t>Option Spread</t>
        </is>
      </c>
      <c r="I16" s="14" t="inlineStr">
        <is>
          <t>Buy</t>
        </is>
      </c>
      <c r="J16" s="14" t="inlineStr">
        <is>
          <t>Call</t>
        </is>
      </c>
      <c r="K16" s="17" t="n">
        <v>7.5</v>
      </c>
      <c r="L16" s="15" t="n">
        <v>46402</v>
      </c>
      <c r="M16" s="14" t="n">
        <v>400</v>
      </c>
      <c r="N16" s="17" t="n">
        <v>0.29</v>
      </c>
      <c r="O16" s="17" t="n">
        <v>0.03</v>
      </c>
      <c r="P16" s="18" t="n">
        <v>0</v>
      </c>
      <c r="Q16" s="11">
        <f>IF($A16="","",IF($H16="Stock",IF($I16="Buy",-$M16*$N16-$P16,IF($I16="Sell",IF($N16="", $M16*$O16-$P16,($O16-$N16)*$M16-$P16),"")),IF($I16="Sell",($N16-IF($O16="",0,$O16))*$M16*100-$P16,IF($I16="Buy",(IF($O16="",0,$O16)-$N16)*$M16*100-$P16,""))))</f>
        <v/>
      </c>
      <c r="R16" s="11">
        <f>IF($A16="","",IF($C16="Open","",$Q16))</f>
        <v/>
      </c>
      <c r="S16" s="12">
        <f>IF($A16="","",IFS($B16="Covered Call","Covered Call Premium",$B16="Cash Secured Put","Cash Secured Put Premium",$B16="Long Call/Put","Long Call/Put P/L",$B16="Debit Spread","Long Call/Put P/L",$B16="Stock Sale","Stock Sales",TRUE,"Other"))</f>
        <v/>
      </c>
      <c r="T16" s="11">
        <f>IF($A16="","",IF($B16="Cash Secured Put",$K16*$M16*100,IF($B16="Covered Call",$K16*$M16*100,IF($H16="Stock",$M16*$N16,""))))</f>
        <v/>
      </c>
      <c r="U16" s="19">
        <f>IF(OR($A16="",$C16&lt;&gt;"Closed",$D16="",$E16="",$T16=0),"",$R16/$T16*365/MAX(1,$E16-$D16))</f>
        <v/>
      </c>
      <c r="V16" s="14" t="inlineStr">
        <is>
          <t>Consolidated GRAB $7.50/$10 call debit spreads. Existing tracker keeps pre-2026 contracts; CSV confirms 60 YTD additions.</t>
        </is>
      </c>
      <c r="W16" s="12" t="inlineStr">
        <is>
          <t>Existing tracker + Broker CSV</t>
        </is>
      </c>
    </row>
    <row r="17">
      <c r="A17" s="12" t="n">
        <v>13</v>
      </c>
      <c r="B17" s="14" t="inlineStr">
        <is>
          <t>Long Call/Put</t>
        </is>
      </c>
      <c r="C17" s="14" t="inlineStr">
        <is>
          <t>Open</t>
        </is>
      </c>
      <c r="D17" s="15" t="n">
        <v>45989</v>
      </c>
      <c r="E17" s="15" t="n"/>
      <c r="F17" s="16">
        <f>IF($E17="","",DATE(YEAR($E17),MONTH($E17),1))</f>
        <v/>
      </c>
      <c r="G17" s="14" t="inlineStr">
        <is>
          <t>BMNR</t>
        </is>
      </c>
      <c r="H17" s="14" t="inlineStr">
        <is>
          <t>Option</t>
        </is>
      </c>
      <c r="I17" s="14" t="inlineStr">
        <is>
          <t>Buy</t>
        </is>
      </c>
      <c r="J17" s="14" t="inlineStr">
        <is>
          <t>Call</t>
        </is>
      </c>
      <c r="K17" s="17" t="n">
        <v>75</v>
      </c>
      <c r="L17" s="15" t="n">
        <v>46191</v>
      </c>
      <c r="M17" s="14" t="n">
        <v>1</v>
      </c>
      <c r="N17" s="17" t="n">
        <v>4.75</v>
      </c>
      <c r="O17" s="17" t="n">
        <v>0.02</v>
      </c>
      <c r="P17" s="18" t="n">
        <v>0</v>
      </c>
      <c r="Q17" s="11">
        <f>IF($A17="","",IF($H17="Stock",IF($I17="Buy",-$M17*$N17-$P17,IF($I17="Sell",IF($N17="", $M17*$O17-$P17,($O17-$N17)*$M17-$P17),"")),IF($I17="Sell",($N17-IF($O17="",0,$O17))*$M17*100-$P17,IF($I17="Buy",(IF($O17="",0,$O17)-$N17)*$M17*100-$P17,""))))</f>
        <v/>
      </c>
      <c r="R17" s="11">
        <f>IF($A17="","",IF($C17="Open","",$Q17))</f>
        <v/>
      </c>
      <c r="S17" s="12">
        <f>IF($A17="","",IFS($B17="Covered Call","Covered Call Premium",$B17="Cash Secured Put","Cash Secured Put Premium",$B17="Long Call/Put","Long Call/Put P/L",$B17="Debit Spread","Long Call/Put P/L",$B17="Stock Sale","Stock Sales",TRUE,"Other"))</f>
        <v/>
      </c>
      <c r="T17" s="11">
        <f>IF($A17="","",IF($B17="Cash Secured Put",$K17*$M17*100,IF($B17="Covered Call",$K17*$M17*100,IF($H17="Stock",$M17*$N17,""))))</f>
        <v/>
      </c>
      <c r="U17" s="19">
        <f>IF(OR($A17="",$C17&lt;&gt;"Closed",$D17="",$E17="",$T17=0),"",$R17/$T17*365/MAX(1,$E17-$D17))</f>
        <v/>
      </c>
      <c r="V17" s="14" t="inlineStr">
        <is>
          <t>Long BMNR $75 call retained from tracker; opened before CSV period.</t>
        </is>
      </c>
      <c r="W17" s="12" t="inlineStr">
        <is>
          <t>Existing tracker</t>
        </is>
      </c>
    </row>
    <row r="18">
      <c r="A18" s="12" t="n">
        <v>14</v>
      </c>
      <c r="B18" s="14" t="inlineStr">
        <is>
          <t>Covered Call</t>
        </is>
      </c>
      <c r="C18" s="14" t="inlineStr">
        <is>
          <t>Closed</t>
        </is>
      </c>
      <c r="D18" s="15" t="n">
        <v>46140</v>
      </c>
      <c r="E18" s="15" t="n">
        <v>46170</v>
      </c>
      <c r="F18" s="16">
        <f>IF($E18="","",DATE(YEAR($E18),MONTH($E18),1))</f>
        <v/>
      </c>
      <c r="G18" s="14" t="inlineStr">
        <is>
          <t>AEHR</t>
        </is>
      </c>
      <c r="H18" s="14" t="inlineStr">
        <is>
          <t>Option</t>
        </is>
      </c>
      <c r="I18" s="14" t="inlineStr">
        <is>
          <t>Sell</t>
        </is>
      </c>
      <c r="J18" s="14" t="inlineStr">
        <is>
          <t>Call</t>
        </is>
      </c>
      <c r="K18" s="17" t="n">
        <v>150</v>
      </c>
      <c r="L18" s="15" t="n">
        <v>46191</v>
      </c>
      <c r="M18" s="14" t="n">
        <v>1</v>
      </c>
      <c r="N18" s="17" t="n">
        <v>2.9</v>
      </c>
      <c r="O18" s="17" t="n">
        <v>2.78</v>
      </c>
      <c r="P18" s="18" t="n">
        <v>0.04</v>
      </c>
      <c r="Q18" s="11">
        <f>IF($A18="","",IF($H18="Stock",IF($I18="Buy",-$M18*$N18-$P18,IF($I18="Sell",IF($N18="", $M18*$O18-$P18,($O18-$N18)*$M18-$P18),"")),IF($I18="Sell",($N18-IF($O18="",0,$O18))*$M18*100-$P18,IF($I18="Buy",(IF($O18="",0,$O18)-$N18)*$M18*100-$P18,""))))</f>
        <v/>
      </c>
      <c r="R18" s="11">
        <f>IF($A18="","",IF($C18="Open","",$Q18))</f>
        <v/>
      </c>
      <c r="S18" s="12">
        <f>IF($A18="","",IFS($B18="Covered Call","Covered Call Premium",$B18="Cash Secured Put","Cash Secured Put Premium",$B18="Long Call/Put","Long Call/Put P/L",$B18="Debit Spread","Long Call/Put P/L",$B18="Stock Sale","Stock Sales",TRUE,"Other"))</f>
        <v/>
      </c>
      <c r="T18" s="11">
        <f>IF($A18="","",IF($B18="Cash Secured Put",$K18*$M18*100,IF($B18="Covered Call",$K18*$M18*100,IF($H18="Stock",$M18*$N18,""))))</f>
        <v/>
      </c>
      <c r="U18" s="19">
        <f>IF(OR($A18="",$C18&lt;&gt;"Closed",$D18="",$E18="",$T18=0),"",$R18/$T18*365/MAX(1,$E18-$D18))</f>
        <v/>
      </c>
      <c r="V18" s="14" t="inlineStr">
        <is>
          <t>Bought to close per individual CSV.</t>
        </is>
      </c>
      <c r="W18" s="12" t="inlineStr">
        <is>
          <t>Broker CSV</t>
        </is>
      </c>
    </row>
    <row r="19">
      <c r="A19" s="12" t="n">
        <v>15</v>
      </c>
      <c r="B19" s="14" t="inlineStr">
        <is>
          <t>Long Call/Put</t>
        </is>
      </c>
      <c r="C19" s="14" t="inlineStr">
        <is>
          <t>Closed</t>
        </is>
      </c>
      <c r="D19" s="15" t="n">
        <v>46157</v>
      </c>
      <c r="E19" s="15" t="n">
        <v>46182</v>
      </c>
      <c r="F19" s="16">
        <f>IF($E19="","",DATE(YEAR($E19),MONTH($E19),1))</f>
        <v/>
      </c>
      <c r="G19" s="14" t="inlineStr">
        <is>
          <t>SHLS</t>
        </is>
      </c>
      <c r="H19" s="14" t="inlineStr">
        <is>
          <t>Option</t>
        </is>
      </c>
      <c r="I19" s="14" t="inlineStr">
        <is>
          <t>Buy</t>
        </is>
      </c>
      <c r="J19" s="14" t="inlineStr">
        <is>
          <t>Call</t>
        </is>
      </c>
      <c r="K19" s="17" t="n">
        <v>10</v>
      </c>
      <c r="L19" s="15" t="n">
        <v>46311</v>
      </c>
      <c r="M19" s="14" t="n">
        <v>4</v>
      </c>
      <c r="N19" s="17" t="n">
        <v>2.4</v>
      </c>
      <c r="O19" s="17" t="n">
        <v>2.3745</v>
      </c>
      <c r="P19" s="18" t="n">
        <v>0</v>
      </c>
      <c r="Q19" s="11">
        <f>IF($A19="","",IF($H19="Stock",IF($I19="Buy",-$M19*$N19-$P19,IF($I19="Sell",IF($N19="", $M19*$O19-$P19,($O19-$N19)*$M19-$P19),"")),IF($I19="Sell",($N19-IF($O19="",0,$O19))*$M19*100-$P19,IF($I19="Buy",(IF($O19="",0,$O19)-$N19)*$M19*100-$P19,""))))</f>
        <v/>
      </c>
      <c r="R19" s="11">
        <f>IF($A19="","",IF($C19="Open","",$Q19))</f>
        <v/>
      </c>
      <c r="S19" s="12">
        <f>IF($A19="","",IFS($B19="Covered Call","Covered Call Premium",$B19="Cash Secured Put","Cash Secured Put Premium",$B19="Long Call/Put","Long Call/Put P/L",$B19="Debit Spread","Long Call/Put P/L",$B19="Stock Sale","Stock Sales",TRUE,"Other"))</f>
        <v/>
      </c>
      <c r="T19" s="11">
        <f>IF($A19="","",IF($B19="Cash Secured Put",$K19*$M19*100,IF($B19="Covered Call",$K19*$M19*100,IF($H19="Stock",$M19*$N19,""))))</f>
        <v/>
      </c>
      <c r="U19" s="19">
        <f>IF(OR($A19="",$C19&lt;&gt;"Closed",$D19="",$E19="",$T19=0),"",$R19/$T19*365/MAX(1,$E19-$D19))</f>
        <v/>
      </c>
      <c r="V19" s="14" t="inlineStr">
        <is>
          <t>Corrected to 4 SHLS calls: buys total about $960.16; sold 2 at $2.45 and 2 at $2.30 on 2026-06-09.</t>
        </is>
      </c>
      <c r="W19" s="12" t="inlineStr">
        <is>
          <t>Broker CSV + user correction</t>
        </is>
      </c>
    </row>
    <row r="20">
      <c r="A20" s="12" t="n">
        <v>19</v>
      </c>
      <c r="B20" s="14" t="inlineStr">
        <is>
          <t>Covered Call</t>
        </is>
      </c>
      <c r="C20" s="14" t="inlineStr">
        <is>
          <t>Closed</t>
        </is>
      </c>
      <c r="D20" s="15" t="n">
        <v>46161</v>
      </c>
      <c r="E20" s="15" t="n">
        <v>46171</v>
      </c>
      <c r="F20" s="16">
        <f>IF($E20="","",DATE(YEAR($E20),MONTH($E20),1))</f>
        <v/>
      </c>
      <c r="G20" s="14" t="inlineStr">
        <is>
          <t>PLTR</t>
        </is>
      </c>
      <c r="H20" s="14" t="inlineStr">
        <is>
          <t>Option</t>
        </is>
      </c>
      <c r="I20" s="14" t="inlineStr">
        <is>
          <t>Sell</t>
        </is>
      </c>
      <c r="J20" s="14" t="inlineStr">
        <is>
          <t>Call</t>
        </is>
      </c>
      <c r="K20" s="17" t="n">
        <v>150</v>
      </c>
      <c r="L20" s="15" t="n">
        <v>46191</v>
      </c>
      <c r="M20" s="14" t="n">
        <v>1</v>
      </c>
      <c r="N20" s="17" t="n">
        <v>2.24</v>
      </c>
      <c r="O20" s="17" t="n">
        <v>8.6</v>
      </c>
      <c r="P20" s="18" t="n">
        <v>0.04</v>
      </c>
      <c r="Q20" s="11">
        <f>IF($A20="","",IF($H20="Stock",IF($I20="Buy",-$M20*$N20-$P20,IF($I20="Sell",IF($N20="", $M20*$O20-$P20,($O20-$N20)*$M20-$P20),"")),IF($I20="Sell",($N20-IF($O20="",0,$O20))*$M20*100-$P20,IF($I20="Buy",(IF($O20="",0,$O20)-$N20)*$M20*100-$P20,""))))</f>
        <v/>
      </c>
      <c r="R20" s="11">
        <f>IF($A20="","",IF($C20="Open","",$Q20))</f>
        <v/>
      </c>
      <c r="S20" s="12">
        <f>IF($A20="","",IFS($B20="Covered Call","Covered Call Premium",$B20="Cash Secured Put","Cash Secured Put Premium",$B20="Long Call/Put","Long Call/Put P/L",$B20="Debit Spread","Long Call/Put P/L",$B20="Stock Sale","Stock Sales",TRUE,"Other"))</f>
        <v/>
      </c>
      <c r="T20" s="11">
        <f>IF($A20="","",IF($B20="Cash Secured Put",$K20*$M20*100,IF($B20="Covered Call",$K20*$M20*100,IF($H20="Stock",$M20*$N20,""))))</f>
        <v/>
      </c>
      <c r="U20" s="19">
        <f>IF(OR($A20="",$C20&lt;&gt;"Closed",$D20="",$E20="",$T20=0),"",$R20/$T20*365/MAX(1,$E20-$D20))</f>
        <v/>
      </c>
      <c r="V20" s="14" t="inlineStr">
        <is>
          <t>Bought to close per joint CSV as part of PLTR roll sequence.</t>
        </is>
      </c>
      <c r="W20" s="12" t="inlineStr">
        <is>
          <t>Broker CSV</t>
        </is>
      </c>
    </row>
    <row r="21">
      <c r="A21" s="12" t="n">
        <v>20</v>
      </c>
      <c r="B21" s="14" t="inlineStr">
        <is>
          <t>Cash Secured Put</t>
        </is>
      </c>
      <c r="C21" s="14" t="inlineStr">
        <is>
          <t>Closed</t>
        </is>
      </c>
      <c r="D21" s="15" t="n">
        <v>46161</v>
      </c>
      <c r="E21" s="15" t="n">
        <v>46171</v>
      </c>
      <c r="F21" s="16">
        <f>IF($E21="","",DATE(YEAR($E21),MONTH($E21),1))</f>
        <v/>
      </c>
      <c r="G21" s="14" t="inlineStr">
        <is>
          <t>ASTS</t>
        </is>
      </c>
      <c r="H21" s="14" t="inlineStr">
        <is>
          <t>Option</t>
        </is>
      </c>
      <c r="I21" s="14" t="inlineStr">
        <is>
          <t>Sell</t>
        </is>
      </c>
      <c r="J21" s="14" t="inlineStr">
        <is>
          <t>Put</t>
        </is>
      </c>
      <c r="K21" s="17" t="n">
        <v>68</v>
      </c>
      <c r="L21" s="15" t="n">
        <v>46191</v>
      </c>
      <c r="M21" s="14" t="n">
        <v>1</v>
      </c>
      <c r="N21" s="17" t="n">
        <v>4.24</v>
      </c>
      <c r="O21" s="17" t="n">
        <v>0.75</v>
      </c>
      <c r="P21" s="18" t="n">
        <v>0.04</v>
      </c>
      <c r="Q21" s="11">
        <f>IF($A21="","",IF($H21="Stock",IF($I21="Buy",-$M21*$N21-$P21,IF($I21="Sell",IF($N21="", $M21*$O21-$P21,($O21-$N21)*$M21-$P21),"")),IF($I21="Sell",($N21-IF($O21="",0,$O21))*$M21*100-$P21,IF($I21="Buy",(IF($O21="",0,$O21)-$N21)*$M21*100-$P21,""))))</f>
        <v/>
      </c>
      <c r="R21" s="11">
        <f>IF($A21="","",IF($C21="Open","",$Q21))</f>
        <v/>
      </c>
      <c r="S21" s="12">
        <f>IF($A21="","",IFS($B21="Covered Call","Covered Call Premium",$B21="Cash Secured Put","Cash Secured Put Premium",$B21="Long Call/Put","Long Call/Put P/L",$B21="Debit Spread","Long Call/Put P/L",$B21="Stock Sale","Stock Sales",TRUE,"Other"))</f>
        <v/>
      </c>
      <c r="T21" s="11">
        <f>IF($A21="","",IF($B21="Cash Secured Put",$K21*$M21*100,IF($B21="Covered Call",$K21*$M21*100,IF($H21="Stock",$M21*$N21,""))))</f>
        <v/>
      </c>
      <c r="U21" s="19">
        <f>IF(OR($A21="",$C21&lt;&gt;"Closed",$D21="",$E21="",$T21=0),"",$R21/$T21*365/MAX(1,$E21-$D21))</f>
        <v/>
      </c>
      <c r="V21" s="14" t="inlineStr">
        <is>
          <t>Bought to close per joint CSV.</t>
        </is>
      </c>
      <c r="W21" s="12" t="inlineStr">
        <is>
          <t>Broker CSV</t>
        </is>
      </c>
    </row>
    <row r="22">
      <c r="A22" s="12" t="n">
        <v>22</v>
      </c>
      <c r="B22" s="14" t="inlineStr">
        <is>
          <t>Long Call/Put</t>
        </is>
      </c>
      <c r="C22" s="14" t="inlineStr">
        <is>
          <t>Open</t>
        </is>
      </c>
      <c r="D22" s="15" t="n">
        <v>46160</v>
      </c>
      <c r="E22" s="15" t="n"/>
      <c r="F22" s="16">
        <f>IF($E22="","",DATE(YEAR($E22),MONTH($E22),1))</f>
        <v/>
      </c>
      <c r="G22" s="14" t="inlineStr">
        <is>
          <t>NTNX</t>
        </is>
      </c>
      <c r="H22" s="14" t="inlineStr">
        <is>
          <t>Option</t>
        </is>
      </c>
      <c r="I22" s="14" t="inlineStr">
        <is>
          <t>Buy</t>
        </is>
      </c>
      <c r="J22" s="14" t="inlineStr">
        <is>
          <t>Call</t>
        </is>
      </c>
      <c r="K22" s="17" t="n">
        <v>47.5</v>
      </c>
      <c r="L22" s="15" t="n">
        <v>46311</v>
      </c>
      <c r="M22" s="14" t="n">
        <v>2</v>
      </c>
      <c r="N22" s="17" t="n">
        <v>7.15</v>
      </c>
      <c r="O22" s="17" t="n">
        <v>7.15</v>
      </c>
      <c r="P22" s="18" t="n">
        <v>0</v>
      </c>
      <c r="Q22" s="11">
        <f>IF($A22="","",IF($H22="Stock",IF($I22="Buy",-$M22*$N22-$P22,IF($I22="Sell",IF($N22="", $M22*$O22-$P22,($O22-$N22)*$M22-$P22),"")),IF($I22="Sell",($N22-IF($O22="",0,$O22))*$M22*100-$P22,IF($I22="Buy",(IF($O22="",0,$O22)-$N22)*$M22*100-$P22,""))))</f>
        <v/>
      </c>
      <c r="R22" s="11">
        <f>IF($A22="","",IF($C22="Open","",$Q22))</f>
        <v/>
      </c>
      <c r="S22" s="12">
        <f>IF($A22="","",IFS($B22="Covered Call","Covered Call Premium",$B22="Cash Secured Put","Cash Secured Put Premium",$B22="Long Call/Put","Long Call/Put P/L",$B22="Debit Spread","Long Call/Put P/L",$B22="Stock Sale","Stock Sales",TRUE,"Other"))</f>
        <v/>
      </c>
      <c r="T22" s="11">
        <f>IF($A22="","",IF($B22="Cash Secured Put",$K22*$M22*100,IF($B22="Covered Call",$K22*$M22*100,IF($H22="Stock",$M22*$N22,""))))</f>
        <v/>
      </c>
      <c r="U22" s="19">
        <f>IF(OR($A22="",$C22&lt;&gt;"Closed",$D22="",$E22="",$T22=0),"",$R22/$T22*365/MAX(1,$E22-$D22))</f>
        <v/>
      </c>
      <c r="V22" s="14" t="inlineStr">
        <is>
          <t>Bought 1 at $7.30 and 1 at $7.00 per joint CSV; average $7.15.</t>
        </is>
      </c>
      <c r="W22" s="12" t="inlineStr">
        <is>
          <t>Broker CSV</t>
        </is>
      </c>
    </row>
    <row r="23">
      <c r="A23" s="12" t="n">
        <v>23</v>
      </c>
      <c r="B23" s="14" t="inlineStr">
        <is>
          <t>Long Call/Put</t>
        </is>
      </c>
      <c r="C23" s="14" t="inlineStr">
        <is>
          <t>Closed</t>
        </is>
      </c>
      <c r="D23" s="15" t="n">
        <v>46161</v>
      </c>
      <c r="E23" s="15" t="n">
        <v>46168</v>
      </c>
      <c r="F23" s="16">
        <f>IF($E23="","",DATE(YEAR($E23),MONTH($E23),1))</f>
        <v/>
      </c>
      <c r="G23" s="14" t="inlineStr">
        <is>
          <t>BLDP</t>
        </is>
      </c>
      <c r="H23" s="14" t="inlineStr">
        <is>
          <t>Option</t>
        </is>
      </c>
      <c r="I23" s="14" t="inlineStr">
        <is>
          <t>Buy</t>
        </is>
      </c>
      <c r="J23" s="14" t="inlineStr">
        <is>
          <t>Call</t>
        </is>
      </c>
      <c r="K23" s="17" t="n">
        <v>4</v>
      </c>
      <c r="L23" s="15" t="n">
        <v>46255</v>
      </c>
      <c r="M23" s="14" t="n">
        <v>1</v>
      </c>
      <c r="N23" s="17" t="n">
        <v>1.15</v>
      </c>
      <c r="O23" s="17" t="n">
        <v>2.35</v>
      </c>
      <c r="P23" s="18" t="n">
        <v>0.08</v>
      </c>
      <c r="Q23" s="11">
        <f>IF($A23="","",IF($H23="Stock",IF($I23="Buy",-$M23*$N23-$P23,IF($I23="Sell",IF($N23="", $M23*$O23-$P23,($O23-$N23)*$M23-$P23),"")),IF($I23="Sell",($N23-IF($O23="",0,$O23))*$M23*100-$P23,IF($I23="Buy",(IF($O23="",0,$O23)-$N23)*$M23*100-$P23,""))))</f>
        <v/>
      </c>
      <c r="R23" s="11">
        <f>IF($A23="","",IF($C23="Open","",$Q23))</f>
        <v/>
      </c>
      <c r="S23" s="12">
        <f>IF($A23="","",IFS($B23="Covered Call","Covered Call Premium",$B23="Cash Secured Put","Cash Secured Put Premium",$B23="Long Call/Put","Long Call/Put P/L",$B23="Debit Spread","Long Call/Put P/L",$B23="Stock Sale","Stock Sales",TRUE,"Other"))</f>
        <v/>
      </c>
      <c r="T23" s="11">
        <f>IF($A23="","",IF($B23="Cash Secured Put",$K23*$M23*100,IF($B23="Covered Call",$K23*$M23*100,IF($H23="Stock",$M23*$N23,""))))</f>
        <v/>
      </c>
      <c r="U23" s="19">
        <f>IF(OR($A23="",$C23&lt;&gt;"Closed",$D23="",$E23="",$T23=0),"",$R23/$T23*365/MAX(1,$E23-$D23))</f>
        <v/>
      </c>
      <c r="V23" s="14" t="inlineStr">
        <is>
          <t>Sold BLDP $4 call for $234.94 proceeds per individual CSV.</t>
        </is>
      </c>
      <c r="W23" s="12" t="inlineStr">
        <is>
          <t>Broker CSV</t>
        </is>
      </c>
    </row>
    <row r="24">
      <c r="A24" s="12" t="n">
        <v>24</v>
      </c>
      <c r="B24" s="14" t="inlineStr">
        <is>
          <t>Covered Call</t>
        </is>
      </c>
      <c r="C24" s="14" t="inlineStr">
        <is>
          <t>Open</t>
        </is>
      </c>
      <c r="D24" s="15" t="n">
        <v>46170</v>
      </c>
      <c r="E24" s="15" t="n"/>
      <c r="F24" s="16">
        <f>IF($E24="","",DATE(YEAR($E24),MONTH($E24),1))</f>
        <v/>
      </c>
      <c r="G24" s="14" t="inlineStr">
        <is>
          <t>PLTR</t>
        </is>
      </c>
      <c r="H24" s="14" t="inlineStr">
        <is>
          <t>Option</t>
        </is>
      </c>
      <c r="I24" s="14" t="inlineStr">
        <is>
          <t>Sell</t>
        </is>
      </c>
      <c r="J24" s="14" t="inlineStr">
        <is>
          <t>Call</t>
        </is>
      </c>
      <c r="K24" s="17" t="n">
        <v>160</v>
      </c>
      <c r="L24" s="15" t="n">
        <v>46191</v>
      </c>
      <c r="M24" s="14" t="n">
        <v>1</v>
      </c>
      <c r="N24" s="17" t="n">
        <v>0.98</v>
      </c>
      <c r="O24" s="17" t="n">
        <v>0.98</v>
      </c>
      <c r="P24" s="18" t="n">
        <v>0</v>
      </c>
      <c r="Q24" s="11">
        <f>IF($A24="","",IF($H24="Stock",IF($I24="Buy",-$M24*$N24-$P24,IF($I24="Sell",IF($N24="", $M24*$O24-$P24,($O24-$N24)*$M24-$P24),"")),IF($I24="Sell",($N24-IF($O24="",0,$O24))*$M24*100-$P24,IF($I24="Buy",(IF($O24="",0,$O24)-$N24)*$M24*100-$P24,""))))</f>
        <v/>
      </c>
      <c r="R24" s="11">
        <f>IF($A24="","",IF($C24="Open","",$Q24))</f>
        <v/>
      </c>
      <c r="S24" s="12">
        <f>IF($A24="","",IFS($B24="Covered Call","Covered Call Premium",$B24="Cash Secured Put","Cash Secured Put Premium",$B24="Long Call/Put","Long Call/Put P/L",$B24="Debit Spread","Long Call/Put P/L",$B24="Stock Sale","Stock Sales",TRUE,"Other"))</f>
        <v/>
      </c>
      <c r="T24" s="11">
        <f>IF($A24="","",IF($B24="Cash Secured Put",$K24*$M24*100,IF($B24="Covered Call",$K24*$M24*100,IF($H24="Stock",$M24*$N24,""))))</f>
        <v/>
      </c>
      <c r="U24" s="19">
        <f>IF(OR($A24="",$C24&lt;&gt;"Closed",$D24="",$E24="",$T24=0),"",$R24/$T24*365/MAX(1,$E24-$D24))</f>
        <v/>
      </c>
      <c r="V24" s="14" t="inlineStr">
        <is>
          <t>Open PLTR $160 covered call per joint CSV.</t>
        </is>
      </c>
      <c r="W24" s="12" t="inlineStr">
        <is>
          <t>Broker CSV</t>
        </is>
      </c>
    </row>
    <row r="25">
      <c r="A25" s="12" t="n">
        <v>25</v>
      </c>
      <c r="B25" s="14" t="inlineStr">
        <is>
          <t>Cash Secured Put</t>
        </is>
      </c>
      <c r="C25" s="14" t="inlineStr">
        <is>
          <t>Open</t>
        </is>
      </c>
      <c r="D25" s="15" t="n">
        <v>46170</v>
      </c>
      <c r="E25" s="15" t="n"/>
      <c r="F25" s="16">
        <f>IF($E25="","",DATE(YEAR($E25),MONTH($E25),1))</f>
        <v/>
      </c>
      <c r="G25" s="14" t="inlineStr">
        <is>
          <t>SOFI</t>
        </is>
      </c>
      <c r="H25" s="14" t="inlineStr">
        <is>
          <t>Option</t>
        </is>
      </c>
      <c r="I25" s="14" t="inlineStr">
        <is>
          <t>Sell</t>
        </is>
      </c>
      <c r="J25" s="14" t="inlineStr">
        <is>
          <t>Put</t>
        </is>
      </c>
      <c r="K25" s="17" t="n">
        <v>18</v>
      </c>
      <c r="L25" s="15" t="n">
        <v>46191</v>
      </c>
      <c r="M25" s="14" t="n">
        <v>1</v>
      </c>
      <c r="N25" s="17" t="n">
        <v>1.49</v>
      </c>
      <c r="O25" s="17" t="n">
        <v>1.49</v>
      </c>
      <c r="P25" s="18" t="n">
        <v>0</v>
      </c>
      <c r="Q25" s="11">
        <f>IF($A25="","",IF($H25="Stock",IF($I25="Buy",-$M25*$N25-$P25,IF($I25="Sell",IF($N25="", $M25*$O25-$P25,($O25-$N25)*$M25-$P25),"")),IF($I25="Sell",($N25-IF($O25="",0,$O25))*$M25*100-$P25,IF($I25="Buy",(IF($O25="",0,$O25)-$N25)*$M25*100-$P25,""))))</f>
        <v/>
      </c>
      <c r="R25" s="11">
        <f>IF($A25="","",IF($C25="Open","",$Q25))</f>
        <v/>
      </c>
      <c r="S25" s="12">
        <f>IF($A25="","",IFS($B25="Covered Call","Covered Call Premium",$B25="Cash Secured Put","Cash Secured Put Premium",$B25="Long Call/Put","Long Call/Put P/L",$B25="Debit Spread","Long Call/Put P/L",$B25="Stock Sale","Stock Sales",TRUE,"Other"))</f>
        <v/>
      </c>
      <c r="T25" s="11">
        <f>IF($A25="","",IF($B25="Cash Secured Put",$K25*$M25*100,IF($B25="Covered Call",$K25*$M25*100,IF($H25="Stock",$M25*$N25,""))))</f>
        <v/>
      </c>
      <c r="U25" s="19">
        <f>IF(OR($A25="",$C25&lt;&gt;"Closed",$D25="",$E25="",$T25=0),"",$R25/$T25*365/MAX(1,$E25-$D25))</f>
        <v/>
      </c>
      <c r="V25" s="14" t="inlineStr">
        <is>
          <t>Open SOFI $18 put per joint CSV; corrected credit to $1.49.</t>
        </is>
      </c>
      <c r="W25" s="12" t="inlineStr">
        <is>
          <t>Broker CSV</t>
        </is>
      </c>
    </row>
    <row r="26">
      <c r="A26" s="12" t="n">
        <v>26</v>
      </c>
      <c r="B26" s="14" t="inlineStr">
        <is>
          <t>Covered Call</t>
        </is>
      </c>
      <c r="C26" s="14" t="inlineStr">
        <is>
          <t>Open</t>
        </is>
      </c>
      <c r="D26" s="15" t="n">
        <v>46170</v>
      </c>
      <c r="E26" s="15" t="n"/>
      <c r="F26" s="16">
        <f>IF($E26="","",DATE(YEAR($E26),MONTH($E26),1))</f>
        <v/>
      </c>
      <c r="G26" s="14" t="inlineStr">
        <is>
          <t>AEHR</t>
        </is>
      </c>
      <c r="H26" s="14" t="inlineStr">
        <is>
          <t>Option</t>
        </is>
      </c>
      <c r="I26" s="14" t="inlineStr">
        <is>
          <t>Sell</t>
        </is>
      </c>
      <c r="J26" s="14" t="inlineStr">
        <is>
          <t>Call</t>
        </is>
      </c>
      <c r="K26" s="17" t="n">
        <v>160</v>
      </c>
      <c r="L26" s="15" t="n">
        <v>46205</v>
      </c>
      <c r="M26" s="14" t="n">
        <v>1</v>
      </c>
      <c r="N26" s="17" t="n">
        <v>4.05</v>
      </c>
      <c r="O26" s="17" t="n">
        <v>4.05</v>
      </c>
      <c r="P26" s="18" t="n">
        <v>0</v>
      </c>
      <c r="Q26" s="11">
        <f>IF($A26="","",IF($H26="Stock",IF($I26="Buy",-$M26*$N26-$P26,IF($I26="Sell",IF($N26="", $M26*$O26-$P26,($O26-$N26)*$M26-$P26),"")),IF($I26="Sell",($N26-IF($O26="",0,$O26))*$M26*100-$P26,IF($I26="Buy",(IF($O26="",0,$O26)-$N26)*$M26*100-$P26,""))))</f>
        <v/>
      </c>
      <c r="R26" s="11">
        <f>IF($A26="","",IF($C26="Open","",$Q26))</f>
        <v/>
      </c>
      <c r="S26" s="12">
        <f>IF($A26="","",IFS($B26="Covered Call","Covered Call Premium",$B26="Cash Secured Put","Cash Secured Put Premium",$B26="Long Call/Put","Long Call/Put P/L",$B26="Debit Spread","Long Call/Put P/L",$B26="Stock Sale","Stock Sales",TRUE,"Other"))</f>
        <v/>
      </c>
      <c r="T26" s="11">
        <f>IF($A26="","",IF($B26="Cash Secured Put",$K26*$M26*100,IF($B26="Covered Call",$K26*$M26*100,IF($H26="Stock",$M26*$N26,""))))</f>
        <v/>
      </c>
      <c r="U26" s="19">
        <f>IF(OR($A26="",$C26&lt;&gt;"Closed",$D26="",$E26="",$T26=0),"",$R26/$T26*365/MAX(1,$E26-$D26))</f>
        <v/>
      </c>
      <c r="V26" s="14" t="inlineStr">
        <is>
          <t>Open AEHR $160 7/2 covered call per individual CSV.</t>
        </is>
      </c>
      <c r="W26" s="12" t="inlineStr">
        <is>
          <t>Broker CSV</t>
        </is>
      </c>
    </row>
    <row r="27">
      <c r="A27" s="12" t="n">
        <v>27</v>
      </c>
      <c r="B27" s="14" t="inlineStr">
        <is>
          <t>Covered Call</t>
        </is>
      </c>
      <c r="C27" s="14" t="inlineStr">
        <is>
          <t>Closed</t>
        </is>
      </c>
      <c r="D27" s="15" t="n">
        <v>46169</v>
      </c>
      <c r="E27" s="15" t="n">
        <v>46182</v>
      </c>
      <c r="F27" s="16">
        <f>IF($E27="","",DATE(YEAR($E27),MONTH($E27),1))</f>
        <v/>
      </c>
      <c r="G27" s="14" t="inlineStr">
        <is>
          <t>NTNX</t>
        </is>
      </c>
      <c r="H27" s="14" t="inlineStr">
        <is>
          <t>Option</t>
        </is>
      </c>
      <c r="I27" s="14" t="inlineStr">
        <is>
          <t>Sell</t>
        </is>
      </c>
      <c r="J27" s="14" t="inlineStr">
        <is>
          <t>Call</t>
        </is>
      </c>
      <c r="K27" s="17" t="n">
        <v>55</v>
      </c>
      <c r="L27" s="15" t="n">
        <v>46191</v>
      </c>
      <c r="M27" s="14" t="n">
        <v>1</v>
      </c>
      <c r="N27" s="17" t="n">
        <v>0.95</v>
      </c>
      <c r="O27" s="17" t="n">
        <v>0.7</v>
      </c>
      <c r="P27" s="18" t="n">
        <v>0.08</v>
      </c>
      <c r="Q27" s="11">
        <f>IF($A27="","",IF($H27="Stock",IF($I27="Buy",-$M27*$N27-$P27,IF($I27="Sell",IF($N27="", $M27*$O27-$P27,($O27-$N27)*$M27-$P27),"")),IF($I27="Sell",($N27-IF($O27="",0,$O27))*$M27*100-$P27,IF($I27="Buy",(IF($O27="",0,$O27)-$N27)*$M27*100-$P27,""))))</f>
        <v/>
      </c>
      <c r="R27" s="11">
        <f>IF($A27="","",IF($C27="Open","",$Q27))</f>
        <v/>
      </c>
      <c r="S27" s="12">
        <f>IF($A27="","",IFS($B27="Covered Call","Covered Call Premium",$B27="Cash Secured Put","Cash Secured Put Premium",$B27="Long Call/Put","Long Call/Put P/L",$B27="Debit Spread","Long Call/Put P/L",$B27="Stock Sale","Stock Sales",TRUE,"Other"))</f>
        <v/>
      </c>
      <c r="T27" s="11">
        <f>IF($A27="","",IF($B27="Cash Secured Put",$K27*$M27*100,IF($B27="Covered Call",$K27*$M27*100,IF($H27="Stock",$M27*$N27,""))))</f>
        <v/>
      </c>
      <c r="U27" s="19">
        <f>IF(OR($A27="",$C27&lt;&gt;"Closed",$D27="",$E27="",$T27=0),"",$R27/$T27*365/MAX(1,$E27-$D27))</f>
        <v/>
      </c>
      <c r="V27" s="14" t="inlineStr">
        <is>
          <t>Bought to close NTNX $55 covered call per joint CSV.</t>
        </is>
      </c>
      <c r="W27" s="12" t="inlineStr">
        <is>
          <t>Broker CSV</t>
        </is>
      </c>
    </row>
    <row r="28">
      <c r="A28" s="12" t="n">
        <v>28</v>
      </c>
      <c r="B28" s="14" t="inlineStr">
        <is>
          <t>Long Call/Put</t>
        </is>
      </c>
      <c r="C28" s="14" t="inlineStr">
        <is>
          <t>Closed</t>
        </is>
      </c>
      <c r="D28" s="15" t="n">
        <v>46168</v>
      </c>
      <c r="E28" s="15" t="n">
        <v>46178</v>
      </c>
      <c r="F28" s="16">
        <f>IF($E28="","",DATE(YEAR($E28),MONTH($E28),1))</f>
        <v/>
      </c>
      <c r="G28" s="14" t="inlineStr">
        <is>
          <t>SOFI</t>
        </is>
      </c>
      <c r="H28" s="14" t="inlineStr">
        <is>
          <t>Option</t>
        </is>
      </c>
      <c r="I28" s="14" t="inlineStr">
        <is>
          <t>Buy</t>
        </is>
      </c>
      <c r="J28" s="14" t="inlineStr">
        <is>
          <t>Call</t>
        </is>
      </c>
      <c r="K28" s="17" t="n">
        <v>22</v>
      </c>
      <c r="L28" s="15" t="n">
        <v>46738</v>
      </c>
      <c r="M28" s="14" t="n">
        <v>2</v>
      </c>
      <c r="N28" s="17" t="n">
        <v>4</v>
      </c>
      <c r="O28" s="17" t="n">
        <v>4.05</v>
      </c>
      <c r="P28" s="18" t="n">
        <v>0.19</v>
      </c>
      <c r="Q28" s="11">
        <f>IF($A28="","",IF($H28="Stock",IF($I28="Buy",-$M28*$N28-$P28,IF($I28="Sell",IF($N28="", $M28*$O28-$P28,($O28-$N28)*$M28-$P28),"")),IF($I28="Sell",($N28-IF($O28="",0,$O28))*$M28*100-$P28,IF($I28="Buy",(IF($O28="",0,$O28)-$N28)*$M28*100-$P28,""))))</f>
        <v/>
      </c>
      <c r="R28" s="11">
        <f>IF($A28="","",IF($C28="Open","",$Q28))</f>
        <v/>
      </c>
      <c r="S28" s="12">
        <f>IF($A28="","",IFS($B28="Covered Call","Covered Call Premium",$B28="Cash Secured Put","Cash Secured Put Premium",$B28="Long Call/Put","Long Call/Put P/L",$B28="Debit Spread","Long Call/Put P/L",$B28="Stock Sale","Stock Sales",TRUE,"Other"))</f>
        <v/>
      </c>
      <c r="T28" s="11">
        <f>IF($A28="","",IF($B28="Cash Secured Put",$K28*$M28*100,IF($B28="Covered Call",$K28*$M28*100,IF($H28="Stock",$M28*$N28,""))))</f>
        <v/>
      </c>
      <c r="U28" s="19">
        <f>IF(OR($A28="",$C28&lt;&gt;"Closed",$D28="",$E28="",$T28=0),"",$R28/$T28*365/MAX(1,$E28-$D28))</f>
        <v/>
      </c>
      <c r="V28" s="14" t="inlineStr">
        <is>
          <t>Sold to close 2 SOFI $22 calls at $4.05 per joint CSV.</t>
        </is>
      </c>
      <c r="W28" s="12" t="inlineStr">
        <is>
          <t>Broker CSV</t>
        </is>
      </c>
    </row>
    <row r="29">
      <c r="A29" s="12" t="n">
        <v>29</v>
      </c>
      <c r="B29" s="14" t="inlineStr">
        <is>
          <t>Long Call/Put</t>
        </is>
      </c>
      <c r="C29" s="14" t="inlineStr">
        <is>
          <t>Open</t>
        </is>
      </c>
      <c r="D29" s="15" t="n">
        <v>46170</v>
      </c>
      <c r="E29" s="15" t="n"/>
      <c r="F29" s="16">
        <f>IF($E29="","",DATE(YEAR($E29),MONTH($E29),1))</f>
        <v/>
      </c>
      <c r="G29" s="14" t="inlineStr">
        <is>
          <t>FIVN</t>
        </is>
      </c>
      <c r="H29" s="14" t="inlineStr">
        <is>
          <t>Option</t>
        </is>
      </c>
      <c r="I29" s="14" t="inlineStr">
        <is>
          <t>Buy</t>
        </is>
      </c>
      <c r="J29" s="14" t="inlineStr">
        <is>
          <t>Call</t>
        </is>
      </c>
      <c r="K29" s="17" t="n">
        <v>25</v>
      </c>
      <c r="L29" s="15" t="n">
        <v>46311</v>
      </c>
      <c r="M29" s="14" t="n">
        <v>2</v>
      </c>
      <c r="N29" s="17" t="n">
        <v>4.3</v>
      </c>
      <c r="O29" s="17" t="n">
        <v>4.3</v>
      </c>
      <c r="P29" s="18" t="n">
        <v>0</v>
      </c>
      <c r="Q29" s="11">
        <f>IF($A29="","",IF($H29="Stock",IF($I29="Buy",-$M29*$N29-$P29,IF($I29="Sell",IF($N29="", $M29*$O29-$P29,($O29-$N29)*$M29-$P29),"")),IF($I29="Sell",($N29-IF($O29="",0,$O29))*$M29*100-$P29,IF($I29="Buy",(IF($O29="",0,$O29)-$N29)*$M29*100-$P29,""))))</f>
        <v/>
      </c>
      <c r="R29" s="11">
        <f>IF($A29="","",IF($C29="Open","",$Q29))</f>
        <v/>
      </c>
      <c r="S29" s="12">
        <f>IF($A29="","",IFS($B29="Covered Call","Covered Call Premium",$B29="Cash Secured Put","Cash Secured Put Premium",$B29="Long Call/Put","Long Call/Put P/L",$B29="Debit Spread","Long Call/Put P/L",$B29="Stock Sale","Stock Sales",TRUE,"Other"))</f>
        <v/>
      </c>
      <c r="T29" s="11">
        <f>IF($A29="","",IF($B29="Cash Secured Put",$K29*$M29*100,IF($B29="Covered Call",$K29*$M29*100,IF($H29="Stock",$M29*$N29,""))))</f>
        <v/>
      </c>
      <c r="U29" s="19">
        <f>IF(OR($A29="",$C29&lt;&gt;"Closed",$D29="",$E29="",$T29=0),"",$R29/$T29*365/MAX(1,$E29-$D29))</f>
        <v/>
      </c>
      <c r="V29" s="14" t="inlineStr">
        <is>
          <t>Open FIVN $25 calls per joint CSV.</t>
        </is>
      </c>
      <c r="W29" s="12" t="inlineStr">
        <is>
          <t>Broker CSV</t>
        </is>
      </c>
    </row>
    <row r="30">
      <c r="A30" s="12" t="n">
        <v>30</v>
      </c>
      <c r="B30" s="14" t="inlineStr">
        <is>
          <t>Long Call/Put</t>
        </is>
      </c>
      <c r="C30" s="14" t="inlineStr">
        <is>
          <t>Closed</t>
        </is>
      </c>
      <c r="D30" s="15" t="n">
        <v>46164</v>
      </c>
      <c r="E30" s="15" t="n">
        <v>46177</v>
      </c>
      <c r="F30" s="16">
        <f>IF($E30="","",DATE(YEAR($E30),MONTH($E30),1))</f>
        <v/>
      </c>
      <c r="G30" s="14" t="inlineStr">
        <is>
          <t>SONY</t>
        </is>
      </c>
      <c r="H30" s="14" t="inlineStr">
        <is>
          <t>Option</t>
        </is>
      </c>
      <c r="I30" s="14" t="inlineStr">
        <is>
          <t>Buy</t>
        </is>
      </c>
      <c r="J30" s="14" t="inlineStr">
        <is>
          <t>Call</t>
        </is>
      </c>
      <c r="K30" s="17" t="n">
        <v>30</v>
      </c>
      <c r="L30" s="15" t="n">
        <v>46283</v>
      </c>
      <c r="M30" s="14" t="n">
        <v>6</v>
      </c>
      <c r="N30" s="17" t="n">
        <v>0.36</v>
      </c>
      <c r="O30" s="17" t="n">
        <v>0.3</v>
      </c>
      <c r="P30" s="18" t="n">
        <v>0.27</v>
      </c>
      <c r="Q30" s="11">
        <f>IF($A30="","",IF($H30="Stock",IF($I30="Buy",-$M30*$N30-$P30,IF($I30="Sell",IF($N30="", $M30*$O30-$P30,($O30-$N30)*$M30-$P30),"")),IF($I30="Sell",($N30-IF($O30="",0,$O30))*$M30*100-$P30,IF($I30="Buy",(IF($O30="",0,$O30)-$N30)*$M30*100-$P30,""))))</f>
        <v/>
      </c>
      <c r="R30" s="11">
        <f>IF($A30="","",IF($C30="Open","",$Q30))</f>
        <v/>
      </c>
      <c r="S30" s="12">
        <f>IF($A30="","",IFS($B30="Covered Call","Covered Call Premium",$B30="Cash Secured Put","Cash Secured Put Premium",$B30="Long Call/Put","Long Call/Put P/L",$B30="Debit Spread","Long Call/Put P/L",$B30="Stock Sale","Stock Sales",TRUE,"Other"))</f>
        <v/>
      </c>
      <c r="T30" s="11">
        <f>IF($A30="","",IF($B30="Cash Secured Put",$K30*$M30*100,IF($B30="Covered Call",$K30*$M30*100,IF($H30="Stock",$M30*$N30,""))))</f>
        <v/>
      </c>
      <c r="U30" s="19">
        <f>IF(OR($A30="",$C30&lt;&gt;"Closed",$D30="",$E30="",$T30=0),"",$R30/$T30*365/MAX(1,$E30-$D30))</f>
        <v/>
      </c>
      <c r="V30" s="14" t="inlineStr">
        <is>
          <t>Sold to close 6 SONY $30 calls at $0.30 per individual CSV.</t>
        </is>
      </c>
      <c r="W30" s="12" t="inlineStr">
        <is>
          <t>Broker CSV</t>
        </is>
      </c>
    </row>
    <row r="31">
      <c r="A31" s="12" t="n">
        <v>31</v>
      </c>
      <c r="B31" s="14" t="inlineStr">
        <is>
          <t>Long Call/Put</t>
        </is>
      </c>
      <c r="C31" s="14" t="inlineStr">
        <is>
          <t>Closed</t>
        </is>
      </c>
      <c r="D31" s="15" t="n">
        <v>46168</v>
      </c>
      <c r="E31" s="15" t="n">
        <v>46184</v>
      </c>
      <c r="F31" s="16">
        <f>IF($E31="","",DATE(YEAR($E31),MONTH($E31),1))</f>
        <v/>
      </c>
      <c r="G31" s="14" t="inlineStr">
        <is>
          <t>SONY</t>
        </is>
      </c>
      <c r="H31" s="14" t="inlineStr">
        <is>
          <t>Option</t>
        </is>
      </c>
      <c r="I31" s="14" t="inlineStr">
        <is>
          <t>Buy</t>
        </is>
      </c>
      <c r="J31" s="14" t="inlineStr">
        <is>
          <t>Call</t>
        </is>
      </c>
      <c r="K31" s="17" t="n">
        <v>22.5</v>
      </c>
      <c r="L31" s="15" t="n">
        <v>46374</v>
      </c>
      <c r="M31" s="14" t="n">
        <v>5</v>
      </c>
      <c r="N31" s="17" t="n">
        <v>2.8</v>
      </c>
      <c r="O31" s="17" t="n">
        <v>1.85</v>
      </c>
      <c r="P31" s="18" t="n">
        <v>0</v>
      </c>
      <c r="Q31" s="11">
        <f>IF($A31="","",IF($H31="Stock",IF($I31="Buy",-$M31*$N31-$P31,IF($I31="Sell",IF($N31="", $M31*$O31-$P31,($O31-$N31)*$M31-$P31),"")),IF($I31="Sell",($N31-IF($O31="",0,$O31))*$M31*100-$P31,IF($I31="Buy",(IF($O31="",0,$O31)-$N31)*$M31*100-$P31,""))))</f>
        <v/>
      </c>
      <c r="R31" s="11">
        <f>IF($A31="","",IF($C31="Open","",$Q31))</f>
        <v/>
      </c>
      <c r="S31" s="12">
        <f>IF($A31="","",IFS($B31="Covered Call","Covered Call Premium",$B31="Cash Secured Put","Cash Secured Put Premium",$B31="Long Call/Put","Long Call/Put P/L",$B31="Debit Spread","Long Call/Put P/L",$B31="Stock Sale","Stock Sales",TRUE,"Other"))</f>
        <v/>
      </c>
      <c r="T31" s="11">
        <f>IF($A31="","",IF($B31="Cash Secured Put",$K31*$M31*100,IF($B31="Covered Call",$K31*$M31*100,IF($H31="Stock",$M31*$N31,""))))</f>
        <v/>
      </c>
      <c r="U31" s="19">
        <f>IF(OR($A31="",$C31&lt;&gt;"Closed",$D31="",$E31="",$T31=0),"",$R31/$T31*365/MAX(1,$E31-$D31))</f>
        <v/>
      </c>
      <c r="V31" s="14" t="inlineStr">
        <is>
          <t>Closed all 5 SONY $22.50 12/18/26 calls at $1.85 each on 2026-06-11. User noted lesson: copy trading someone else did not work out.</t>
        </is>
      </c>
      <c r="W31" s="12" t="inlineStr">
        <is>
          <t>User trade update</t>
        </is>
      </c>
    </row>
    <row r="32">
      <c r="A32" s="12" t="n">
        <v>32</v>
      </c>
      <c r="B32" s="14" t="inlineStr">
        <is>
          <t>Long Call/Put</t>
        </is>
      </c>
      <c r="C32" s="14" t="inlineStr">
        <is>
          <t>Closed</t>
        </is>
      </c>
      <c r="D32" s="15" t="n">
        <v>46168</v>
      </c>
      <c r="E32" s="15" t="n">
        <v>46184</v>
      </c>
      <c r="F32" s="16">
        <f>IF($E32="","",DATE(YEAR($E32),MONTH($E32),1))</f>
        <v/>
      </c>
      <c r="G32" s="14" t="inlineStr">
        <is>
          <t>SONY</t>
        </is>
      </c>
      <c r="H32" s="14" t="inlineStr">
        <is>
          <t>Option</t>
        </is>
      </c>
      <c r="I32" s="14" t="inlineStr">
        <is>
          <t>Buy</t>
        </is>
      </c>
      <c r="J32" s="14" t="inlineStr">
        <is>
          <t>Call</t>
        </is>
      </c>
      <c r="K32" s="17" t="n">
        <v>22.5</v>
      </c>
      <c r="L32" s="15" t="n">
        <v>46402</v>
      </c>
      <c r="M32" s="14" t="n">
        <v>7</v>
      </c>
      <c r="N32" s="17" t="n">
        <v>2.77</v>
      </c>
      <c r="O32" s="17" t="n">
        <v>2</v>
      </c>
      <c r="P32" s="18" t="n">
        <v>0</v>
      </c>
      <c r="Q32" s="11">
        <f>IF($A32="","",IF($H32="Stock",IF($I32="Buy",-$M32*$N32-$P32,IF($I32="Sell",IF($N32="", $M32*$O32-$P32,($O32-$N32)*$M32-$P32),"")),IF($I32="Sell",($N32-IF($O32="",0,$O32))*$M32*100-$P32,IF($I32="Buy",(IF($O32="",0,$O32)-$N32)*$M32*100-$P32,""))))</f>
        <v/>
      </c>
      <c r="R32" s="11">
        <f>IF($A32="","",IF($C32="Open","",$Q32))</f>
        <v/>
      </c>
      <c r="S32" s="12">
        <f>IF($A32="","",IFS($B32="Covered Call","Covered Call Premium",$B32="Cash Secured Put","Cash Secured Put Premium",$B32="Long Call/Put","Long Call/Put P/L",$B32="Debit Spread","Long Call/Put P/L",$B32="Stock Sale","Stock Sales",TRUE,"Other"))</f>
        <v/>
      </c>
      <c r="T32" s="11">
        <f>IF($A32="","",IF($B32="Cash Secured Put",$K32*$M32*100,IF($B32="Covered Call",$K32*$M32*100,IF($H32="Stock",$M32*$N32,""))))</f>
        <v/>
      </c>
      <c r="U32" s="19">
        <f>IF(OR($A32="",$C32&lt;&gt;"Closed",$D32="",$E32="",$T32=0),"",$R32/$T32*365/MAX(1,$E32-$D32))</f>
        <v/>
      </c>
      <c r="V32" s="14" t="inlineStr">
        <is>
          <t>Closed all 7 SONY $22.50 1/15/27 calls at $2.00 each on 2026-06-11. User noted lesson: copy trading someone else did not work out.</t>
        </is>
      </c>
      <c r="W32" s="12" t="inlineStr">
        <is>
          <t>User trade update</t>
        </is>
      </c>
    </row>
    <row r="33">
      <c r="A33" s="12" t="n">
        <v>35</v>
      </c>
      <c r="B33" s="14" t="inlineStr">
        <is>
          <t>Covered Call</t>
        </is>
      </c>
      <c r="C33" s="14" t="inlineStr">
        <is>
          <t>Open</t>
        </is>
      </c>
      <c r="D33" s="15" t="n">
        <v>46171</v>
      </c>
      <c r="E33" s="15" t="n"/>
      <c r="F33" s="16">
        <f>IF($E33="","",DATE(YEAR($E33),MONTH($E33),1))</f>
        <v/>
      </c>
      <c r="G33" s="14" t="inlineStr">
        <is>
          <t>PLTR</t>
        </is>
      </c>
      <c r="H33" s="14" t="inlineStr">
        <is>
          <t>Option</t>
        </is>
      </c>
      <c r="I33" s="14" t="inlineStr">
        <is>
          <t>Sell</t>
        </is>
      </c>
      <c r="J33" s="14" t="inlineStr">
        <is>
          <t>Call</t>
        </is>
      </c>
      <c r="K33" s="17" t="n">
        <v>220</v>
      </c>
      <c r="L33" s="15" t="n">
        <v>46402</v>
      </c>
      <c r="M33" s="14" t="n">
        <v>1</v>
      </c>
      <c r="N33" s="17" t="n">
        <v>12.5</v>
      </c>
      <c r="O33" s="17" t="n">
        <v>12.5</v>
      </c>
      <c r="P33" s="18" t="n">
        <v>0</v>
      </c>
      <c r="Q33" s="11">
        <f>IF($A33="","",IF($H33="Stock",IF($I33="Buy",-$M33*$N33-$P33,IF($I33="Sell",IF($N33="", $M33*$O33-$P33,($O33-$N33)*$M33-$P33),"")),IF($I33="Sell",($N33-IF($O33="",0,$O33))*$M33*100-$P33,IF($I33="Buy",(IF($O33="",0,$O33)-$N33)*$M33*100-$P33,""))))</f>
        <v/>
      </c>
      <c r="R33" s="11">
        <f>IF($A33="","",IF($C33="Open","",$Q33))</f>
        <v/>
      </c>
      <c r="S33" s="12">
        <f>IF($A33="","",IFS($B33="Covered Call","Covered Call Premium",$B33="Cash Secured Put","Cash Secured Put Premium",$B33="Long Call/Put","Long Call/Put P/L",$B33="Debit Spread","Long Call/Put P/L",$B33="Stock Sale","Stock Sales",TRUE,"Other"))</f>
        <v/>
      </c>
      <c r="T33" s="11">
        <f>IF($A33="","",IF($B33="Cash Secured Put",$K33*$M33*100,IF($B33="Covered Call",$K33*$M33*100,IF($H33="Stock",$M33*$N33,""))))</f>
        <v/>
      </c>
      <c r="U33" s="19">
        <f>IF(OR($A33="",$C33&lt;&gt;"Closed",$D33="",$E33="",$T33=0),"",$R33/$T33*365/MAX(1,$E33-$D33))</f>
        <v/>
      </c>
      <c r="V33" s="14" t="inlineStr">
        <is>
          <t>Final open PLTR $220 covered call from 2026-05-29 roll sequence per joint CSV.</t>
        </is>
      </c>
      <c r="W33" s="12" t="inlineStr">
        <is>
          <t>Broker CSV</t>
        </is>
      </c>
    </row>
    <row r="34">
      <c r="A34" s="12" t="n">
        <v>36</v>
      </c>
      <c r="B34" s="14" t="inlineStr">
        <is>
          <t>Cash Secured Put</t>
        </is>
      </c>
      <c r="C34" s="14" t="inlineStr">
        <is>
          <t>Open</t>
        </is>
      </c>
      <c r="D34" s="15" t="n">
        <v>46174</v>
      </c>
      <c r="E34" s="15" t="n"/>
      <c r="F34" s="16">
        <f>IF($E34="","",DATE(YEAR($E34),MONTH($E34),1))</f>
        <v/>
      </c>
      <c r="G34" s="14" t="inlineStr">
        <is>
          <t>CRNC</t>
        </is>
      </c>
      <c r="H34" s="14" t="inlineStr">
        <is>
          <t>Option</t>
        </is>
      </c>
      <c r="I34" s="14" t="inlineStr">
        <is>
          <t>Sell</t>
        </is>
      </c>
      <c r="J34" s="14" t="inlineStr">
        <is>
          <t>Put</t>
        </is>
      </c>
      <c r="K34" s="17" t="n">
        <v>12</v>
      </c>
      <c r="L34" s="15" t="n">
        <v>46191</v>
      </c>
      <c r="M34" s="14" t="n">
        <v>2</v>
      </c>
      <c r="N34" s="17" t="n">
        <v>1.05</v>
      </c>
      <c r="O34" s="17" t="n">
        <v>1.05</v>
      </c>
      <c r="P34" s="18" t="n">
        <v>0</v>
      </c>
      <c r="Q34" s="11">
        <f>IF($A34="","",IF($H34="Stock",IF($I34="Buy",-$M34*$N34-$P34,IF($I34="Sell",IF($N34="", $M34*$O34-$P34,($O34-$N34)*$M34-$P34),"")),IF($I34="Sell",($N34-IF($O34="",0,$O34))*$M34*100-$P34,IF($I34="Buy",(IF($O34="",0,$O34)-$N34)*$M34*100-$P34,""))))</f>
        <v/>
      </c>
      <c r="R34" s="11">
        <f>IF($A34="","",IF($C34="Open","",$Q34))</f>
        <v/>
      </c>
      <c r="S34" s="12">
        <f>IF($A34="","",IFS($B34="Covered Call","Covered Call Premium",$B34="Cash Secured Put","Cash Secured Put Premium",$B34="Long Call/Put","Long Call/Put P/L",$B34="Debit Spread","Long Call/Put P/L",$B34="Stock Sale","Stock Sales",TRUE,"Other"))</f>
        <v/>
      </c>
      <c r="T34" s="11">
        <f>IF($A34="","",IF($B34="Cash Secured Put",$K34*$M34*100,IF($B34="Covered Call",$K34*$M34*100,IF($H34="Stock",$M34*$N34,""))))</f>
        <v/>
      </c>
      <c r="U34" s="19">
        <f>IF(OR($A34="",$C34&lt;&gt;"Closed",$D34="",$E34="",$T34=0),"",$R34/$T34*365/MAX(1,$E34-$D34))</f>
        <v/>
      </c>
      <c r="V34" s="14" t="inlineStr">
        <is>
          <t>Open 2 CRNC $12 cash secured puts per joint CSV.</t>
        </is>
      </c>
      <c r="W34" s="12" t="inlineStr">
        <is>
          <t>Broker CSV</t>
        </is>
      </c>
    </row>
    <row r="35">
      <c r="A35" s="12" t="n">
        <v>37</v>
      </c>
      <c r="B35" s="14" t="inlineStr">
        <is>
          <t>Long Call/Put</t>
        </is>
      </c>
      <c r="C35" s="14" t="inlineStr">
        <is>
          <t>Open</t>
        </is>
      </c>
      <c r="D35" s="15" t="n">
        <v>46174</v>
      </c>
      <c r="E35" s="15" t="n"/>
      <c r="F35" s="16">
        <f>IF($E35="","",DATE(YEAR($E35),MONTH($E35),1))</f>
        <v/>
      </c>
      <c r="G35" s="14" t="inlineStr">
        <is>
          <t>CRNC</t>
        </is>
      </c>
      <c r="H35" s="14" t="inlineStr">
        <is>
          <t>Option</t>
        </is>
      </c>
      <c r="I35" s="14" t="inlineStr">
        <is>
          <t>Buy</t>
        </is>
      </c>
      <c r="J35" s="14" t="inlineStr">
        <is>
          <t>Call</t>
        </is>
      </c>
      <c r="K35" s="17" t="n">
        <v>10</v>
      </c>
      <c r="L35" s="15" t="n">
        <v>46255</v>
      </c>
      <c r="M35" s="14" t="n">
        <v>6</v>
      </c>
      <c r="N35" s="17" t="n">
        <v>3.83</v>
      </c>
      <c r="O35" s="17" t="n">
        <v>3.83</v>
      </c>
      <c r="P35" s="18" t="n">
        <v>0</v>
      </c>
      <c r="Q35" s="11">
        <f>IF($A35="","",IF($H35="Stock",IF($I35="Buy",-$M35*$N35-$P35,IF($I35="Sell",IF($N35="", $M35*$O35-$P35,($O35-$N35)*$M35-$P35),"")),IF($I35="Sell",($N35-IF($O35="",0,$O35))*$M35*100-$P35,IF($I35="Buy",(IF($O35="",0,$O35)-$N35)*$M35*100-$P35,""))))</f>
        <v/>
      </c>
      <c r="R35" s="11">
        <f>IF($A35="","",IF($C35="Open","",$Q35))</f>
        <v/>
      </c>
      <c r="S35" s="12">
        <f>IF($A35="","",IFS($B35="Covered Call","Covered Call Premium",$B35="Cash Secured Put","Cash Secured Put Premium",$B35="Long Call/Put","Long Call/Put P/L",$B35="Debit Spread","Long Call/Put P/L",$B35="Stock Sale","Stock Sales",TRUE,"Other"))</f>
        <v/>
      </c>
      <c r="T35" s="11">
        <f>IF($A35="","",IF($B35="Cash Secured Put",$K35*$M35*100,IF($B35="Covered Call",$K35*$M35*100,IF($H35="Stock",$M35*$N35,""))))</f>
        <v/>
      </c>
      <c r="U35" s="19">
        <f>IF(OR($A35="",$C35&lt;&gt;"Closed",$D35="",$E35="",$T35=0),"",$R35/$T35*365/MAX(1,$E35-$D35))</f>
        <v/>
      </c>
      <c r="V35" s="14" t="inlineStr">
        <is>
          <t>Open CRNC $10 calls: 2 at $4.10, 2 at $3.60, 2 at $3.80; weighted average about $3.83.</t>
        </is>
      </c>
      <c r="W35" s="12" t="inlineStr">
        <is>
          <t>Broker CSV</t>
        </is>
      </c>
    </row>
    <row r="36">
      <c r="A36" s="12" t="n">
        <v>38</v>
      </c>
      <c r="B36" s="14" t="inlineStr">
        <is>
          <t>Covered Call</t>
        </is>
      </c>
      <c r="C36" s="14" t="inlineStr">
        <is>
          <t>Closed</t>
        </is>
      </c>
      <c r="D36" s="15" t="n">
        <v>46171</v>
      </c>
      <c r="E36" s="15" t="n">
        <v>46171</v>
      </c>
      <c r="F36" s="16">
        <f>IF($E36="","",DATE(YEAR($E36),MONTH($E36),1))</f>
        <v/>
      </c>
      <c r="G36" s="14" t="inlineStr">
        <is>
          <t>PLTR</t>
        </is>
      </c>
      <c r="H36" s="14" t="inlineStr">
        <is>
          <t>Option</t>
        </is>
      </c>
      <c r="I36" s="14" t="inlineStr">
        <is>
          <t>Sell</t>
        </is>
      </c>
      <c r="J36" s="14" t="inlineStr">
        <is>
          <t>Call</t>
        </is>
      </c>
      <c r="K36" s="17" t="n">
        <v>152.5</v>
      </c>
      <c r="L36" s="15" t="n">
        <v>46191</v>
      </c>
      <c r="M36" s="14" t="n">
        <v>1</v>
      </c>
      <c r="N36" s="17" t="n">
        <v>10.02</v>
      </c>
      <c r="O36" s="17" t="n">
        <v>10.75</v>
      </c>
      <c r="P36" s="18" t="n">
        <v>0.08</v>
      </c>
      <c r="Q36" s="11">
        <f>IF($A36="","",IF($H36="Stock",IF($I36="Buy",-$M36*$N36-$P36,IF($I36="Sell",IF($N36="", $M36*$O36-$P36,($O36-$N36)*$M36-$P36),"")),IF($I36="Sell",($N36-IF($O36="",0,$O36))*$M36*100-$P36,IF($I36="Buy",(IF($O36="",0,$O36)-$N36)*$M36*100-$P36,""))))</f>
        <v/>
      </c>
      <c r="R36" s="11">
        <f>IF($A36="","",IF($C36="Open","",$Q36))</f>
        <v/>
      </c>
      <c r="S36" s="12">
        <f>IF($A36="","",IFS($B36="Covered Call","Covered Call Premium",$B36="Cash Secured Put","Cash Secured Put Premium",$B36="Long Call/Put","Long Call/Put P/L",$B36="Debit Spread","Long Call/Put P/L",$B36="Stock Sale","Stock Sales",TRUE,"Other"))</f>
        <v/>
      </c>
      <c r="T36" s="11">
        <f>IF($A36="","",IF($B36="Cash Secured Put",$K36*$M36*100,IF($B36="Covered Call",$K36*$M36*100,IF($H36="Stock",$M36*$N36,""))))</f>
        <v/>
      </c>
      <c r="U36" s="19">
        <f>IF(OR($A36="",$C36&lt;&gt;"Closed",$D36="",$E36="",$T36=0),"",$R36/$T36*365/MAX(1,$E36-$D36))</f>
        <v/>
      </c>
      <c r="V36" s="14" t="inlineStr">
        <is>
          <t>Intraday PLTR roll leg from joint CSV.</t>
        </is>
      </c>
      <c r="W36" s="12" t="inlineStr">
        <is>
          <t>Broker CSV</t>
        </is>
      </c>
    </row>
    <row r="37">
      <c r="A37" s="12" t="n">
        <v>39</v>
      </c>
      <c r="B37" s="14" t="inlineStr">
        <is>
          <t>Covered Call</t>
        </is>
      </c>
      <c r="C37" s="14" t="inlineStr">
        <is>
          <t>Closed</t>
        </is>
      </c>
      <c r="D37" s="15" t="n">
        <v>46171</v>
      </c>
      <c r="E37" s="15" t="n">
        <v>46171</v>
      </c>
      <c r="F37" s="16">
        <f>IF($E37="","",DATE(YEAR($E37),MONTH($E37),1))</f>
        <v/>
      </c>
      <c r="G37" s="14" t="inlineStr">
        <is>
          <t>PLTR</t>
        </is>
      </c>
      <c r="H37" s="14" t="inlineStr">
        <is>
          <t>Option</t>
        </is>
      </c>
      <c r="I37" s="14" t="inlineStr">
        <is>
          <t>Sell</t>
        </is>
      </c>
      <c r="J37" s="14" t="inlineStr">
        <is>
          <t>Call</t>
        </is>
      </c>
      <c r="K37" s="17" t="n">
        <v>220</v>
      </c>
      <c r="L37" s="15" t="n">
        <v>46402</v>
      </c>
      <c r="M37" s="14" t="n">
        <v>1</v>
      </c>
      <c r="N37" s="17" t="n">
        <v>10.6</v>
      </c>
      <c r="O37" s="17" t="n">
        <v>12.02</v>
      </c>
      <c r="P37" s="18" t="n">
        <v>0.08</v>
      </c>
      <c r="Q37" s="11">
        <f>IF($A37="","",IF($H37="Stock",IF($I37="Buy",-$M37*$N37-$P37,IF($I37="Sell",IF($N37="", $M37*$O37-$P37,($O37-$N37)*$M37-$P37),"")),IF($I37="Sell",($N37-IF($O37="",0,$O37))*$M37*100-$P37,IF($I37="Buy",(IF($O37="",0,$O37)-$N37)*$M37*100-$P37,""))))</f>
        <v/>
      </c>
      <c r="R37" s="11">
        <f>IF($A37="","",IF($C37="Open","",$Q37))</f>
        <v/>
      </c>
      <c r="S37" s="12">
        <f>IF($A37="","",IFS($B37="Covered Call","Covered Call Premium",$B37="Cash Secured Put","Cash Secured Put Premium",$B37="Long Call/Put","Long Call/Put P/L",$B37="Debit Spread","Long Call/Put P/L",$B37="Stock Sale","Stock Sales",TRUE,"Other"))</f>
        <v/>
      </c>
      <c r="T37" s="11">
        <f>IF($A37="","",IF($B37="Cash Secured Put",$K37*$M37*100,IF($B37="Covered Call",$K37*$M37*100,IF($H37="Stock",$M37*$N37,""))))</f>
        <v/>
      </c>
      <c r="U37" s="19">
        <f>IF(OR($A37="",$C37&lt;&gt;"Closed",$D37="",$E37="",$T37=0),"",$R37/$T37*365/MAX(1,$E37-$D37))</f>
        <v/>
      </c>
      <c r="V37" s="14" t="inlineStr">
        <is>
          <t>Intermediate PLTR $220 roll leg from joint CSV.</t>
        </is>
      </c>
      <c r="W37" s="12" t="inlineStr">
        <is>
          <t>Broker CSV</t>
        </is>
      </c>
    </row>
    <row r="38">
      <c r="A38" s="12" t="n">
        <v>40</v>
      </c>
      <c r="B38" s="14" t="inlineStr">
        <is>
          <t>Covered Call</t>
        </is>
      </c>
      <c r="C38" s="14" t="inlineStr">
        <is>
          <t>Closed</t>
        </is>
      </c>
      <c r="D38" s="15" t="n">
        <v>46169</v>
      </c>
      <c r="E38" s="15" t="n">
        <v>46169</v>
      </c>
      <c r="F38" s="16">
        <f>IF($E38="","",DATE(YEAR($E38),MONTH($E38),1))</f>
        <v/>
      </c>
      <c r="G38" s="14" t="inlineStr">
        <is>
          <t>HOOD</t>
        </is>
      </c>
      <c r="H38" s="14" t="inlineStr">
        <is>
          <t>Option</t>
        </is>
      </c>
      <c r="I38" s="14" t="inlineStr">
        <is>
          <t>Sell</t>
        </is>
      </c>
      <c r="J38" s="14" t="inlineStr">
        <is>
          <t>Call</t>
        </is>
      </c>
      <c r="K38" s="17" t="n">
        <v>90</v>
      </c>
      <c r="L38" s="15" t="n">
        <v>46191</v>
      </c>
      <c r="M38" s="14" t="n">
        <v>1</v>
      </c>
      <c r="N38" s="17" t="n">
        <v>0.98</v>
      </c>
      <c r="O38" s="17" t="n">
        <v>0.95</v>
      </c>
      <c r="P38" s="18" t="n">
        <v>0.08</v>
      </c>
      <c r="Q38" s="11">
        <f>IF($A38="","",IF($H38="Stock",IF($I38="Buy",-$M38*$N38-$P38,IF($I38="Sell",IF($N38="", $M38*$O38-$P38,($O38-$N38)*$M38-$P38),"")),IF($I38="Sell",($N38-IF($O38="",0,$O38))*$M38*100-$P38,IF($I38="Buy",(IF($O38="",0,$O38)-$N38)*$M38*100-$P38,""))))</f>
        <v/>
      </c>
      <c r="R38" s="11">
        <f>IF($A38="","",IF($C38="Open","",$Q38))</f>
        <v/>
      </c>
      <c r="S38" s="12">
        <f>IF($A38="","",IFS($B38="Covered Call","Covered Call Premium",$B38="Cash Secured Put","Cash Secured Put Premium",$B38="Long Call/Put","Long Call/Put P/L",$B38="Debit Spread","Long Call/Put P/L",$B38="Stock Sale","Stock Sales",TRUE,"Other"))</f>
        <v/>
      </c>
      <c r="T38" s="11">
        <f>IF($A38="","",IF($B38="Cash Secured Put",$K38*$M38*100,IF($B38="Covered Call",$K38*$M38*100,IF($H38="Stock",$M38*$N38,""))))</f>
        <v/>
      </c>
      <c r="U38" s="19">
        <f>IF(OR($A38="",$C38&lt;&gt;"Closed",$D38="",$E38="",$T38=0),"",$R38/$T38*365/MAX(1,$E38-$D38))</f>
        <v/>
      </c>
      <c r="V38" s="14" t="inlineStr">
        <is>
          <t>Opened and closed HOOD $90 call per joint CSV.</t>
        </is>
      </c>
      <c r="W38" s="12" t="inlineStr">
        <is>
          <t>Broker CSV</t>
        </is>
      </c>
    </row>
    <row r="39">
      <c r="A39" s="12" t="n">
        <v>41</v>
      </c>
      <c r="B39" s="14" t="inlineStr">
        <is>
          <t>Covered Call</t>
        </is>
      </c>
      <c r="C39" s="14" t="inlineStr">
        <is>
          <t>Closed</t>
        </is>
      </c>
      <c r="D39" s="15" t="n">
        <v>46171</v>
      </c>
      <c r="E39" s="15" t="n">
        <v>46174</v>
      </c>
      <c r="F39" s="16">
        <f>IF($E39="","",DATE(YEAR($E39),MONTH($E39),1))</f>
        <v/>
      </c>
      <c r="G39" s="14" t="inlineStr">
        <is>
          <t>HOOD</t>
        </is>
      </c>
      <c r="H39" s="14" t="inlineStr">
        <is>
          <t>Option</t>
        </is>
      </c>
      <c r="I39" s="14" t="inlineStr">
        <is>
          <t>Sell</t>
        </is>
      </c>
      <c r="J39" s="14" t="inlineStr">
        <is>
          <t>Call</t>
        </is>
      </c>
      <c r="K39" s="17" t="n">
        <v>120</v>
      </c>
      <c r="L39" s="15" t="n">
        <v>46191</v>
      </c>
      <c r="M39" s="14" t="n">
        <v>1</v>
      </c>
      <c r="N39" s="17" t="n">
        <v>0.73</v>
      </c>
      <c r="O39" s="17" t="n">
        <v>0.63</v>
      </c>
      <c r="P39" s="18" t="n">
        <v>0.08</v>
      </c>
      <c r="Q39" s="11">
        <f>IF($A39="","",IF($H39="Stock",IF($I39="Buy",-$M39*$N39-$P39,IF($I39="Sell",IF($N39="", $M39*$O39-$P39,($O39-$N39)*$M39-$P39),"")),IF($I39="Sell",($N39-IF($O39="",0,$O39))*$M39*100-$P39,IF($I39="Buy",(IF($O39="",0,$O39)-$N39)*$M39*100-$P39,""))))</f>
        <v/>
      </c>
      <c r="R39" s="11">
        <f>IF($A39="","",IF($C39="Open","",$Q39))</f>
        <v/>
      </c>
      <c r="S39" s="12">
        <f>IF($A39="","",IFS($B39="Covered Call","Covered Call Premium",$B39="Cash Secured Put","Cash Secured Put Premium",$B39="Long Call/Put","Long Call/Put P/L",$B39="Debit Spread","Long Call/Put P/L",$B39="Stock Sale","Stock Sales",TRUE,"Other"))</f>
        <v/>
      </c>
      <c r="T39" s="11">
        <f>IF($A39="","",IF($B39="Cash Secured Put",$K39*$M39*100,IF($B39="Covered Call",$K39*$M39*100,IF($H39="Stock",$M39*$N39,""))))</f>
        <v/>
      </c>
      <c r="U39" s="19">
        <f>IF(OR($A39="",$C39&lt;&gt;"Closed",$D39="",$E39="",$T39=0),"",$R39/$T39*365/MAX(1,$E39-$D39))</f>
        <v/>
      </c>
      <c r="V39" s="14" t="inlineStr">
        <is>
          <t>Opened and closed HOOD $120 call per joint CSV.</t>
        </is>
      </c>
      <c r="W39" s="12" t="inlineStr">
        <is>
          <t>Broker CSV</t>
        </is>
      </c>
    </row>
    <row r="40">
      <c r="A40" s="12" t="n">
        <v>42</v>
      </c>
      <c r="B40" s="14" t="inlineStr">
        <is>
          <t>Covered Call</t>
        </is>
      </c>
      <c r="C40" s="14" t="inlineStr">
        <is>
          <t>Closed</t>
        </is>
      </c>
      <c r="D40" s="15" t="n">
        <v>46128</v>
      </c>
      <c r="E40" s="15" t="n">
        <v>46182</v>
      </c>
      <c r="F40" s="16">
        <f>IF($E40="","",DATE(YEAR($E40),MONTH($E40),1))</f>
        <v/>
      </c>
      <c r="G40" s="14" t="inlineStr">
        <is>
          <t>AEHR</t>
        </is>
      </c>
      <c r="H40" s="14" t="inlineStr">
        <is>
          <t>Option</t>
        </is>
      </c>
      <c r="I40" s="14" t="inlineStr">
        <is>
          <t>Sell</t>
        </is>
      </c>
      <c r="J40" s="14" t="inlineStr">
        <is>
          <t>Call</t>
        </is>
      </c>
      <c r="K40" s="17" t="n">
        <v>110</v>
      </c>
      <c r="L40" s="15" t="n">
        <v>46283</v>
      </c>
      <c r="M40" s="14" t="n">
        <v>1</v>
      </c>
      <c r="N40" s="17" t="n">
        <v>18.52</v>
      </c>
      <c r="O40" s="17" t="n">
        <v>20.25</v>
      </c>
      <c r="P40" s="18" t="n">
        <v>0.08</v>
      </c>
      <c r="Q40" s="11">
        <f>IF($A40="","",IF($H40="Stock",IF($I40="Buy",-$M40*$N40-$P40,IF($I40="Sell",IF($N40="", $M40*$O40-$P40,($O40-$N40)*$M40-$P40),"")),IF($I40="Sell",($N40-IF($O40="",0,$O40))*$M40*100-$P40,IF($I40="Buy",(IF($O40="",0,$O40)-$N40)*$M40*100-$P40,""))))</f>
        <v/>
      </c>
      <c r="R40" s="11">
        <f>IF($A40="","",IF($C40="Open","",$Q40))</f>
        <v/>
      </c>
      <c r="S40" s="12">
        <f>IF($A40="","",IFS($B40="Covered Call","Covered Call Premium",$B40="Cash Secured Put","Cash Secured Put Premium",$B40="Long Call/Put","Long Call/Put P/L",$B40="Debit Spread","Long Call/Put P/L",$B40="Stock Sale","Stock Sales",TRUE,"Other"))</f>
        <v/>
      </c>
      <c r="T40" s="11">
        <f>IF($A40="","",IF($B40="Cash Secured Put",$K40*$M40*100,IF($B40="Covered Call",$K40*$M40*100,IF($H40="Stock",$M40*$N40,""))))</f>
        <v/>
      </c>
      <c r="U40" s="19">
        <f>IF(OR($A40="",$C40&lt;&gt;"Closed",$D40="",$E40="",$T40=0),"",$R40/$T40*365/MAX(1,$E40-$D40))</f>
        <v/>
      </c>
      <c r="V40" s="14" t="inlineStr">
        <is>
          <t>Rolled to AEHR $160 1/15/27; closed per individual CSV.</t>
        </is>
      </c>
      <c r="W40" s="12" t="inlineStr">
        <is>
          <t>Broker CSV</t>
        </is>
      </c>
    </row>
    <row r="41">
      <c r="A41" s="12" t="n">
        <v>43</v>
      </c>
      <c r="B41" s="14" t="inlineStr">
        <is>
          <t>Covered Call</t>
        </is>
      </c>
      <c r="C41" s="14" t="inlineStr">
        <is>
          <t>Open</t>
        </is>
      </c>
      <c r="D41" s="15" t="n">
        <v>46182</v>
      </c>
      <c r="E41" s="15" t="n"/>
      <c r="F41" s="16">
        <f>IF($E41="","",DATE(YEAR($E41),MONTH($E41),1))</f>
        <v/>
      </c>
      <c r="G41" s="14" t="inlineStr">
        <is>
          <t>AEHR</t>
        </is>
      </c>
      <c r="H41" s="14" t="inlineStr">
        <is>
          <t>Option</t>
        </is>
      </c>
      <c r="I41" s="14" t="inlineStr">
        <is>
          <t>Sell</t>
        </is>
      </c>
      <c r="J41" s="14" t="inlineStr">
        <is>
          <t>Call</t>
        </is>
      </c>
      <c r="K41" s="17" t="n">
        <v>160</v>
      </c>
      <c r="L41" s="15" t="n">
        <v>46402</v>
      </c>
      <c r="M41" s="14" t="n">
        <v>1</v>
      </c>
      <c r="N41" s="17" t="n">
        <v>22.05</v>
      </c>
      <c r="O41" s="17" t="n">
        <v>22.05</v>
      </c>
      <c r="P41" s="18" t="n">
        <v>0</v>
      </c>
      <c r="Q41" s="11">
        <f>IF($A41="","",IF($H41="Stock",IF($I41="Buy",-$M41*$N41-$P41,IF($I41="Sell",IF($N41="", $M41*$O41-$P41,($O41-$N41)*$M41-$P41),"")),IF($I41="Sell",($N41-IF($O41="",0,$O41))*$M41*100-$P41,IF($I41="Buy",(IF($O41="",0,$O41)-$N41)*$M41*100-$P41,""))))</f>
        <v/>
      </c>
      <c r="R41" s="11">
        <f>IF($A41="","",IF($C41="Open","",$Q41))</f>
        <v/>
      </c>
      <c r="S41" s="12">
        <f>IF($A41="","",IFS($B41="Covered Call","Covered Call Premium",$B41="Cash Secured Put","Cash Secured Put Premium",$B41="Long Call/Put","Long Call/Put P/L",$B41="Debit Spread","Long Call/Put P/L",$B41="Stock Sale","Stock Sales",TRUE,"Other"))</f>
        <v/>
      </c>
      <c r="T41" s="11">
        <f>IF($A41="","",IF($B41="Cash Secured Put",$K41*$M41*100,IF($B41="Covered Call",$K41*$M41*100,IF($H41="Stock",$M41*$N41,""))))</f>
        <v/>
      </c>
      <c r="U41" s="19">
        <f>IF(OR($A41="",$C41&lt;&gt;"Closed",$D41="",$E41="",$T41=0),"",$R41/$T41*365/MAX(1,$E41-$D41))</f>
        <v/>
      </c>
      <c r="V41" s="14" t="inlineStr">
        <is>
          <t>Open AEHR $160 1/15/27 covered call from roll per individual CSV.</t>
        </is>
      </c>
      <c r="W41" s="12" t="inlineStr">
        <is>
          <t>Broker CSV</t>
        </is>
      </c>
    </row>
    <row r="42">
      <c r="A42" s="12" t="n">
        <v>44</v>
      </c>
      <c r="B42" s="14" t="inlineStr">
        <is>
          <t>Cash Secured Put</t>
        </is>
      </c>
      <c r="C42" s="14" t="inlineStr">
        <is>
          <t>Open</t>
        </is>
      </c>
      <c r="D42" s="15" t="n">
        <v>46164</v>
      </c>
      <c r="E42" s="15" t="n"/>
      <c r="F42" s="16">
        <f>IF($E42="","",DATE(YEAR($E42),MONTH($E42),1))</f>
        <v/>
      </c>
      <c r="G42" s="14" t="inlineStr">
        <is>
          <t>NEXT</t>
        </is>
      </c>
      <c r="H42" s="14" t="inlineStr">
        <is>
          <t>Option</t>
        </is>
      </c>
      <c r="I42" s="14" t="inlineStr">
        <is>
          <t>Sell</t>
        </is>
      </c>
      <c r="J42" s="14" t="inlineStr">
        <is>
          <t>Put</t>
        </is>
      </c>
      <c r="K42" s="17" t="n">
        <v>8</v>
      </c>
      <c r="L42" s="15" t="n">
        <v>46191</v>
      </c>
      <c r="M42" s="14" t="n">
        <v>1</v>
      </c>
      <c r="N42" s="17" t="n">
        <v>0.45</v>
      </c>
      <c r="O42" s="17" t="n">
        <v>0.45</v>
      </c>
      <c r="P42" s="18" t="n">
        <v>0</v>
      </c>
      <c r="Q42" s="11">
        <f>IF($A42="","",IF($H42="Stock",IF($I42="Buy",-$M42*$N42-$P42,IF($I42="Sell",IF($N42="", $M42*$O42-$P42,($O42-$N42)*$M42-$P42),"")),IF($I42="Sell",($N42-IF($O42="",0,$O42))*$M42*100-$P42,IF($I42="Buy",(IF($O42="",0,$O42)-$N42)*$M42*100-$P42,""))))</f>
        <v/>
      </c>
      <c r="R42" s="11">
        <f>IF($A42="","",IF($C42="Open","",$Q42))</f>
        <v/>
      </c>
      <c r="S42" s="12">
        <f>IF($A42="","",IFS($B42="Covered Call","Covered Call Premium",$B42="Cash Secured Put","Cash Secured Put Premium",$B42="Long Call/Put","Long Call/Put P/L",$B42="Debit Spread","Long Call/Put P/L",$B42="Stock Sale","Stock Sales",TRUE,"Other"))</f>
        <v/>
      </c>
      <c r="T42" s="11">
        <f>IF($A42="","",IF($B42="Cash Secured Put",$K42*$M42*100,IF($B42="Covered Call",$K42*$M42*100,IF($H42="Stock",$M42*$N42,""))))</f>
        <v/>
      </c>
      <c r="U42" s="19">
        <f>IF(OR($A42="",$C42&lt;&gt;"Closed",$D42="",$E42="",$T42=0),"",$R42/$T42*365/MAX(1,$E42-$D42))</f>
        <v/>
      </c>
      <c r="V42" s="14" t="inlineStr">
        <is>
          <t>Open NEXT $8 put per joint CSV.</t>
        </is>
      </c>
      <c r="W42" s="12" t="inlineStr">
        <is>
          <t>Broker CSV</t>
        </is>
      </c>
    </row>
    <row r="43">
      <c r="A43" s="12" t="n">
        <v>45</v>
      </c>
      <c r="B43" s="14" t="inlineStr">
        <is>
          <t>Cash Secured Put</t>
        </is>
      </c>
      <c r="C43" s="14" t="inlineStr">
        <is>
          <t>Open</t>
        </is>
      </c>
      <c r="D43" s="15" t="n">
        <v>46182</v>
      </c>
      <c r="E43" s="15" t="n"/>
      <c r="F43" s="16">
        <f>IF($E43="","",DATE(YEAR($E43),MONTH($E43),1))</f>
        <v/>
      </c>
      <c r="G43" s="14" t="inlineStr">
        <is>
          <t>ADEA</t>
        </is>
      </c>
      <c r="H43" s="14" t="inlineStr">
        <is>
          <t>Option</t>
        </is>
      </c>
      <c r="I43" s="14" t="inlineStr">
        <is>
          <t>Sell</t>
        </is>
      </c>
      <c r="J43" s="14" t="inlineStr">
        <is>
          <t>Put</t>
        </is>
      </c>
      <c r="K43" s="17" t="n">
        <v>30</v>
      </c>
      <c r="L43" s="15" t="n">
        <v>46220</v>
      </c>
      <c r="M43" s="14" t="n">
        <v>1</v>
      </c>
      <c r="N43" s="17" t="n">
        <v>3.6</v>
      </c>
      <c r="O43" s="17" t="n">
        <v>3.6</v>
      </c>
      <c r="P43" s="18" t="n">
        <v>0</v>
      </c>
      <c r="Q43" s="11">
        <f>IF($A43="","",IF($H43="Stock",IF($I43="Buy",-$M43*$N43-$P43,IF($I43="Sell",IF($N43="", $M43*$O43-$P43,($O43-$N43)*$M43-$P43),"")),IF($I43="Sell",($N43-IF($O43="",0,$O43))*$M43*100-$P43,IF($I43="Buy",(IF($O43="",0,$O43)-$N43)*$M43*100-$P43,""))))</f>
        <v/>
      </c>
      <c r="R43" s="11">
        <f>IF($A43="","",IF($C43="Open","",$Q43))</f>
        <v/>
      </c>
      <c r="S43" s="12">
        <f>IF($A43="","",IFS($B43="Covered Call","Covered Call Premium",$B43="Cash Secured Put","Cash Secured Put Premium",$B43="Long Call/Put","Long Call/Put P/L",$B43="Debit Spread","Long Call/Put P/L",$B43="Stock Sale","Stock Sales",TRUE,"Other"))</f>
        <v/>
      </c>
      <c r="T43" s="11">
        <f>IF($A43="","",IF($B43="Cash Secured Put",$K43*$M43*100,IF($B43="Covered Call",$K43*$M43*100,IF($H43="Stock",$M43*$N43,""))))</f>
        <v/>
      </c>
      <c r="U43" s="19">
        <f>IF(OR($A43="",$C43&lt;&gt;"Closed",$D43="",$E43="",$T43=0),"",$R43/$T43*365/MAX(1,$E43-$D43))</f>
        <v/>
      </c>
      <c r="V43" s="14" t="inlineStr">
        <is>
          <t>Open ADEA $30 cash secured put per joint CSV.</t>
        </is>
      </c>
      <c r="W43" s="12" t="inlineStr">
        <is>
          <t>Broker CSV</t>
        </is>
      </c>
    </row>
    <row r="44">
      <c r="A44" s="12" t="n">
        <v>46</v>
      </c>
      <c r="B44" s="14" t="inlineStr">
        <is>
          <t>Long Call/Put</t>
        </is>
      </c>
      <c r="C44" s="14" t="inlineStr">
        <is>
          <t>Open</t>
        </is>
      </c>
      <c r="D44" s="15" t="n">
        <v>46178</v>
      </c>
      <c r="E44" s="15" t="n"/>
      <c r="F44" s="16">
        <f>IF($E44="","",DATE(YEAR($E44),MONTH($E44),1))</f>
        <v/>
      </c>
      <c r="G44" s="14" t="inlineStr">
        <is>
          <t>ADEA</t>
        </is>
      </c>
      <c r="H44" s="14" t="inlineStr">
        <is>
          <t>Option</t>
        </is>
      </c>
      <c r="I44" s="14" t="inlineStr">
        <is>
          <t>Buy</t>
        </is>
      </c>
      <c r="J44" s="14" t="inlineStr">
        <is>
          <t>Call</t>
        </is>
      </c>
      <c r="K44" s="17" t="n">
        <v>30</v>
      </c>
      <c r="L44" s="15" t="n">
        <v>46283</v>
      </c>
      <c r="M44" s="14" t="n">
        <v>2</v>
      </c>
      <c r="N44" s="17" t="n">
        <v>6.6</v>
      </c>
      <c r="O44" s="17" t="n">
        <v>6.6</v>
      </c>
      <c r="P44" s="18" t="n">
        <v>0</v>
      </c>
      <c r="Q44" s="11">
        <f>IF($A44="","",IF($H44="Stock",IF($I44="Buy",-$M44*$N44-$P44,IF($I44="Sell",IF($N44="", $M44*$O44-$P44,($O44-$N44)*$M44-$P44),"")),IF($I44="Sell",($N44-IF($O44="",0,$O44))*$M44*100-$P44,IF($I44="Buy",(IF($O44="",0,$O44)-$N44)*$M44*100-$P44,""))))</f>
        <v/>
      </c>
      <c r="R44" s="11">
        <f>IF($A44="","",IF($C44="Open","",$Q44))</f>
        <v/>
      </c>
      <c r="S44" s="12">
        <f>IF($A44="","",IFS($B44="Covered Call","Covered Call Premium",$B44="Cash Secured Put","Cash Secured Put Premium",$B44="Long Call/Put","Long Call/Put P/L",$B44="Debit Spread","Long Call/Put P/L",$B44="Stock Sale","Stock Sales",TRUE,"Other"))</f>
        <v/>
      </c>
      <c r="T44" s="11">
        <f>IF($A44="","",IF($B44="Cash Secured Put",$K44*$M44*100,IF($B44="Covered Call",$K44*$M44*100,IF($H44="Stock",$M44*$N44,""))))</f>
        <v/>
      </c>
      <c r="U44" s="19">
        <f>IF(OR($A44="",$C44&lt;&gt;"Closed",$D44="",$E44="",$T44=0),"",$R44/$T44*365/MAX(1,$E44-$D44))</f>
        <v/>
      </c>
      <c r="V44" s="14" t="inlineStr">
        <is>
          <t>Open ADEA $30 calls per individual CSV.</t>
        </is>
      </c>
      <c r="W44" s="12" t="inlineStr">
        <is>
          <t>Broker CSV</t>
        </is>
      </c>
    </row>
    <row r="45">
      <c r="A45" s="12" t="n">
        <v>47</v>
      </c>
      <c r="B45" s="14" t="inlineStr">
        <is>
          <t>Long Call/Put</t>
        </is>
      </c>
      <c r="C45" s="14" t="inlineStr">
        <is>
          <t>Open</t>
        </is>
      </c>
      <c r="D45" s="15" t="n">
        <v>46178</v>
      </c>
      <c r="E45" s="15" t="n"/>
      <c r="F45" s="16">
        <f>IF($E45="","",DATE(YEAR($E45),MONTH($E45),1))</f>
        <v/>
      </c>
      <c r="G45" s="14" t="inlineStr">
        <is>
          <t>GRAB</t>
        </is>
      </c>
      <c r="H45" s="14" t="inlineStr">
        <is>
          <t>Option</t>
        </is>
      </c>
      <c r="I45" s="14" t="inlineStr">
        <is>
          <t>Buy</t>
        </is>
      </c>
      <c r="J45" s="14" t="inlineStr">
        <is>
          <t>Call</t>
        </is>
      </c>
      <c r="K45" s="17" t="n">
        <v>5</v>
      </c>
      <c r="L45" s="15" t="n">
        <v>46738</v>
      </c>
      <c r="M45" s="14" t="n">
        <v>40</v>
      </c>
      <c r="N45" s="17" t="n">
        <v>0.59</v>
      </c>
      <c r="O45" s="17" t="n">
        <v>0.59</v>
      </c>
      <c r="P45" s="18" t="n">
        <v>0</v>
      </c>
      <c r="Q45" s="11">
        <f>IF($A45="","",IF($H45="Stock",IF($I45="Buy",-$M45*$N45-$P45,IF($I45="Sell",IF($N45="", $M45*$O45-$P45,($O45-$N45)*$M45-$P45),"")),IF($I45="Sell",($N45-IF($O45="",0,$O45))*$M45*100-$P45,IF($I45="Buy",(IF($O45="",0,$O45)-$N45)*$M45*100-$P45,""))))</f>
        <v/>
      </c>
      <c r="R45" s="11">
        <f>IF($A45="","",IF($C45="Open","",$Q45))</f>
        <v/>
      </c>
      <c r="S45" s="12">
        <f>IF($A45="","",IFS($B45="Covered Call","Covered Call Premium",$B45="Cash Secured Put","Cash Secured Put Premium",$B45="Long Call/Put","Long Call/Put P/L",$B45="Debit Spread","Long Call/Put P/L",$B45="Stock Sale","Stock Sales",TRUE,"Other"))</f>
        <v/>
      </c>
      <c r="T45" s="11">
        <f>IF($A45="","",IF($B45="Cash Secured Put",$K45*$M45*100,IF($B45="Covered Call",$K45*$M45*100,IF($H45="Stock",$M45*$N45,""))))</f>
        <v/>
      </c>
      <c r="U45" s="19">
        <f>IF(OR($A45="",$C45&lt;&gt;"Closed",$D45="",$E45="",$T45=0),"",$R45/$T45*365/MAX(1,$E45-$D45))</f>
        <v/>
      </c>
      <c r="V45" s="14" t="inlineStr">
        <is>
          <t>Open GRAB $5 calls per individual CSV.</t>
        </is>
      </c>
      <c r="W45" s="12" t="inlineStr">
        <is>
          <t>Broker CSV</t>
        </is>
      </c>
    </row>
    <row r="46">
      <c r="A46" s="12" t="n">
        <v>48</v>
      </c>
      <c r="B46" s="14" t="inlineStr">
        <is>
          <t>Long Call/Put</t>
        </is>
      </c>
      <c r="C46" s="14" t="inlineStr">
        <is>
          <t>Open</t>
        </is>
      </c>
      <c r="D46" s="15" t="n">
        <v>46176</v>
      </c>
      <c r="E46" s="15" t="n"/>
      <c r="F46" s="16">
        <f>IF($E46="","",DATE(YEAR($E46),MONTH($E46),1))</f>
        <v/>
      </c>
      <c r="G46" s="14" t="inlineStr">
        <is>
          <t>CRNC</t>
        </is>
      </c>
      <c r="H46" s="14" t="inlineStr">
        <is>
          <t>Option</t>
        </is>
      </c>
      <c r="I46" s="14" t="inlineStr">
        <is>
          <t>Buy</t>
        </is>
      </c>
      <c r="J46" s="14" t="inlineStr">
        <is>
          <t>Call</t>
        </is>
      </c>
      <c r="K46" s="17" t="n">
        <v>15</v>
      </c>
      <c r="L46" s="15" t="n">
        <v>46402</v>
      </c>
      <c r="M46" s="14" t="n">
        <v>2</v>
      </c>
      <c r="N46" s="17" t="n">
        <v>3.3</v>
      </c>
      <c r="O46" s="17" t="n">
        <v>3.3</v>
      </c>
      <c r="P46" s="18" t="n">
        <v>0</v>
      </c>
      <c r="Q46" s="11">
        <f>IF($A46="","",IF($H46="Stock",IF($I46="Buy",-$M46*$N46-$P46,IF($I46="Sell",IF($N46="", $M46*$O46-$P46,($O46-$N46)*$M46-$P46),"")),IF($I46="Sell",($N46-IF($O46="",0,$O46))*$M46*100-$P46,IF($I46="Buy",(IF($O46="",0,$O46)-$N46)*$M46*100-$P46,""))))</f>
        <v/>
      </c>
      <c r="R46" s="11">
        <f>IF($A46="","",IF($C46="Open","",$Q46))</f>
        <v/>
      </c>
      <c r="S46" s="12">
        <f>IF($A46="","",IFS($B46="Covered Call","Covered Call Premium",$B46="Cash Secured Put","Cash Secured Put Premium",$B46="Long Call/Put","Long Call/Put P/L",$B46="Debit Spread","Long Call/Put P/L",$B46="Stock Sale","Stock Sales",TRUE,"Other"))</f>
        <v/>
      </c>
      <c r="T46" s="11">
        <f>IF($A46="","",IF($B46="Cash Secured Put",$K46*$M46*100,IF($B46="Covered Call",$K46*$M46*100,IF($H46="Stock",$M46*$N46,""))))</f>
        <v/>
      </c>
      <c r="U46" s="19">
        <f>IF(OR($A46="",$C46&lt;&gt;"Closed",$D46="",$E46="",$T46=0),"",$R46/$T46*365/MAX(1,$E46-$D46))</f>
        <v/>
      </c>
      <c r="V46" s="14" t="inlineStr">
        <is>
          <t>Open CRNC $15 calls per joint CSV.</t>
        </is>
      </c>
      <c r="W46" s="12" t="inlineStr">
        <is>
          <t>Broker CSV</t>
        </is>
      </c>
    </row>
    <row r="47">
      <c r="A47" s="12" t="n">
        <v>49</v>
      </c>
      <c r="B47" s="14" t="inlineStr">
        <is>
          <t>Long Call/Put</t>
        </is>
      </c>
      <c r="C47" s="14" t="inlineStr">
        <is>
          <t>Open</t>
        </is>
      </c>
      <c r="D47" s="15" t="n">
        <v>46176</v>
      </c>
      <c r="E47" s="15" t="n"/>
      <c r="F47" s="16">
        <f>IF($E47="","",DATE(YEAR($E47),MONTH($E47),1))</f>
        <v/>
      </c>
      <c r="G47" s="14" t="inlineStr">
        <is>
          <t>FIVN</t>
        </is>
      </c>
      <c r="H47" s="14" t="inlineStr">
        <is>
          <t>Option</t>
        </is>
      </c>
      <c r="I47" s="14" t="inlineStr">
        <is>
          <t>Buy</t>
        </is>
      </c>
      <c r="J47" s="14" t="inlineStr">
        <is>
          <t>Call</t>
        </is>
      </c>
      <c r="K47" s="17" t="n">
        <v>25</v>
      </c>
      <c r="L47" s="15" t="n">
        <v>46255</v>
      </c>
      <c r="M47" s="14" t="n">
        <v>2</v>
      </c>
      <c r="N47" s="17" t="n">
        <v>4</v>
      </c>
      <c r="O47" s="17" t="n">
        <v>4</v>
      </c>
      <c r="P47" s="18" t="n">
        <v>0</v>
      </c>
      <c r="Q47" s="11">
        <f>IF($A47="","",IF($H47="Stock",IF($I47="Buy",-$M47*$N47-$P47,IF($I47="Sell",IF($N47="", $M47*$O47-$P47,($O47-$N47)*$M47-$P47),"")),IF($I47="Sell",($N47-IF($O47="",0,$O47))*$M47*100-$P47,IF($I47="Buy",(IF($O47="",0,$O47)-$N47)*$M47*100-$P47,""))))</f>
        <v/>
      </c>
      <c r="R47" s="11">
        <f>IF($A47="","",IF($C47="Open","",$Q47))</f>
        <v/>
      </c>
      <c r="S47" s="12">
        <f>IF($A47="","",IFS($B47="Covered Call","Covered Call Premium",$B47="Cash Secured Put","Cash Secured Put Premium",$B47="Long Call/Put","Long Call/Put P/L",$B47="Debit Spread","Long Call/Put P/L",$B47="Stock Sale","Stock Sales",TRUE,"Other"))</f>
        <v/>
      </c>
      <c r="T47" s="11">
        <f>IF($A47="","",IF($B47="Cash Secured Put",$K47*$M47*100,IF($B47="Covered Call",$K47*$M47*100,IF($H47="Stock",$M47*$N47,""))))</f>
        <v/>
      </c>
      <c r="U47" s="19">
        <f>IF(OR($A47="",$C47&lt;&gt;"Closed",$D47="",$E47="",$T47=0),"",$R47/$T47*365/MAX(1,$E47-$D47))</f>
        <v/>
      </c>
      <c r="V47" s="14" t="inlineStr">
        <is>
          <t>Open FIVN $25 8/21 calls per joint CSV.</t>
        </is>
      </c>
      <c r="W47" s="12" t="inlineStr">
        <is>
          <t>Broker CSV</t>
        </is>
      </c>
    </row>
    <row r="48">
      <c r="A48" s="12" t="n">
        <v>50</v>
      </c>
      <c r="B48" s="14" t="inlineStr">
        <is>
          <t>Long Call/Put</t>
        </is>
      </c>
      <c r="C48" s="14" t="inlineStr">
        <is>
          <t>Open</t>
        </is>
      </c>
      <c r="D48" s="15" t="n">
        <v>46182</v>
      </c>
      <c r="E48" s="15" t="n"/>
      <c r="F48" s="16">
        <f>IF($E48="","",DATE(YEAR($E48),MONTH($E48),1))</f>
        <v/>
      </c>
      <c r="G48" s="14" t="inlineStr">
        <is>
          <t>FIVN</t>
        </is>
      </c>
      <c r="H48" s="14" t="inlineStr">
        <is>
          <t>Option</t>
        </is>
      </c>
      <c r="I48" s="14" t="inlineStr">
        <is>
          <t>Buy</t>
        </is>
      </c>
      <c r="J48" s="14" t="inlineStr">
        <is>
          <t>Call</t>
        </is>
      </c>
      <c r="K48" s="17" t="n">
        <v>22.5</v>
      </c>
      <c r="L48" s="15" t="n">
        <v>46402</v>
      </c>
      <c r="M48" s="14" t="n">
        <v>1</v>
      </c>
      <c r="N48" s="17" t="n">
        <v>5.5</v>
      </c>
      <c r="O48" s="17" t="n">
        <v>5.5</v>
      </c>
      <c r="P48" s="18" t="n">
        <v>0</v>
      </c>
      <c r="Q48" s="11">
        <f>IF($A48="","",IF($H48="Stock",IF($I48="Buy",-$M48*$N48-$P48,IF($I48="Sell",IF($N48="", $M48*$O48-$P48,($O48-$N48)*$M48-$P48),"")),IF($I48="Sell",($N48-IF($O48="",0,$O48))*$M48*100-$P48,IF($I48="Buy",(IF($O48="",0,$O48)-$N48)*$M48*100-$P48,""))))</f>
        <v/>
      </c>
      <c r="R48" s="11">
        <f>IF($A48="","",IF($C48="Open","",$Q48))</f>
        <v/>
      </c>
      <c r="S48" s="12">
        <f>IF($A48="","",IFS($B48="Covered Call","Covered Call Premium",$B48="Cash Secured Put","Cash Secured Put Premium",$B48="Long Call/Put","Long Call/Put P/L",$B48="Debit Spread","Long Call/Put P/L",$B48="Stock Sale","Stock Sales",TRUE,"Other"))</f>
        <v/>
      </c>
      <c r="T48" s="11">
        <f>IF($A48="","",IF($B48="Cash Secured Put",$K48*$M48*100,IF($B48="Covered Call",$K48*$M48*100,IF($H48="Stock",$M48*$N48,""))))</f>
        <v/>
      </c>
      <c r="U48" s="19">
        <f>IF(OR($A48="",$C48&lt;&gt;"Closed",$D48="",$E48="",$T48=0),"",$R48/$T48*365/MAX(1,$E48-$D48))</f>
        <v/>
      </c>
      <c r="V48" s="14" t="inlineStr">
        <is>
          <t>Open FIVN $22.50 call per joint CSV.</t>
        </is>
      </c>
      <c r="W48" s="12" t="inlineStr">
        <is>
          <t>Broker CSV</t>
        </is>
      </c>
    </row>
    <row r="49">
      <c r="A49" s="12" t="n">
        <v>55</v>
      </c>
      <c r="B49" s="14" t="inlineStr">
        <is>
          <t>Long Call/Put</t>
        </is>
      </c>
      <c r="C49" s="14" t="inlineStr">
        <is>
          <t>Open</t>
        </is>
      </c>
      <c r="D49" s="15" t="n">
        <v>46184</v>
      </c>
      <c r="E49" s="15" t="n"/>
      <c r="F49" s="16">
        <f>IF($E49="","",DATE(YEAR($E49),MONTH($E49),1))</f>
        <v/>
      </c>
      <c r="G49" s="14" t="inlineStr">
        <is>
          <t>SHLS</t>
        </is>
      </c>
      <c r="H49" s="14" t="inlineStr">
        <is>
          <t>Option</t>
        </is>
      </c>
      <c r="I49" s="14" t="inlineStr">
        <is>
          <t>Buy</t>
        </is>
      </c>
      <c r="J49" s="14" t="inlineStr">
        <is>
          <t>Call</t>
        </is>
      </c>
      <c r="K49" s="17" t="n">
        <v>10</v>
      </c>
      <c r="L49" s="15" t="n">
        <v>46402</v>
      </c>
      <c r="M49" s="14" t="n">
        <v>2</v>
      </c>
      <c r="N49" s="17" t="n">
        <v>2.8</v>
      </c>
      <c r="O49" s="17" t="n">
        <v>2.8</v>
      </c>
      <c r="P49" s="18" t="n">
        <v>0</v>
      </c>
      <c r="Q49" s="11">
        <f>IF($A49="","",IF($H49="Stock",IF($I49="Buy",-$M49*$N49-$P49,IF($I49="Sell",IF($N49="", $M49*$O49-$P49,($O49-$N49)*$M49-$P49),"")),IF($I49="Sell",($N49-IF($O49="",0,$O49))*$M49*100-$P49,IF($I49="Buy",(IF($O49="",0,$O49)-$N49)*$M49*100-$P49,""))))</f>
        <v/>
      </c>
      <c r="R49" s="11">
        <f>IF($A49="","",IF($C49="Open","",$Q49))</f>
        <v/>
      </c>
      <c r="S49" s="12">
        <f>IF($A49="","",IFS($B49="Covered Call","Covered Call Premium",$B49="Cash Secured Put","Cash Secured Put Premium",$B49="Long Call/Put","Long Call/Put P/L",$B49="Debit Spread","Long Call/Put P/L",$B49="Stock Sale","Stock Sales",TRUE,"Other"))</f>
        <v/>
      </c>
      <c r="T49" s="11">
        <f>IF($A49="","",IF($B49="Cash Secured Put",$K49*$M49*100,IF($B49="Covered Call",$K49*$M49*100,IF($H49="Stock",$M49*$N49,""))))</f>
        <v/>
      </c>
      <c r="U49" s="19">
        <f>IF(OR($A49="",$C49&lt;&gt;"Closed",$D49="",$E49="",$T49=0),"",$R49/$T49*365/MAX(1,$E49-$D49))</f>
        <v/>
      </c>
      <c r="V49" s="14" t="inlineStr">
        <is>
          <t>Bought 2 SHLS $10 calls expiring 2027-01-15 at $2.80 each on 2026-06-11.</t>
        </is>
      </c>
      <c r="W49" s="12" t="inlineStr">
        <is>
          <t>User trade update</t>
        </is>
      </c>
    </row>
    <row r="50">
      <c r="A50" s="12" t="n">
        <v>16</v>
      </c>
      <c r="B50" s="14" t="inlineStr">
        <is>
          <t>Stock Sale</t>
        </is>
      </c>
      <c r="C50" s="14" t="inlineStr">
        <is>
          <t>Closed</t>
        </is>
      </c>
      <c r="D50" s="15" t="n">
        <v>46157</v>
      </c>
      <c r="E50" s="15" t="n">
        <v>46157</v>
      </c>
      <c r="F50" s="16">
        <f>IF($E50="","",DATE(YEAR($E50),MONTH($E50),1))</f>
        <v/>
      </c>
      <c r="G50" s="14" t="inlineStr">
        <is>
          <t>BMNR</t>
        </is>
      </c>
      <c r="H50" s="14" t="inlineStr">
        <is>
          <t>Stock</t>
        </is>
      </c>
      <c r="I50" s="14" t="inlineStr">
        <is>
          <t>Sell</t>
        </is>
      </c>
      <c r="J50" s="14" t="inlineStr"/>
      <c r="K50" s="17" t="n"/>
      <c r="L50" s="15" t="n"/>
      <c r="M50" s="14" t="n">
        <v>50</v>
      </c>
      <c r="N50" s="17" t="n">
        <v>31.58</v>
      </c>
      <c r="O50" s="17" t="n">
        <v>20.25</v>
      </c>
      <c r="P50" s="18" t="n">
        <v>0</v>
      </c>
      <c r="Q50" s="11">
        <f>IF($A50="","",IF($H50="Stock",IF($I50="Buy",-$M50*$N50-$P50,IF($I50="Sell",IF($N50="", $M50*$O50-$P50,($O50-$N50)*$M50-$P50),"")),IF($I50="Sell",($N50-IF($O50="",0,$O50))*$M50*100-$P50,IF($I50="Buy",(IF($O50="",0,$O50)-$N50)*$M50*100-$P50,""))))</f>
        <v/>
      </c>
      <c r="R50" s="11">
        <f>IF($A50="","",IF($C50="Open","",$Q50))</f>
        <v/>
      </c>
      <c r="S50" s="12">
        <f>IF($A50="","",IFS($B50="Covered Call","Covered Call Premium",$B50="Cash Secured Put","Cash Secured Put Premium",$B50="Long Call/Put","Long Call/Put P/L",$B50="Debit Spread","Long Call/Put P/L",$B50="Stock Sale","Stock Sales",TRUE,"Other"))</f>
        <v/>
      </c>
      <c r="T50" s="11">
        <f>IF($A50="","",IF($B50="Cash Secured Put",$K50*$M50*100,IF($B50="Covered Call",$K50*$M50*100,IF($H50="Stock",$M50*$N50,""))))</f>
        <v/>
      </c>
      <c r="U50" s="19">
        <f>IF(OR($A50="",$C50&lt;&gt;"Closed",$D50="",$E50="",$T50=0),"",$R50/$T50*365/MAX(1,$E50-$D50))</f>
        <v/>
      </c>
      <c r="V50" s="14" t="inlineStr">
        <is>
          <t>Sold 50 BMNR shares at $20.25 on 2026-05-15. Entry price uses current weighted average basis.</t>
        </is>
      </c>
      <c r="W50" s="12" t="inlineStr">
        <is>
          <t>User trade update</t>
        </is>
      </c>
    </row>
    <row r="51">
      <c r="A51" s="12" t="n">
        <v>17</v>
      </c>
      <c r="B51" s="14" t="inlineStr">
        <is>
          <t>Stock Buy</t>
        </is>
      </c>
      <c r="C51" s="14" t="inlineStr">
        <is>
          <t>Closed</t>
        </is>
      </c>
      <c r="D51" s="15" t="n">
        <v>46157</v>
      </c>
      <c r="E51" s="15" t="n">
        <v>46170</v>
      </c>
      <c r="F51" s="16">
        <f>IF($E51="","",DATE(YEAR($E51),MONTH($E51),1))</f>
        <v/>
      </c>
      <c r="G51" s="14" t="inlineStr">
        <is>
          <t>FIVN</t>
        </is>
      </c>
      <c r="H51" s="14" t="inlineStr">
        <is>
          <t>Stock</t>
        </is>
      </c>
      <c r="I51" s="14" t="inlineStr">
        <is>
          <t>Buy</t>
        </is>
      </c>
      <c r="J51" s="14" t="inlineStr"/>
      <c r="K51" s="17" t="n"/>
      <c r="L51" s="15" t="n"/>
      <c r="M51" s="14" t="n">
        <v>100</v>
      </c>
      <c r="N51" s="17" t="n">
        <v>21.83</v>
      </c>
      <c r="O51" s="17" t="n">
        <v>22.77</v>
      </c>
      <c r="P51" s="18" t="n">
        <v>0</v>
      </c>
      <c r="Q51" s="11">
        <f>IF($A51="","",IF($H51="Stock",IF($I51="Buy",-$M51*$N51-$P51,IF($I51="Sell",IF($N51="", $M51*$O51-$P51,($O51-$N51)*$M51-$P51),"")),IF($I51="Sell",($N51-IF($O51="",0,$O51))*$M51*100-$P51,IF($I51="Buy",(IF($O51="",0,$O51)-$N51)*$M51*100-$P51,""))))</f>
        <v/>
      </c>
      <c r="R51" s="11">
        <f>IF($A51="","",IF($C51="Open","",$Q51))</f>
        <v/>
      </c>
      <c r="S51" s="12">
        <f>IF($A51="","",IFS($B51="Covered Call","Covered Call Premium",$B51="Cash Secured Put","Cash Secured Put Premium",$B51="Long Call/Put","Long Call/Put P/L",$B51="Debit Spread","Long Call/Put P/L",$B51="Stock Sale","Stock Sales",TRUE,"Other"))</f>
        <v/>
      </c>
      <c r="T51" s="11">
        <f>IF($A51="","",IF($B51="Cash Secured Put",$K51*$M51*100,IF($B51="Covered Call",$K51*$M51*100,IF($H51="Stock",$M51*$N51,""))))</f>
        <v/>
      </c>
      <c r="U51" s="19">
        <f>IF(OR($A51="",$C51&lt;&gt;"Closed",$D51="",$E51="",$T51=0),"",$R51/$T51*365/MAX(1,$E51-$D51))</f>
        <v/>
      </c>
      <c r="V51" s="14" t="inlineStr">
        <is>
          <t>Bought 100 FIVN shares 2026-05-15 and sold 2026-05-28; consolidated from prior tracker and joint CSV.</t>
        </is>
      </c>
      <c r="W51" s="12" t="inlineStr">
        <is>
          <t>Existing tracker + Broker CSV</t>
        </is>
      </c>
    </row>
    <row r="52">
      <c r="A52" s="12" t="n">
        <v>18</v>
      </c>
      <c r="B52" s="14" t="inlineStr">
        <is>
          <t>Stock Sale</t>
        </is>
      </c>
      <c r="C52" s="14" t="inlineStr">
        <is>
          <t>Closed</t>
        </is>
      </c>
      <c r="D52" s="15" t="n">
        <v>46157</v>
      </c>
      <c r="E52" s="15" t="n">
        <v>46157</v>
      </c>
      <c r="F52" s="16">
        <f>IF($E52="","",DATE(YEAR($E52),MONTH($E52),1))</f>
        <v/>
      </c>
      <c r="G52" s="14" t="inlineStr">
        <is>
          <t>PLTR</t>
        </is>
      </c>
      <c r="H52" s="14" t="inlineStr">
        <is>
          <t>Stock</t>
        </is>
      </c>
      <c r="I52" s="14" t="inlineStr">
        <is>
          <t>Sell</t>
        </is>
      </c>
      <c r="J52" s="14" t="inlineStr"/>
      <c r="K52" s="17" t="n"/>
      <c r="L52" s="15" t="n"/>
      <c r="M52" s="14" t="n">
        <v>10</v>
      </c>
      <c r="N52" s="17" t="n">
        <v>18.51</v>
      </c>
      <c r="O52" s="17" t="n">
        <v>132.2575</v>
      </c>
      <c r="P52" s="18" t="n">
        <v>0</v>
      </c>
      <c r="Q52" s="11">
        <f>IF($A52="","",IF($H52="Stock",IF($I52="Buy",-$M52*$N52-$P52,IF($I52="Sell",IF($N52="", $M52*$O52-$P52,($O52-$N52)*$M52-$P52),"")),IF($I52="Sell",($N52-IF($O52="",0,$O52))*$M52*100-$P52,IF($I52="Buy",(IF($O52="",0,$O52)-$N52)*$M52*100-$P52,""))))</f>
        <v/>
      </c>
      <c r="R52" s="11">
        <f>IF($A52="","",IF($C52="Open","",$Q52))</f>
        <v/>
      </c>
      <c r="S52" s="12">
        <f>IF($A52="","",IFS($B52="Covered Call","Covered Call Premium",$B52="Cash Secured Put","Cash Secured Put Premium",$B52="Long Call/Put","Long Call/Put P/L",$B52="Debit Spread","Long Call/Put P/L",$B52="Stock Sale","Stock Sales",TRUE,"Other"))</f>
        <v/>
      </c>
      <c r="T52" s="11">
        <f>IF($A52="","",IF($B52="Cash Secured Put",$K52*$M52*100,IF($B52="Covered Call",$K52*$M52*100,IF($H52="Stock",$M52*$N52,""))))</f>
        <v/>
      </c>
      <c r="U52" s="19">
        <f>IF(OR($A52="",$C52&lt;&gt;"Closed",$D52="",$E52="",$T52=0),"",$R52/$T52*365/MAX(1,$E52-$D52))</f>
        <v/>
      </c>
      <c r="V52" s="14" t="inlineStr">
        <is>
          <t>Sold 10 PLTR shares on 2026-05-15. Sale price retained from prior tracker.</t>
        </is>
      </c>
      <c r="W52" s="12" t="inlineStr">
        <is>
          <t>Existing tracker</t>
        </is>
      </c>
    </row>
    <row r="53">
      <c r="A53" s="12" t="n">
        <v>21</v>
      </c>
      <c r="B53" s="14" t="inlineStr">
        <is>
          <t>Stock Sale</t>
        </is>
      </c>
      <c r="C53" s="14" t="inlineStr">
        <is>
          <t>Closed</t>
        </is>
      </c>
      <c r="D53" s="15" t="n">
        <v>46161</v>
      </c>
      <c r="E53" s="15" t="n">
        <v>46161</v>
      </c>
      <c r="F53" s="16">
        <f>IF($E53="","",DATE(YEAR($E53),MONTH($E53),1))</f>
        <v/>
      </c>
      <c r="G53" s="14" t="inlineStr">
        <is>
          <t>PLTR</t>
        </is>
      </c>
      <c r="H53" s="14" t="inlineStr">
        <is>
          <t>Stock</t>
        </is>
      </c>
      <c r="I53" s="14" t="inlineStr">
        <is>
          <t>Sell</t>
        </is>
      </c>
      <c r="J53" s="14" t="inlineStr"/>
      <c r="K53" s="17" t="n"/>
      <c r="L53" s="15" t="n"/>
      <c r="M53" s="14" t="n">
        <v>10</v>
      </c>
      <c r="N53" s="17" t="n">
        <v>18.51</v>
      </c>
      <c r="O53" s="17" t="n">
        <v>133.98</v>
      </c>
      <c r="P53" s="18" t="n">
        <v>0</v>
      </c>
      <c r="Q53" s="11">
        <f>IF($A53="","",IF($H53="Stock",IF($I53="Buy",-$M53*$N53-$P53,IF($I53="Sell",IF($N53="", $M53*$O53-$P53,($O53-$N53)*$M53-$P53),"")),IF($I53="Sell",($N53-IF($O53="",0,$O53))*$M53*100-$P53,IF($I53="Buy",(IF($O53="",0,$O53)-$N53)*$M53*100-$P53,""))))</f>
        <v/>
      </c>
      <c r="R53" s="11">
        <f>IF($A53="","",IF($C53="Open","",$Q53))</f>
        <v/>
      </c>
      <c r="S53" s="12">
        <f>IF($A53="","",IFS($B53="Covered Call","Covered Call Premium",$B53="Cash Secured Put","Cash Secured Put Premium",$B53="Long Call/Put","Long Call/Put P/L",$B53="Debit Spread","Long Call/Put P/L",$B53="Stock Sale","Stock Sales",TRUE,"Other"))</f>
        <v/>
      </c>
      <c r="T53" s="11">
        <f>IF($A53="","",IF($B53="Cash Secured Put",$K53*$M53*100,IF($B53="Covered Call",$K53*$M53*100,IF($H53="Stock",$M53*$N53,""))))</f>
        <v/>
      </c>
      <c r="U53" s="19">
        <f>IF(OR($A53="",$C53&lt;&gt;"Closed",$D53="",$E53="",$T53=0),"",$R53/$T53*365/MAX(1,$E53-$D53))</f>
        <v/>
      </c>
      <c r="V53" s="14" t="inlineStr">
        <is>
          <t>Sold 10 PLTR shares at $133.98 on 2026-05-19.</t>
        </is>
      </c>
      <c r="W53" s="12" t="inlineStr">
        <is>
          <t>User trade update</t>
        </is>
      </c>
    </row>
    <row r="54">
      <c r="A54" s="12" t="n">
        <v>33</v>
      </c>
      <c r="B54" s="14" t="inlineStr">
        <is>
          <t>Stock Sale</t>
        </is>
      </c>
      <c r="C54" s="14" t="inlineStr">
        <is>
          <t>Closed</t>
        </is>
      </c>
      <c r="D54" s="15" t="n">
        <v>46178</v>
      </c>
      <c r="E54" s="15" t="n">
        <v>46178</v>
      </c>
      <c r="F54" s="16">
        <f>IF($E54="","",DATE(YEAR($E54),MONTH($E54),1))</f>
        <v/>
      </c>
      <c r="G54" s="14" t="inlineStr">
        <is>
          <t>GRAB</t>
        </is>
      </c>
      <c r="H54" s="14" t="inlineStr">
        <is>
          <t>Stock</t>
        </is>
      </c>
      <c r="I54" s="14" t="inlineStr">
        <is>
          <t>Sell</t>
        </is>
      </c>
      <c r="J54" s="14" t="inlineStr"/>
      <c r="K54" s="17" t="n"/>
      <c r="L54" s="15" t="n"/>
      <c r="M54" s="14" t="n">
        <v>4000</v>
      </c>
      <c r="N54" s="17" t="n">
        <v>5</v>
      </c>
      <c r="O54" s="17" t="n">
        <v>3.39</v>
      </c>
      <c r="P54" s="18" t="n">
        <v>1.06</v>
      </c>
      <c r="Q54" s="11">
        <f>IF($A54="","",IF($H54="Stock",IF($I54="Buy",-$M54*$N54-$P54,IF($I54="Sell",IF($N54="", $M54*$O54-$P54,($O54-$N54)*$M54-$P54),"")),IF($I54="Sell",($N54-IF($O54="",0,$O54))*$M54*100-$P54,IF($I54="Buy",(IF($O54="",0,$O54)-$N54)*$M54*100-$P54,""))))</f>
        <v/>
      </c>
      <c r="R54" s="11">
        <f>IF($A54="","",IF($C54="Open","",$Q54))</f>
        <v/>
      </c>
      <c r="S54" s="12">
        <f>IF($A54="","",IFS($B54="Covered Call","Covered Call Premium",$B54="Cash Secured Put","Cash Secured Put Premium",$B54="Long Call/Put","Long Call/Put P/L",$B54="Debit Spread","Long Call/Put P/L",$B54="Stock Sale","Stock Sales",TRUE,"Other"))</f>
        <v/>
      </c>
      <c r="T54" s="11">
        <f>IF($A54="","",IF($B54="Cash Secured Put",$K54*$M54*100,IF($B54="Covered Call",$K54*$M54*100,IF($H54="Stock",$M54*$N54,""))))</f>
        <v/>
      </c>
      <c r="U54" s="19">
        <f>IF(OR($A54="",$C54&lt;&gt;"Closed",$D54="",$E54="",$T54=0),"",$R54/$T54*365/MAX(1,$E54-$D54))</f>
        <v/>
      </c>
      <c r="V54" s="14" t="inlineStr">
        <is>
          <t>Sold all 4,000 GRAB shares across three fills at $3.39 on 2026-06-05 per individual CSV.</t>
        </is>
      </c>
      <c r="W54" s="12" t="inlineStr">
        <is>
          <t>Broker CSV</t>
        </is>
      </c>
    </row>
    <row r="55">
      <c r="A55" s="12" t="n">
        <v>34</v>
      </c>
      <c r="B55" s="14" t="inlineStr">
        <is>
          <t>Stock Buy</t>
        </is>
      </c>
      <c r="C55" s="14" t="inlineStr">
        <is>
          <t>Open</t>
        </is>
      </c>
      <c r="D55" s="15" t="n">
        <v>46163</v>
      </c>
      <c r="E55" s="15" t="n"/>
      <c r="F55" s="16">
        <f>IF($E55="","",DATE(YEAR($E55),MONTH($E55),1))</f>
        <v/>
      </c>
      <c r="G55" s="14" t="inlineStr">
        <is>
          <t>NTNX</t>
        </is>
      </c>
      <c r="H55" s="14" t="inlineStr">
        <is>
          <t>Stock</t>
        </is>
      </c>
      <c r="I55" s="14" t="inlineStr">
        <is>
          <t>Buy</t>
        </is>
      </c>
      <c r="J55" s="14" t="inlineStr"/>
      <c r="K55" s="17" t="n"/>
      <c r="L55" s="15" t="n"/>
      <c r="M55" s="14" t="n">
        <v>100</v>
      </c>
      <c r="N55" s="17" t="n">
        <v>45.35</v>
      </c>
      <c r="O55" s="17" t="n"/>
      <c r="P55" s="18" t="n">
        <v>0</v>
      </c>
      <c r="Q55" s="11">
        <f>IF($A55="","",IF($H55="Stock",IF($I55="Buy",-$M55*$N55-$P55,IF($I55="Sell",IF($N55="", $M55*$O55-$P55,($O55-$N55)*$M55-$P55),"")),IF($I55="Sell",($N55-IF($O55="",0,$O55))*$M55*100-$P55,IF($I55="Buy",(IF($O55="",0,$O55)-$N55)*$M55*100-$P55,""))))</f>
        <v/>
      </c>
      <c r="R55" s="11">
        <f>IF($A55="","",IF($C55="Open","",$Q55))</f>
        <v/>
      </c>
      <c r="S55" s="12">
        <f>IF($A55="","",IFS($B55="Covered Call","Covered Call Premium",$B55="Cash Secured Put","Cash Secured Put Premium",$B55="Long Call/Put","Long Call/Put P/L",$B55="Debit Spread","Long Call/Put P/L",$B55="Stock Sale","Stock Sales",TRUE,"Other"))</f>
        <v/>
      </c>
      <c r="T55" s="11">
        <f>IF($A55="","",IF($B55="Cash Secured Put",$K55*$M55*100,IF($B55="Covered Call",$K55*$M55*100,IF($H55="Stock",$M55*$N55,""))))</f>
        <v/>
      </c>
      <c r="U55" s="19">
        <f>IF(OR($A55="",$C55&lt;&gt;"Closed",$D55="",$E55="",$T55=0),"",$R55/$T55*365/MAX(1,$E55-$D55))</f>
        <v/>
      </c>
      <c r="V55" s="14" t="inlineStr">
        <is>
          <t>Bought 100 NTNX shares at $45.35 on 2026-05-21 per joint CSV.</t>
        </is>
      </c>
      <c r="W55" s="12" t="inlineStr">
        <is>
          <t>Broker CSV</t>
        </is>
      </c>
    </row>
    <row r="56">
      <c r="A56" s="12" t="n">
        <v>51</v>
      </c>
      <c r="B56" s="14" t="inlineStr">
        <is>
          <t>Stock Sale</t>
        </is>
      </c>
      <c r="C56" s="14" t="inlineStr">
        <is>
          <t>Closed</t>
        </is>
      </c>
      <c r="D56" s="15" t="n">
        <v>46176</v>
      </c>
      <c r="E56" s="15" t="n">
        <v>46176</v>
      </c>
      <c r="F56" s="16">
        <f>IF($E56="","",DATE(YEAR($E56),MONTH($E56),1))</f>
        <v/>
      </c>
      <c r="G56" s="14" t="inlineStr">
        <is>
          <t>PLTR</t>
        </is>
      </c>
      <c r="H56" s="14" t="inlineStr">
        <is>
          <t>Stock</t>
        </is>
      </c>
      <c r="I56" s="14" t="inlineStr">
        <is>
          <t>Sell</t>
        </is>
      </c>
      <c r="J56" s="14" t="inlineStr"/>
      <c r="K56" s="17" t="n"/>
      <c r="L56" s="15" t="n"/>
      <c r="M56" s="14" t="n">
        <v>10</v>
      </c>
      <c r="N56" s="17" t="n">
        <v>18.51</v>
      </c>
      <c r="O56" s="17" t="n">
        <v>144.4</v>
      </c>
      <c r="P56" s="18" t="n">
        <v>0</v>
      </c>
      <c r="Q56" s="11">
        <f>IF($A56="","",IF($H56="Stock",IF($I56="Buy",-$M56*$N56-$P56,IF($I56="Sell",IF($N56="", $M56*$O56-$P56,($O56-$N56)*$M56-$P56),"")),IF($I56="Sell",($N56-IF($O56="",0,$O56))*$M56*100-$P56,IF($I56="Buy",(IF($O56="",0,$O56)-$N56)*$M56*100-$P56,""))))</f>
        <v/>
      </c>
      <c r="R56" s="11">
        <f>IF($A56="","",IF($C56="Open","",$Q56))</f>
        <v/>
      </c>
      <c r="S56" s="12">
        <f>IF($A56="","",IFS($B56="Covered Call","Covered Call Premium",$B56="Cash Secured Put","Cash Secured Put Premium",$B56="Long Call/Put","Long Call/Put P/L",$B56="Debit Spread","Long Call/Put P/L",$B56="Stock Sale","Stock Sales",TRUE,"Other"))</f>
        <v/>
      </c>
      <c r="T56" s="11">
        <f>IF($A56="","",IF($B56="Cash Secured Put",$K56*$M56*100,IF($B56="Covered Call",$K56*$M56*100,IF($H56="Stock",$M56*$N56,""))))</f>
        <v/>
      </c>
      <c r="U56" s="19">
        <f>IF(OR($A56="",$C56&lt;&gt;"Closed",$D56="",$E56="",$T56=0),"",$R56/$T56*365/MAX(1,$E56-$D56))</f>
        <v/>
      </c>
      <c r="V56" s="14" t="inlineStr">
        <is>
          <t>Sold 10 PLTR shares at $144.40 on 2026-06-03 per joint CSV.</t>
        </is>
      </c>
      <c r="W56" s="12" t="inlineStr">
        <is>
          <t>Broker CSV</t>
        </is>
      </c>
    </row>
    <row r="57">
      <c r="A57" s="12" t="n">
        <v>52</v>
      </c>
      <c r="B57" s="14" t="inlineStr">
        <is>
          <t>Stock Buy</t>
        </is>
      </c>
      <c r="C57" s="14" t="inlineStr">
        <is>
          <t>Open</t>
        </is>
      </c>
      <c r="D57" s="15" t="n">
        <v>46181</v>
      </c>
      <c r="E57" s="15" t="n"/>
      <c r="F57" s="16">
        <f>IF($E57="","",DATE(YEAR($E57),MONTH($E57),1))</f>
        <v/>
      </c>
      <c r="G57" s="14" t="inlineStr">
        <is>
          <t>ADEA</t>
        </is>
      </c>
      <c r="H57" s="14" t="inlineStr">
        <is>
          <t>Stock</t>
        </is>
      </c>
      <c r="I57" s="14" t="inlineStr">
        <is>
          <t>Buy</t>
        </is>
      </c>
      <c r="J57" s="14" t="inlineStr"/>
      <c r="K57" s="17" t="n"/>
      <c r="L57" s="15" t="n"/>
      <c r="M57" s="14" t="n">
        <v>100</v>
      </c>
      <c r="N57" s="17" t="n">
        <v>29.69</v>
      </c>
      <c r="O57" s="17" t="n"/>
      <c r="P57" s="18" t="n">
        <v>0</v>
      </c>
      <c r="Q57" s="11">
        <f>IF($A57="","",IF($H57="Stock",IF($I57="Buy",-$M57*$N57-$P57,IF($I57="Sell",IF($N57="", $M57*$O57-$P57,($O57-$N57)*$M57-$P57),"")),IF($I57="Sell",($N57-IF($O57="",0,$O57))*$M57*100-$P57,IF($I57="Buy",(IF($O57="",0,$O57)-$N57)*$M57*100-$P57,""))))</f>
        <v/>
      </c>
      <c r="R57" s="11">
        <f>IF($A57="","",IF($C57="Open","",$Q57))</f>
        <v/>
      </c>
      <c r="S57" s="12">
        <f>IF($A57="","",IFS($B57="Covered Call","Covered Call Premium",$B57="Cash Secured Put","Cash Secured Put Premium",$B57="Long Call/Put","Long Call/Put P/L",$B57="Debit Spread","Long Call/Put P/L",$B57="Stock Sale","Stock Sales",TRUE,"Other"))</f>
        <v/>
      </c>
      <c r="T57" s="11">
        <f>IF($A57="","",IF($B57="Cash Secured Put",$K57*$M57*100,IF($B57="Covered Call",$K57*$M57*100,IF($H57="Stock",$M57*$N57,""))))</f>
        <v/>
      </c>
      <c r="U57" s="19">
        <f>IF(OR($A57="",$C57&lt;&gt;"Closed",$D57="",$E57="",$T57=0),"",$R57/$T57*365/MAX(1,$E57-$D57))</f>
        <v/>
      </c>
      <c r="V57" s="14" t="inlineStr">
        <is>
          <t>Bought 100 ADEA shares at $29.69 on 2026-06-08 per joint CSV.</t>
        </is>
      </c>
      <c r="W57" s="12" t="inlineStr">
        <is>
          <t>Broker CSV</t>
        </is>
      </c>
    </row>
    <row r="58">
      <c r="A58" s="12" t="n">
        <v>53</v>
      </c>
      <c r="B58" s="14" t="inlineStr">
        <is>
          <t>Stock Buy</t>
        </is>
      </c>
      <c r="C58" s="14" t="inlineStr">
        <is>
          <t>Open</t>
        </is>
      </c>
      <c r="D58" s="15" t="n">
        <v>46178</v>
      </c>
      <c r="E58" s="15" t="n"/>
      <c r="F58" s="16">
        <f>IF($E58="","",DATE(YEAR($E58),MONTH($E58),1))</f>
        <v/>
      </c>
      <c r="G58" s="14" t="inlineStr">
        <is>
          <t>CRWV</t>
        </is>
      </c>
      <c r="H58" s="14" t="inlineStr">
        <is>
          <t>Stock</t>
        </is>
      </c>
      <c r="I58" s="14" t="inlineStr">
        <is>
          <t>Buy</t>
        </is>
      </c>
      <c r="J58" s="14" t="inlineStr"/>
      <c r="K58" s="17" t="n"/>
      <c r="L58" s="15" t="n"/>
      <c r="M58" s="14" t="n">
        <v>100</v>
      </c>
      <c r="N58" s="17" t="n">
        <v>102.43</v>
      </c>
      <c r="O58" s="17" t="n"/>
      <c r="P58" s="18" t="n">
        <v>0</v>
      </c>
      <c r="Q58" s="11">
        <f>IF($A58="","",IF($H58="Stock",IF($I58="Buy",-$M58*$N58-$P58,IF($I58="Sell",IF($N58="", $M58*$O58-$P58,($O58-$N58)*$M58-$P58),"")),IF($I58="Sell",($N58-IF($O58="",0,$O58))*$M58*100-$P58,IF($I58="Buy",(IF($O58="",0,$O58)-$N58)*$M58*100-$P58,""))))</f>
        <v/>
      </c>
      <c r="R58" s="11">
        <f>IF($A58="","",IF($C58="Open","",$Q58))</f>
        <v/>
      </c>
      <c r="S58" s="12">
        <f>IF($A58="","",IFS($B58="Covered Call","Covered Call Premium",$B58="Cash Secured Put","Cash Secured Put Premium",$B58="Long Call/Put","Long Call/Put P/L",$B58="Debit Spread","Long Call/Put P/L",$B58="Stock Sale","Stock Sales",TRUE,"Other"))</f>
        <v/>
      </c>
      <c r="T58" s="11">
        <f>IF($A58="","",IF($B58="Cash Secured Put",$K58*$M58*100,IF($B58="Covered Call",$K58*$M58*100,IF($H58="Stock",$M58*$N58,""))))</f>
        <v/>
      </c>
      <c r="U58" s="19">
        <f>IF(OR($A58="",$C58&lt;&gt;"Closed",$D58="",$E58="",$T58=0),"",$R58/$T58*365/MAX(1,$E58-$D58))</f>
        <v/>
      </c>
      <c r="V58" s="14" t="inlineStr">
        <is>
          <t>Bought 50 CRWV at $103.07 and 50 at $101.79 on 2026-06-05 per individual CSV; weighted average $102.43.</t>
        </is>
      </c>
      <c r="W58" s="12" t="inlineStr">
        <is>
          <t>Broker CSV</t>
        </is>
      </c>
    </row>
    <row r="59">
      <c r="A59" s="12" t="n">
        <v>54</v>
      </c>
      <c r="B59" s="14" t="inlineStr">
        <is>
          <t>Stock Buy</t>
        </is>
      </c>
      <c r="C59" s="14" t="inlineStr">
        <is>
          <t>Open</t>
        </is>
      </c>
      <c r="D59" s="15" t="n">
        <v>46182</v>
      </c>
      <c r="E59" s="15" t="n"/>
      <c r="F59" s="16">
        <f>IF($E59="","",DATE(YEAR($E59),MONTH($E59),1))</f>
        <v/>
      </c>
      <c r="G59" s="14" t="inlineStr">
        <is>
          <t>FIVN</t>
        </is>
      </c>
      <c r="H59" s="14" t="inlineStr">
        <is>
          <t>Stock</t>
        </is>
      </c>
      <c r="I59" s="14" t="inlineStr">
        <is>
          <t>Buy</t>
        </is>
      </c>
      <c r="J59" s="14" t="inlineStr"/>
      <c r="K59" s="17" t="n"/>
      <c r="L59" s="15" t="n"/>
      <c r="M59" s="14" t="n">
        <v>100</v>
      </c>
      <c r="N59" s="17" t="n">
        <v>23</v>
      </c>
      <c r="O59" s="17" t="n"/>
      <c r="P59" s="18" t="n">
        <v>0</v>
      </c>
      <c r="Q59" s="11">
        <f>IF($A59="","",IF($H59="Stock",IF($I59="Buy",-$M59*$N59-$P59,IF($I59="Sell",IF($N59="", $M59*$O59-$P59,($O59-$N59)*$M59-$P59),"")),IF($I59="Sell",($N59-IF($O59="",0,$O59))*$M59*100-$P59,IF($I59="Buy",(IF($O59="",0,$O59)-$N59)*$M59*100-$P59,""))))</f>
        <v/>
      </c>
      <c r="R59" s="11">
        <f>IF($A59="","",IF($C59="Open","",$Q59))</f>
        <v/>
      </c>
      <c r="S59" s="12">
        <f>IF($A59="","",IFS($B59="Covered Call","Covered Call Premium",$B59="Cash Secured Put","Cash Secured Put Premium",$B59="Long Call/Put","Long Call/Put P/L",$B59="Debit Spread","Long Call/Put P/L",$B59="Stock Sale","Stock Sales",TRUE,"Other"))</f>
        <v/>
      </c>
      <c r="T59" s="11">
        <f>IF($A59="","",IF($B59="Cash Secured Put",$K59*$M59*100,IF($B59="Covered Call",$K59*$M59*100,IF($H59="Stock",$M59*$N59,""))))</f>
        <v/>
      </c>
      <c r="U59" s="19">
        <f>IF(OR($A59="",$C59&lt;&gt;"Closed",$D59="",$E59="",$T59=0),"",$R59/$T59*365/MAX(1,$E59-$D59))</f>
        <v/>
      </c>
      <c r="V59" s="14" t="inlineStr">
        <is>
          <t>Bought 100 FIVN shares at $23.00 on 2026-06-09 per joint CSV.</t>
        </is>
      </c>
      <c r="W59" s="12" t="inlineStr">
        <is>
          <t>Broker CSV</t>
        </is>
      </c>
    </row>
    <row r="60">
      <c r="A60" s="12" t="n"/>
      <c r="B60" s="14" t="n"/>
      <c r="C60" s="14" t="n"/>
      <c r="D60" s="15" t="n"/>
      <c r="E60" s="15" t="n"/>
      <c r="F60" s="16">
        <f>IF($E60="","",DATE(YEAR($E60),MONTH($E60),1))</f>
        <v/>
      </c>
      <c r="G60" s="14" t="n"/>
      <c r="H60" s="14" t="n"/>
      <c r="I60" s="14" t="n"/>
      <c r="J60" s="14" t="n"/>
      <c r="K60" s="17" t="n"/>
      <c r="L60" s="15" t="n"/>
      <c r="M60" s="14" t="n"/>
      <c r="N60" s="17" t="n"/>
      <c r="O60" s="17" t="n"/>
      <c r="P60" s="18" t="n"/>
      <c r="Q60" s="11">
        <f>IF($A60="","",IF($H60="Stock",IF($I60="Buy",-$M60*$N60-$P60,IF($I60="Sell",IF($N60="", $M60*$O60-$P60,($O60-$N60)*$M60-$P60),"")),IF($I60="Sell",($N60-IF($O60="",0,$O60))*$M60*100-$P60,IF($I60="Buy",(IF($O60="",0,$O60)-$N60)*$M60*100-$P60,""))))</f>
        <v/>
      </c>
      <c r="R60" s="11">
        <f>IF($A60="","",IF($C60="Open","",$Q60))</f>
        <v/>
      </c>
      <c r="S60" s="12">
        <f>IF($A60="","",IFS($B60="Covered Call","Covered Call Premium",$B60="Cash Secured Put","Cash Secured Put Premium",$B60="Long Call/Put","Long Call/Put P/L",$B60="Debit Spread","Long Call/Put P/L",$B60="Stock Sale","Stock Sales",TRUE,"Other"))</f>
        <v/>
      </c>
      <c r="T60" s="11">
        <f>IF($A60="","",IF($B60="Cash Secured Put",$K60*$M60*100,IF($B60="Covered Call",$K60*$M60*100,IF($H60="Stock",$M60*$N60,""))))</f>
        <v/>
      </c>
      <c r="U60" s="19">
        <f>IF(OR($A60="",$C60&lt;&gt;"Closed",$D60="",$E60="",$T60=0),"",$R60/$T60*365/MAX(1,$E60-$D60))</f>
        <v/>
      </c>
      <c r="V60" s="14" t="n"/>
      <c r="W60" s="12" t="n"/>
    </row>
    <row r="61">
      <c r="A61" s="12" t="n"/>
      <c r="B61" s="14" t="n"/>
      <c r="C61" s="14" t="n"/>
      <c r="D61" s="15" t="n"/>
      <c r="E61" s="15" t="n"/>
      <c r="F61" s="16">
        <f>IF($E61="","",DATE(YEAR($E61),MONTH($E61),1))</f>
        <v/>
      </c>
      <c r="G61" s="14" t="n"/>
      <c r="H61" s="14" t="n"/>
      <c r="I61" s="14" t="n"/>
      <c r="J61" s="14" t="n"/>
      <c r="K61" s="17" t="n"/>
      <c r="L61" s="15" t="n"/>
      <c r="M61" s="14" t="n"/>
      <c r="N61" s="17" t="n"/>
      <c r="O61" s="17" t="n"/>
      <c r="P61" s="18" t="n"/>
      <c r="Q61" s="11">
        <f>IF($A61="","",IF($H61="Stock",IF($I61="Buy",-$M61*$N61-$P61,IF($I61="Sell",IF($N61="", $M61*$O61-$P61,($O61-$N61)*$M61-$P61),"")),IF($I61="Sell",($N61-IF($O61="",0,$O61))*$M61*100-$P61,IF($I61="Buy",(IF($O61="",0,$O61)-$N61)*$M61*100-$P61,""))))</f>
        <v/>
      </c>
      <c r="R61" s="11">
        <f>IF($A61="","",IF($C61="Open","",$Q61))</f>
        <v/>
      </c>
      <c r="S61" s="12">
        <f>IF($A61="","",IFS($B61="Covered Call","Covered Call Premium",$B61="Cash Secured Put","Cash Secured Put Premium",$B61="Long Call/Put","Long Call/Put P/L",$B61="Debit Spread","Long Call/Put P/L",$B61="Stock Sale","Stock Sales",TRUE,"Other"))</f>
        <v/>
      </c>
      <c r="T61" s="11">
        <f>IF($A61="","",IF($B61="Cash Secured Put",$K61*$M61*100,IF($B61="Covered Call",$K61*$M61*100,IF($H61="Stock",$M61*$N61,""))))</f>
        <v/>
      </c>
      <c r="U61" s="19">
        <f>IF(OR($A61="",$C61&lt;&gt;"Closed",$D61="",$E61="",$T61=0),"",$R61/$T61*365/MAX(1,$E61-$D61))</f>
        <v/>
      </c>
      <c r="V61" s="14" t="n"/>
      <c r="W61" s="12" t="n"/>
    </row>
    <row r="62">
      <c r="A62" s="12" t="n"/>
      <c r="B62" s="14" t="n"/>
      <c r="C62" s="14" t="n"/>
      <c r="D62" s="15" t="n"/>
      <c r="E62" s="15" t="n"/>
      <c r="F62" s="16">
        <f>IF($E62="","",DATE(YEAR($E62),MONTH($E62),1))</f>
        <v/>
      </c>
      <c r="G62" s="14" t="n"/>
      <c r="H62" s="14" t="n"/>
      <c r="I62" s="14" t="n"/>
      <c r="J62" s="14" t="n"/>
      <c r="K62" s="17" t="n"/>
      <c r="L62" s="15" t="n"/>
      <c r="M62" s="14" t="n"/>
      <c r="N62" s="17" t="n"/>
      <c r="O62" s="17" t="n"/>
      <c r="P62" s="18" t="n"/>
      <c r="Q62" s="11">
        <f>IF($A62="","",IF($H62="Stock",IF($I62="Buy",-$M62*$N62-$P62,IF($I62="Sell",IF($N62="", $M62*$O62-$P62,($O62-$N62)*$M62-$P62),"")),IF($I62="Sell",($N62-IF($O62="",0,$O62))*$M62*100-$P62,IF($I62="Buy",(IF($O62="",0,$O62)-$N62)*$M62*100-$P62,""))))</f>
        <v/>
      </c>
      <c r="R62" s="11">
        <f>IF($A62="","",IF($C62="Open","",$Q62))</f>
        <v/>
      </c>
      <c r="S62" s="12">
        <f>IF($A62="","",IFS($B62="Covered Call","Covered Call Premium",$B62="Cash Secured Put","Cash Secured Put Premium",$B62="Long Call/Put","Long Call/Put P/L",$B62="Debit Spread","Long Call/Put P/L",$B62="Stock Sale","Stock Sales",TRUE,"Other"))</f>
        <v/>
      </c>
      <c r="T62" s="11">
        <f>IF($A62="","",IF($B62="Cash Secured Put",$K62*$M62*100,IF($B62="Covered Call",$K62*$M62*100,IF($H62="Stock",$M62*$N62,""))))</f>
        <v/>
      </c>
      <c r="U62" s="19">
        <f>IF(OR($A62="",$C62&lt;&gt;"Closed",$D62="",$E62="",$T62=0),"",$R62/$T62*365/MAX(1,$E62-$D62))</f>
        <v/>
      </c>
      <c r="V62" s="14" t="n"/>
      <c r="W62" s="12" t="n"/>
    </row>
    <row r="63">
      <c r="A63" s="12" t="n"/>
      <c r="B63" s="14" t="n"/>
      <c r="C63" s="14" t="n"/>
      <c r="D63" s="15" t="n"/>
      <c r="E63" s="15" t="n"/>
      <c r="F63" s="16">
        <f>IF($E63="","",DATE(YEAR($E63),MONTH($E63),1))</f>
        <v/>
      </c>
      <c r="G63" s="14" t="n"/>
      <c r="H63" s="14" t="n"/>
      <c r="I63" s="14" t="n"/>
      <c r="J63" s="14" t="n"/>
      <c r="K63" s="17" t="n"/>
      <c r="L63" s="15" t="n"/>
      <c r="M63" s="14" t="n"/>
      <c r="N63" s="17" t="n"/>
      <c r="O63" s="17" t="n"/>
      <c r="P63" s="18" t="n"/>
      <c r="Q63" s="11">
        <f>IF($A63="","",IF($H63="Stock",IF($I63="Buy",-$M63*$N63-$P63,IF($I63="Sell",IF($N63="", $M63*$O63-$P63,($O63-$N63)*$M63-$P63),"")),IF($I63="Sell",($N63-IF($O63="",0,$O63))*$M63*100-$P63,IF($I63="Buy",(IF($O63="",0,$O63)-$N63)*$M63*100-$P63,""))))</f>
        <v/>
      </c>
      <c r="R63" s="11">
        <f>IF($A63="","",IF($C63="Open","",$Q63))</f>
        <v/>
      </c>
      <c r="S63" s="12">
        <f>IF($A63="","",IFS($B63="Covered Call","Covered Call Premium",$B63="Cash Secured Put","Cash Secured Put Premium",$B63="Long Call/Put","Long Call/Put P/L",$B63="Debit Spread","Long Call/Put P/L",$B63="Stock Sale","Stock Sales",TRUE,"Other"))</f>
        <v/>
      </c>
      <c r="T63" s="11">
        <f>IF($A63="","",IF($B63="Cash Secured Put",$K63*$M63*100,IF($B63="Covered Call",$K63*$M63*100,IF($H63="Stock",$M63*$N63,""))))</f>
        <v/>
      </c>
      <c r="U63" s="19">
        <f>IF(OR($A63="",$C63&lt;&gt;"Closed",$D63="",$E63="",$T63=0),"",$R63/$T63*365/MAX(1,$E63-$D63))</f>
        <v/>
      </c>
      <c r="V63" s="14" t="n"/>
      <c r="W63" s="12" t="n"/>
    </row>
    <row r="64">
      <c r="A64" s="12" t="n"/>
      <c r="B64" s="14" t="n"/>
      <c r="C64" s="14" t="n"/>
      <c r="D64" s="15" t="n"/>
      <c r="E64" s="15" t="n"/>
      <c r="F64" s="16">
        <f>IF($E64="","",DATE(YEAR($E64),MONTH($E64),1))</f>
        <v/>
      </c>
      <c r="G64" s="14" t="n"/>
      <c r="H64" s="14" t="n"/>
      <c r="I64" s="14" t="n"/>
      <c r="J64" s="14" t="n"/>
      <c r="K64" s="17" t="n"/>
      <c r="L64" s="15" t="n"/>
      <c r="M64" s="14" t="n"/>
      <c r="N64" s="17" t="n"/>
      <c r="O64" s="17" t="n"/>
      <c r="P64" s="18" t="n"/>
      <c r="Q64" s="11">
        <f>IF($A64="","",IF($H64="Stock",IF($I64="Buy",-$M64*$N64-$P64,IF($I64="Sell",IF($N64="", $M64*$O64-$P64,($O64-$N64)*$M64-$P64),"")),IF($I64="Sell",($N64-IF($O64="",0,$O64))*$M64*100-$P64,IF($I64="Buy",(IF($O64="",0,$O64)-$N64)*$M64*100-$P64,""))))</f>
        <v/>
      </c>
      <c r="R64" s="11">
        <f>IF($A64="","",IF($C64="Open","",$Q64))</f>
        <v/>
      </c>
      <c r="S64" s="12">
        <f>IF($A64="","",IFS($B64="Covered Call","Covered Call Premium",$B64="Cash Secured Put","Cash Secured Put Premium",$B64="Long Call/Put","Long Call/Put P/L",$B64="Debit Spread","Long Call/Put P/L",$B64="Stock Sale","Stock Sales",TRUE,"Other"))</f>
        <v/>
      </c>
      <c r="T64" s="11">
        <f>IF($A64="","",IF($B64="Cash Secured Put",$K64*$M64*100,IF($B64="Covered Call",$K64*$M64*100,IF($H64="Stock",$M64*$N64,""))))</f>
        <v/>
      </c>
      <c r="U64" s="19">
        <f>IF(OR($A64="",$C64&lt;&gt;"Closed",$D64="",$E64="",$T64=0),"",$R64/$T64*365/MAX(1,$E64-$D64))</f>
        <v/>
      </c>
      <c r="V64" s="14" t="n"/>
      <c r="W64" s="12" t="n"/>
    </row>
    <row r="65">
      <c r="A65" s="12" t="n"/>
      <c r="B65" s="14" t="n"/>
      <c r="C65" s="14" t="n"/>
      <c r="D65" s="15" t="n"/>
      <c r="E65" s="15" t="n"/>
      <c r="F65" s="16">
        <f>IF($E65="","",DATE(YEAR($E65),MONTH($E65),1))</f>
        <v/>
      </c>
      <c r="G65" s="14" t="n"/>
      <c r="H65" s="14" t="n"/>
      <c r="I65" s="14" t="n"/>
      <c r="J65" s="14" t="n"/>
      <c r="K65" s="17" t="n"/>
      <c r="L65" s="15" t="n"/>
      <c r="M65" s="14" t="n"/>
      <c r="N65" s="17" t="n"/>
      <c r="O65" s="17" t="n"/>
      <c r="P65" s="18" t="n"/>
      <c r="Q65" s="11">
        <f>IF($A65="","",IF($H65="Stock",IF($I65="Buy",-$M65*$N65-$P65,IF($I65="Sell",IF($N65="", $M65*$O65-$P65,($O65-$N65)*$M65-$P65),"")),IF($I65="Sell",($N65-IF($O65="",0,$O65))*$M65*100-$P65,IF($I65="Buy",(IF($O65="",0,$O65)-$N65)*$M65*100-$P65,""))))</f>
        <v/>
      </c>
      <c r="R65" s="11">
        <f>IF($A65="","",IF($C65="Open","",$Q65))</f>
        <v/>
      </c>
      <c r="S65" s="12">
        <f>IF($A65="","",IFS($B65="Covered Call","Covered Call Premium",$B65="Cash Secured Put","Cash Secured Put Premium",$B65="Long Call/Put","Long Call/Put P/L",$B65="Debit Spread","Long Call/Put P/L",$B65="Stock Sale","Stock Sales",TRUE,"Other"))</f>
        <v/>
      </c>
      <c r="T65" s="11">
        <f>IF($A65="","",IF($B65="Cash Secured Put",$K65*$M65*100,IF($B65="Covered Call",$K65*$M65*100,IF($H65="Stock",$M65*$N65,""))))</f>
        <v/>
      </c>
      <c r="U65" s="19">
        <f>IF(OR($A65="",$C65&lt;&gt;"Closed",$D65="",$E65="",$T65=0),"",$R65/$T65*365/MAX(1,$E65-$D65))</f>
        <v/>
      </c>
      <c r="V65" s="14" t="n"/>
      <c r="W65" s="12" t="n"/>
    </row>
    <row r="66">
      <c r="A66" s="12" t="n"/>
      <c r="B66" s="14" t="n"/>
      <c r="C66" s="14" t="n"/>
      <c r="D66" s="15" t="n"/>
      <c r="E66" s="15" t="n"/>
      <c r="F66" s="16">
        <f>IF($E66="","",DATE(YEAR($E66),MONTH($E66),1))</f>
        <v/>
      </c>
      <c r="G66" s="14" t="n"/>
      <c r="H66" s="14" t="n"/>
      <c r="I66" s="14" t="n"/>
      <c r="J66" s="14" t="n"/>
      <c r="K66" s="17" t="n"/>
      <c r="L66" s="15" t="n"/>
      <c r="M66" s="14" t="n"/>
      <c r="N66" s="17" t="n"/>
      <c r="O66" s="17" t="n"/>
      <c r="P66" s="18" t="n"/>
      <c r="Q66" s="11">
        <f>IF($A66="","",IF($H66="Stock",IF($I66="Buy",-$M66*$N66-$P66,IF($I66="Sell",IF($N66="", $M66*$O66-$P66,($O66-$N66)*$M66-$P66),"")),IF($I66="Sell",($N66-IF($O66="",0,$O66))*$M66*100-$P66,IF($I66="Buy",(IF($O66="",0,$O66)-$N66)*$M66*100-$P66,""))))</f>
        <v/>
      </c>
      <c r="R66" s="11">
        <f>IF($A66="","",IF($C66="Open","",$Q66))</f>
        <v/>
      </c>
      <c r="S66" s="12">
        <f>IF($A66="","",IFS($B66="Covered Call","Covered Call Premium",$B66="Cash Secured Put","Cash Secured Put Premium",$B66="Long Call/Put","Long Call/Put P/L",$B66="Debit Spread","Long Call/Put P/L",$B66="Stock Sale","Stock Sales",TRUE,"Other"))</f>
        <v/>
      </c>
      <c r="T66" s="11">
        <f>IF($A66="","",IF($B66="Cash Secured Put",$K66*$M66*100,IF($B66="Covered Call",$K66*$M66*100,IF($H66="Stock",$M66*$N66,""))))</f>
        <v/>
      </c>
      <c r="U66" s="19">
        <f>IF(OR($A66="",$C66&lt;&gt;"Closed",$D66="",$E66="",$T66=0),"",$R66/$T66*365/MAX(1,$E66-$D66))</f>
        <v/>
      </c>
      <c r="V66" s="14" t="n"/>
      <c r="W66" s="12" t="n"/>
    </row>
    <row r="67">
      <c r="A67" s="12" t="n"/>
      <c r="B67" s="14" t="n"/>
      <c r="C67" s="14" t="n"/>
      <c r="D67" s="15" t="n"/>
      <c r="E67" s="15" t="n"/>
      <c r="F67" s="16">
        <f>IF($E67="","",DATE(YEAR($E67),MONTH($E67),1))</f>
        <v/>
      </c>
      <c r="G67" s="14" t="n"/>
      <c r="H67" s="14" t="n"/>
      <c r="I67" s="14" t="n"/>
      <c r="J67" s="14" t="n"/>
      <c r="K67" s="17" t="n"/>
      <c r="L67" s="15" t="n"/>
      <c r="M67" s="14" t="n"/>
      <c r="N67" s="17" t="n"/>
      <c r="O67" s="17" t="n"/>
      <c r="P67" s="18" t="n"/>
      <c r="Q67" s="11">
        <f>IF($A67="","",IF($H67="Stock",IF($I67="Buy",-$M67*$N67-$P67,IF($I67="Sell",IF($N67="", $M67*$O67-$P67,($O67-$N67)*$M67-$P67),"")),IF($I67="Sell",($N67-IF($O67="",0,$O67))*$M67*100-$P67,IF($I67="Buy",(IF($O67="",0,$O67)-$N67)*$M67*100-$P67,""))))</f>
        <v/>
      </c>
      <c r="R67" s="11">
        <f>IF($A67="","",IF($C67="Open","",$Q67))</f>
        <v/>
      </c>
      <c r="S67" s="12">
        <f>IF($A67="","",IFS($B67="Covered Call","Covered Call Premium",$B67="Cash Secured Put","Cash Secured Put Premium",$B67="Long Call/Put","Long Call/Put P/L",$B67="Debit Spread","Long Call/Put P/L",$B67="Stock Sale","Stock Sales",TRUE,"Other"))</f>
        <v/>
      </c>
      <c r="T67" s="11">
        <f>IF($A67="","",IF($B67="Cash Secured Put",$K67*$M67*100,IF($B67="Covered Call",$K67*$M67*100,IF($H67="Stock",$M67*$N67,""))))</f>
        <v/>
      </c>
      <c r="U67" s="19">
        <f>IF(OR($A67="",$C67&lt;&gt;"Closed",$D67="",$E67="",$T67=0),"",$R67/$T67*365/MAX(1,$E67-$D67))</f>
        <v/>
      </c>
      <c r="V67" s="14" t="n"/>
      <c r="W67" s="12" t="n"/>
    </row>
    <row r="68">
      <c r="A68" s="12" t="n"/>
      <c r="B68" s="14" t="n"/>
      <c r="C68" s="14" t="n"/>
      <c r="D68" s="15" t="n"/>
      <c r="E68" s="15" t="n"/>
      <c r="F68" s="16">
        <f>IF($E68="","",DATE(YEAR($E68),MONTH($E68),1))</f>
        <v/>
      </c>
      <c r="G68" s="14" t="n"/>
      <c r="H68" s="14" t="n"/>
      <c r="I68" s="14" t="n"/>
      <c r="J68" s="14" t="n"/>
      <c r="K68" s="17" t="n"/>
      <c r="L68" s="15" t="n"/>
      <c r="M68" s="14" t="n"/>
      <c r="N68" s="17" t="n"/>
      <c r="O68" s="17" t="n"/>
      <c r="P68" s="18" t="n"/>
      <c r="Q68" s="11">
        <f>IF($A68="","",IF($H68="Stock",IF($I68="Buy",-$M68*$N68-$P68,IF($I68="Sell",IF($N68="", $M68*$O68-$P68,($O68-$N68)*$M68-$P68),"")),IF($I68="Sell",($N68-IF($O68="",0,$O68))*$M68*100-$P68,IF($I68="Buy",(IF($O68="",0,$O68)-$N68)*$M68*100-$P68,""))))</f>
        <v/>
      </c>
      <c r="R68" s="11">
        <f>IF($A68="","",IF($C68="Open","",$Q68))</f>
        <v/>
      </c>
      <c r="S68" s="12">
        <f>IF($A68="","",IFS($B68="Covered Call","Covered Call Premium",$B68="Cash Secured Put","Cash Secured Put Premium",$B68="Long Call/Put","Long Call/Put P/L",$B68="Debit Spread","Long Call/Put P/L",$B68="Stock Sale","Stock Sales",TRUE,"Other"))</f>
        <v/>
      </c>
      <c r="T68" s="11">
        <f>IF($A68="","",IF($B68="Cash Secured Put",$K68*$M68*100,IF($B68="Covered Call",$K68*$M68*100,IF($H68="Stock",$M68*$N68,""))))</f>
        <v/>
      </c>
      <c r="U68" s="19">
        <f>IF(OR($A68="",$C68&lt;&gt;"Closed",$D68="",$E68="",$T68=0),"",$R68/$T68*365/MAX(1,$E68-$D68))</f>
        <v/>
      </c>
      <c r="V68" s="14" t="n"/>
      <c r="W68" s="12" t="n"/>
    </row>
    <row r="69">
      <c r="A69" s="12" t="n"/>
      <c r="B69" s="14" t="n"/>
      <c r="C69" s="14" t="n"/>
      <c r="D69" s="15" t="n"/>
      <c r="E69" s="15" t="n"/>
      <c r="F69" s="16">
        <f>IF($E69="","",DATE(YEAR($E69),MONTH($E69),1))</f>
        <v/>
      </c>
      <c r="G69" s="14" t="n"/>
      <c r="H69" s="14" t="n"/>
      <c r="I69" s="14" t="n"/>
      <c r="J69" s="14" t="n"/>
      <c r="K69" s="17" t="n"/>
      <c r="L69" s="15" t="n"/>
      <c r="M69" s="14" t="n"/>
      <c r="N69" s="17" t="n"/>
      <c r="O69" s="17" t="n"/>
      <c r="P69" s="18" t="n"/>
      <c r="Q69" s="11">
        <f>IF($A69="","",IF($H69="Stock",IF($I69="Buy",-$M69*$N69-$P69,IF($I69="Sell",IF($N69="", $M69*$O69-$P69,($O69-$N69)*$M69-$P69),"")),IF($I69="Sell",($N69-IF($O69="",0,$O69))*$M69*100-$P69,IF($I69="Buy",(IF($O69="",0,$O69)-$N69)*$M69*100-$P69,""))))</f>
        <v/>
      </c>
      <c r="R69" s="11">
        <f>IF($A69="","",IF($C69="Open","",$Q69))</f>
        <v/>
      </c>
      <c r="S69" s="12">
        <f>IF($A69="","",IFS($B69="Covered Call","Covered Call Premium",$B69="Cash Secured Put","Cash Secured Put Premium",$B69="Long Call/Put","Long Call/Put P/L",$B69="Debit Spread","Long Call/Put P/L",$B69="Stock Sale","Stock Sales",TRUE,"Other"))</f>
        <v/>
      </c>
      <c r="T69" s="11">
        <f>IF($A69="","",IF($B69="Cash Secured Put",$K69*$M69*100,IF($B69="Covered Call",$K69*$M69*100,IF($H69="Stock",$M69*$N69,""))))</f>
        <v/>
      </c>
      <c r="U69" s="19">
        <f>IF(OR($A69="",$C69&lt;&gt;"Closed",$D69="",$E69="",$T69=0),"",$R69/$T69*365/MAX(1,$E69-$D69))</f>
        <v/>
      </c>
      <c r="V69" s="14" t="n"/>
      <c r="W69" s="12" t="n"/>
    </row>
    <row r="70">
      <c r="A70" s="12" t="n"/>
      <c r="B70" s="14" t="n"/>
      <c r="C70" s="14" t="n"/>
      <c r="D70" s="15" t="n"/>
      <c r="E70" s="15" t="n"/>
      <c r="F70" s="16">
        <f>IF($E70="","",DATE(YEAR($E70),MONTH($E70),1))</f>
        <v/>
      </c>
      <c r="G70" s="14" t="n"/>
      <c r="H70" s="14" t="n"/>
      <c r="I70" s="14" t="n"/>
      <c r="J70" s="14" t="n"/>
      <c r="K70" s="17" t="n"/>
      <c r="L70" s="15" t="n"/>
      <c r="M70" s="14" t="n"/>
      <c r="N70" s="17" t="n"/>
      <c r="O70" s="17" t="n"/>
      <c r="P70" s="18" t="n"/>
      <c r="Q70" s="11">
        <f>IF($A70="","",IF($H70="Stock",IF($I70="Buy",-$M70*$N70-$P70,IF($I70="Sell",IF($N70="", $M70*$O70-$P70,($O70-$N70)*$M70-$P70),"")),IF($I70="Sell",($N70-IF($O70="",0,$O70))*$M70*100-$P70,IF($I70="Buy",(IF($O70="",0,$O70)-$N70)*$M70*100-$P70,""))))</f>
        <v/>
      </c>
      <c r="R70" s="11">
        <f>IF($A70="","",IF($C70="Open","",$Q70))</f>
        <v/>
      </c>
      <c r="S70" s="12">
        <f>IF($A70="","",IFS($B70="Covered Call","Covered Call Premium",$B70="Cash Secured Put","Cash Secured Put Premium",$B70="Long Call/Put","Long Call/Put P/L",$B70="Debit Spread","Long Call/Put P/L",$B70="Stock Sale","Stock Sales",TRUE,"Other"))</f>
        <v/>
      </c>
      <c r="T70" s="11">
        <f>IF($A70="","",IF($B70="Cash Secured Put",$K70*$M70*100,IF($B70="Covered Call",$K70*$M70*100,IF($H70="Stock",$M70*$N70,""))))</f>
        <v/>
      </c>
      <c r="U70" s="19">
        <f>IF(OR($A70="",$C70&lt;&gt;"Closed",$D70="",$E70="",$T70=0),"",$R70/$T70*365/MAX(1,$E70-$D70))</f>
        <v/>
      </c>
      <c r="V70" s="14" t="n"/>
      <c r="W70" s="12" t="n"/>
    </row>
    <row r="71">
      <c r="A71" s="12" t="n"/>
      <c r="B71" s="14" t="n"/>
      <c r="C71" s="14" t="n"/>
      <c r="D71" s="15" t="n"/>
      <c r="E71" s="15" t="n"/>
      <c r="F71" s="16">
        <f>IF($E71="","",DATE(YEAR($E71),MONTH($E71),1))</f>
        <v/>
      </c>
      <c r="G71" s="14" t="n"/>
      <c r="H71" s="14" t="n"/>
      <c r="I71" s="14" t="n"/>
      <c r="J71" s="14" t="n"/>
      <c r="K71" s="17" t="n"/>
      <c r="L71" s="15" t="n"/>
      <c r="M71" s="14" t="n"/>
      <c r="N71" s="17" t="n"/>
      <c r="O71" s="17" t="n"/>
      <c r="P71" s="18" t="n"/>
      <c r="Q71" s="11">
        <f>IF($A71="","",IF($H71="Stock",IF($I71="Buy",-$M71*$N71-$P71,IF($I71="Sell",IF($N71="", $M71*$O71-$P71,($O71-$N71)*$M71-$P71),"")),IF($I71="Sell",($N71-IF($O71="",0,$O71))*$M71*100-$P71,IF($I71="Buy",(IF($O71="",0,$O71)-$N71)*$M71*100-$P71,""))))</f>
        <v/>
      </c>
      <c r="R71" s="11">
        <f>IF($A71="","",IF($C71="Open","",$Q71))</f>
        <v/>
      </c>
      <c r="S71" s="12">
        <f>IF($A71="","",IFS($B71="Covered Call","Covered Call Premium",$B71="Cash Secured Put","Cash Secured Put Premium",$B71="Long Call/Put","Long Call/Put P/L",$B71="Debit Spread","Long Call/Put P/L",$B71="Stock Sale","Stock Sales",TRUE,"Other"))</f>
        <v/>
      </c>
      <c r="T71" s="11">
        <f>IF($A71="","",IF($B71="Cash Secured Put",$K71*$M71*100,IF($B71="Covered Call",$K71*$M71*100,IF($H71="Stock",$M71*$N71,""))))</f>
        <v/>
      </c>
      <c r="U71" s="19">
        <f>IF(OR($A71="",$C71&lt;&gt;"Closed",$D71="",$E71="",$T71=0),"",$R71/$T71*365/MAX(1,$E71-$D71))</f>
        <v/>
      </c>
      <c r="V71" s="14" t="n"/>
      <c r="W71" s="12" t="n"/>
    </row>
    <row r="72">
      <c r="A72" s="12" t="n"/>
      <c r="B72" s="14" t="n"/>
      <c r="C72" s="14" t="n"/>
      <c r="D72" s="15" t="n"/>
      <c r="E72" s="15" t="n"/>
      <c r="F72" s="16">
        <f>IF($E72="","",DATE(YEAR($E72),MONTH($E72),1))</f>
        <v/>
      </c>
      <c r="G72" s="14" t="n"/>
      <c r="H72" s="14" t="n"/>
      <c r="I72" s="14" t="n"/>
      <c r="J72" s="14" t="n"/>
      <c r="K72" s="17" t="n"/>
      <c r="L72" s="15" t="n"/>
      <c r="M72" s="14" t="n"/>
      <c r="N72" s="17" t="n"/>
      <c r="O72" s="17" t="n"/>
      <c r="P72" s="18" t="n"/>
      <c r="Q72" s="11">
        <f>IF($A72="","",IF($H72="Stock",IF($I72="Buy",-$M72*$N72-$P72,IF($I72="Sell",IF($N72="", $M72*$O72-$P72,($O72-$N72)*$M72-$P72),"")),IF($I72="Sell",($N72-IF($O72="",0,$O72))*$M72*100-$P72,IF($I72="Buy",(IF($O72="",0,$O72)-$N72)*$M72*100-$P72,""))))</f>
        <v/>
      </c>
      <c r="R72" s="11">
        <f>IF($A72="","",IF($C72="Open","",$Q72))</f>
        <v/>
      </c>
      <c r="S72" s="12">
        <f>IF($A72="","",IFS($B72="Covered Call","Covered Call Premium",$B72="Cash Secured Put","Cash Secured Put Premium",$B72="Long Call/Put","Long Call/Put P/L",$B72="Debit Spread","Long Call/Put P/L",$B72="Stock Sale","Stock Sales",TRUE,"Other"))</f>
        <v/>
      </c>
      <c r="T72" s="11">
        <f>IF($A72="","",IF($B72="Cash Secured Put",$K72*$M72*100,IF($B72="Covered Call",$K72*$M72*100,IF($H72="Stock",$M72*$N72,""))))</f>
        <v/>
      </c>
      <c r="U72" s="19">
        <f>IF(OR($A72="",$C72&lt;&gt;"Closed",$D72="",$E72="",$T72=0),"",$R72/$T72*365/MAX(1,$E72-$D72))</f>
        <v/>
      </c>
      <c r="V72" s="14" t="n"/>
      <c r="W72" s="12" t="n"/>
    </row>
    <row r="73">
      <c r="A73" s="12" t="n"/>
      <c r="B73" s="14" t="n"/>
      <c r="C73" s="14" t="n"/>
      <c r="D73" s="15" t="n"/>
      <c r="E73" s="15" t="n"/>
      <c r="F73" s="16">
        <f>IF($E73="","",DATE(YEAR($E73),MONTH($E73),1))</f>
        <v/>
      </c>
      <c r="G73" s="14" t="n"/>
      <c r="H73" s="14" t="n"/>
      <c r="I73" s="14" t="n"/>
      <c r="J73" s="14" t="n"/>
      <c r="K73" s="17" t="n"/>
      <c r="L73" s="15" t="n"/>
      <c r="M73" s="14" t="n"/>
      <c r="N73" s="17" t="n"/>
      <c r="O73" s="17" t="n"/>
      <c r="P73" s="18" t="n"/>
      <c r="Q73" s="11">
        <f>IF($A73="","",IF($H73="Stock",IF($I73="Buy",-$M73*$N73-$P73,IF($I73="Sell",IF($N73="", $M73*$O73-$P73,($O73-$N73)*$M73-$P73),"")),IF($I73="Sell",($N73-IF($O73="",0,$O73))*$M73*100-$P73,IF($I73="Buy",(IF($O73="",0,$O73)-$N73)*$M73*100-$P73,""))))</f>
        <v/>
      </c>
      <c r="R73" s="11">
        <f>IF($A73="","",IF($C73="Open","",$Q73))</f>
        <v/>
      </c>
      <c r="S73" s="12">
        <f>IF($A73="","",IFS($B73="Covered Call","Covered Call Premium",$B73="Cash Secured Put","Cash Secured Put Premium",$B73="Long Call/Put","Long Call/Put P/L",$B73="Debit Spread","Long Call/Put P/L",$B73="Stock Sale","Stock Sales",TRUE,"Other"))</f>
        <v/>
      </c>
      <c r="T73" s="11">
        <f>IF($A73="","",IF($B73="Cash Secured Put",$K73*$M73*100,IF($B73="Covered Call",$K73*$M73*100,IF($H73="Stock",$M73*$N73,""))))</f>
        <v/>
      </c>
      <c r="U73" s="19">
        <f>IF(OR($A73="",$C73&lt;&gt;"Closed",$D73="",$E73="",$T73=0),"",$R73/$T73*365/MAX(1,$E73-$D73))</f>
        <v/>
      </c>
      <c r="V73" s="14" t="n"/>
      <c r="W73" s="12" t="n"/>
    </row>
    <row r="74">
      <c r="A74" s="12" t="n"/>
      <c r="B74" s="14" t="n"/>
      <c r="C74" s="14" t="n"/>
      <c r="D74" s="15" t="n"/>
      <c r="E74" s="15" t="n"/>
      <c r="F74" s="16">
        <f>IF($E74="","",DATE(YEAR($E74),MONTH($E74),1))</f>
        <v/>
      </c>
      <c r="G74" s="14" t="n"/>
      <c r="H74" s="14" t="n"/>
      <c r="I74" s="14" t="n"/>
      <c r="J74" s="14" t="n"/>
      <c r="K74" s="17" t="n"/>
      <c r="L74" s="15" t="n"/>
      <c r="M74" s="14" t="n"/>
      <c r="N74" s="17" t="n"/>
      <c r="O74" s="17" t="n"/>
      <c r="P74" s="18" t="n"/>
      <c r="Q74" s="11">
        <f>IF($A74="","",IF($H74="Stock",IF($I74="Buy",-$M74*$N74-$P74,IF($I74="Sell",IF($N74="", $M74*$O74-$P74,($O74-$N74)*$M74-$P74),"")),IF($I74="Sell",($N74-IF($O74="",0,$O74))*$M74*100-$P74,IF($I74="Buy",(IF($O74="",0,$O74)-$N74)*$M74*100-$P74,""))))</f>
        <v/>
      </c>
      <c r="R74" s="11">
        <f>IF($A74="","",IF($C74="Open","",$Q74))</f>
        <v/>
      </c>
      <c r="S74" s="12">
        <f>IF($A74="","",IFS($B74="Covered Call","Covered Call Premium",$B74="Cash Secured Put","Cash Secured Put Premium",$B74="Long Call/Put","Long Call/Put P/L",$B74="Debit Spread","Long Call/Put P/L",$B74="Stock Sale","Stock Sales",TRUE,"Other"))</f>
        <v/>
      </c>
      <c r="T74" s="11">
        <f>IF($A74="","",IF($B74="Cash Secured Put",$K74*$M74*100,IF($B74="Covered Call",$K74*$M74*100,IF($H74="Stock",$M74*$N74,""))))</f>
        <v/>
      </c>
      <c r="U74" s="19">
        <f>IF(OR($A74="",$C74&lt;&gt;"Closed",$D74="",$E74="",$T74=0),"",$R74/$T74*365/MAX(1,$E74-$D74))</f>
        <v/>
      </c>
      <c r="V74" s="14" t="n"/>
      <c r="W74" s="12" t="n"/>
    </row>
    <row r="75">
      <c r="A75" s="12" t="n"/>
      <c r="B75" s="14" t="n"/>
      <c r="C75" s="14" t="n"/>
      <c r="D75" s="15" t="n"/>
      <c r="E75" s="15" t="n"/>
      <c r="F75" s="16">
        <f>IF($E75="","",DATE(YEAR($E75),MONTH($E75),1))</f>
        <v/>
      </c>
      <c r="G75" s="14" t="n"/>
      <c r="H75" s="14" t="n"/>
      <c r="I75" s="14" t="n"/>
      <c r="J75" s="14" t="n"/>
      <c r="K75" s="17" t="n"/>
      <c r="L75" s="15" t="n"/>
      <c r="M75" s="14" t="n"/>
      <c r="N75" s="17" t="n"/>
      <c r="O75" s="17" t="n"/>
      <c r="P75" s="18" t="n"/>
      <c r="Q75" s="11">
        <f>IF($A75="","",IF($H75="Stock",IF($I75="Buy",-$M75*$N75-$P75,IF($I75="Sell",IF($N75="", $M75*$O75-$P75,($O75-$N75)*$M75-$P75),"")),IF($I75="Sell",($N75-IF($O75="",0,$O75))*$M75*100-$P75,IF($I75="Buy",(IF($O75="",0,$O75)-$N75)*$M75*100-$P75,""))))</f>
        <v/>
      </c>
      <c r="R75" s="11">
        <f>IF($A75="","",IF($C75="Open","",$Q75))</f>
        <v/>
      </c>
      <c r="S75" s="12">
        <f>IF($A75="","",IFS($B75="Covered Call","Covered Call Premium",$B75="Cash Secured Put","Cash Secured Put Premium",$B75="Long Call/Put","Long Call/Put P/L",$B75="Debit Spread","Long Call/Put P/L",$B75="Stock Sale","Stock Sales",TRUE,"Other"))</f>
        <v/>
      </c>
      <c r="T75" s="11">
        <f>IF($A75="","",IF($B75="Cash Secured Put",$K75*$M75*100,IF($B75="Covered Call",$K75*$M75*100,IF($H75="Stock",$M75*$N75,""))))</f>
        <v/>
      </c>
      <c r="U75" s="19">
        <f>IF(OR($A75="",$C75&lt;&gt;"Closed",$D75="",$E75="",$T75=0),"",$R75/$T75*365/MAX(1,$E75-$D75))</f>
        <v/>
      </c>
      <c r="V75" s="14" t="n"/>
      <c r="W75" s="12" t="n"/>
    </row>
    <row r="76">
      <c r="A76" s="12" t="n"/>
      <c r="B76" s="14" t="n"/>
      <c r="C76" s="14" t="n"/>
      <c r="D76" s="15" t="n"/>
      <c r="E76" s="15" t="n"/>
      <c r="F76" s="16">
        <f>IF($E76="","",DATE(YEAR($E76),MONTH($E76),1))</f>
        <v/>
      </c>
      <c r="G76" s="14" t="n"/>
      <c r="H76" s="14" t="n"/>
      <c r="I76" s="14" t="n"/>
      <c r="J76" s="14" t="n"/>
      <c r="K76" s="17" t="n"/>
      <c r="L76" s="15" t="n"/>
      <c r="M76" s="14" t="n"/>
      <c r="N76" s="17" t="n"/>
      <c r="O76" s="17" t="n"/>
      <c r="P76" s="18" t="n"/>
      <c r="Q76" s="11">
        <f>IF($A76="","",IF($H76="Stock",IF($I76="Buy",-$M76*$N76-$P76,IF($I76="Sell",IF($N76="", $M76*$O76-$P76,($O76-$N76)*$M76-$P76),"")),IF($I76="Sell",($N76-IF($O76="",0,$O76))*$M76*100-$P76,IF($I76="Buy",(IF($O76="",0,$O76)-$N76)*$M76*100-$P76,""))))</f>
        <v/>
      </c>
      <c r="R76" s="11">
        <f>IF($A76="","",IF($C76="Open","",$Q76))</f>
        <v/>
      </c>
      <c r="S76" s="12">
        <f>IF($A76="","",IFS($B76="Covered Call","Covered Call Premium",$B76="Cash Secured Put","Cash Secured Put Premium",$B76="Long Call/Put","Long Call/Put P/L",$B76="Debit Spread","Long Call/Put P/L",$B76="Stock Sale","Stock Sales",TRUE,"Other"))</f>
        <v/>
      </c>
      <c r="T76" s="11">
        <f>IF($A76="","",IF($B76="Cash Secured Put",$K76*$M76*100,IF($B76="Covered Call",$K76*$M76*100,IF($H76="Stock",$M76*$N76,""))))</f>
        <v/>
      </c>
      <c r="U76" s="19">
        <f>IF(OR($A76="",$C76&lt;&gt;"Closed",$D76="",$E76="",$T76=0),"",$R76/$T76*365/MAX(1,$E76-$D76))</f>
        <v/>
      </c>
      <c r="V76" s="14" t="n"/>
      <c r="W76" s="12" t="n"/>
    </row>
    <row r="77">
      <c r="A77" s="12" t="n"/>
      <c r="B77" s="14" t="n"/>
      <c r="C77" s="14" t="n"/>
      <c r="D77" s="15" t="n"/>
      <c r="E77" s="15" t="n"/>
      <c r="F77" s="16">
        <f>IF($E77="","",DATE(YEAR($E77),MONTH($E77),1))</f>
        <v/>
      </c>
      <c r="G77" s="14" t="n"/>
      <c r="H77" s="14" t="n"/>
      <c r="I77" s="14" t="n"/>
      <c r="J77" s="14" t="n"/>
      <c r="K77" s="17" t="n"/>
      <c r="L77" s="15" t="n"/>
      <c r="M77" s="14" t="n"/>
      <c r="N77" s="17" t="n"/>
      <c r="O77" s="17" t="n"/>
      <c r="P77" s="18" t="n"/>
      <c r="Q77" s="11">
        <f>IF($A77="","",IF($H77="Stock",IF($I77="Buy",-$M77*$N77-$P77,IF($I77="Sell",IF($N77="", $M77*$O77-$P77,($O77-$N77)*$M77-$P77),"")),IF($I77="Sell",($N77-IF($O77="",0,$O77))*$M77*100-$P77,IF($I77="Buy",(IF($O77="",0,$O77)-$N77)*$M77*100-$P77,""))))</f>
        <v/>
      </c>
      <c r="R77" s="11">
        <f>IF($A77="","",IF($C77="Open","",$Q77))</f>
        <v/>
      </c>
      <c r="S77" s="12">
        <f>IF($A77="","",IFS($B77="Covered Call","Covered Call Premium",$B77="Cash Secured Put","Cash Secured Put Premium",$B77="Long Call/Put","Long Call/Put P/L",$B77="Debit Spread","Long Call/Put P/L",$B77="Stock Sale","Stock Sales",TRUE,"Other"))</f>
        <v/>
      </c>
      <c r="T77" s="11">
        <f>IF($A77="","",IF($B77="Cash Secured Put",$K77*$M77*100,IF($B77="Covered Call",$K77*$M77*100,IF($H77="Stock",$M77*$N77,""))))</f>
        <v/>
      </c>
      <c r="U77" s="19">
        <f>IF(OR($A77="",$C77&lt;&gt;"Closed",$D77="",$E77="",$T77=0),"",$R77/$T77*365/MAX(1,$E77-$D77))</f>
        <v/>
      </c>
      <c r="V77" s="14" t="n"/>
      <c r="W77" s="12" t="n"/>
    </row>
    <row r="78">
      <c r="A78" s="12" t="n"/>
      <c r="B78" s="14" t="n"/>
      <c r="C78" s="14" t="n"/>
      <c r="D78" s="15" t="n"/>
      <c r="E78" s="15" t="n"/>
      <c r="F78" s="16">
        <f>IF($E78="","",DATE(YEAR($E78),MONTH($E78),1))</f>
        <v/>
      </c>
      <c r="G78" s="14" t="n"/>
      <c r="H78" s="14" t="n"/>
      <c r="I78" s="14" t="n"/>
      <c r="J78" s="14" t="n"/>
      <c r="K78" s="17" t="n"/>
      <c r="L78" s="15" t="n"/>
      <c r="M78" s="14" t="n"/>
      <c r="N78" s="17" t="n"/>
      <c r="O78" s="17" t="n"/>
      <c r="P78" s="18" t="n"/>
      <c r="Q78" s="11">
        <f>IF($A78="","",IF($H78="Stock",IF($I78="Buy",-$M78*$N78-$P78,IF($I78="Sell",IF($N78="", $M78*$O78-$P78,($O78-$N78)*$M78-$P78),"")),IF($I78="Sell",($N78-IF($O78="",0,$O78))*$M78*100-$P78,IF($I78="Buy",(IF($O78="",0,$O78)-$N78)*$M78*100-$P78,""))))</f>
        <v/>
      </c>
      <c r="R78" s="11">
        <f>IF($A78="","",IF($C78="Open","",$Q78))</f>
        <v/>
      </c>
      <c r="S78" s="12">
        <f>IF($A78="","",IFS($B78="Covered Call","Covered Call Premium",$B78="Cash Secured Put","Cash Secured Put Premium",$B78="Long Call/Put","Long Call/Put P/L",$B78="Debit Spread","Long Call/Put P/L",$B78="Stock Sale","Stock Sales",TRUE,"Other"))</f>
        <v/>
      </c>
      <c r="T78" s="11">
        <f>IF($A78="","",IF($B78="Cash Secured Put",$K78*$M78*100,IF($B78="Covered Call",$K78*$M78*100,IF($H78="Stock",$M78*$N78,""))))</f>
        <v/>
      </c>
      <c r="U78" s="19">
        <f>IF(OR($A78="",$C78&lt;&gt;"Closed",$D78="",$E78="",$T78=0),"",$R78/$T78*365/MAX(1,$E78-$D78))</f>
        <v/>
      </c>
      <c r="V78" s="14" t="n"/>
      <c r="W78" s="12" t="n"/>
    </row>
    <row r="79">
      <c r="A79" s="12" t="n"/>
      <c r="B79" s="14" t="n"/>
      <c r="C79" s="14" t="n"/>
      <c r="D79" s="15" t="n"/>
      <c r="E79" s="15" t="n"/>
      <c r="F79" s="16">
        <f>IF($E79="","",DATE(YEAR($E79),MONTH($E79),1))</f>
        <v/>
      </c>
      <c r="G79" s="14" t="n"/>
      <c r="H79" s="14" t="n"/>
      <c r="I79" s="14" t="n"/>
      <c r="J79" s="14" t="n"/>
      <c r="K79" s="17" t="n"/>
      <c r="L79" s="15" t="n"/>
      <c r="M79" s="14" t="n"/>
      <c r="N79" s="17" t="n"/>
      <c r="O79" s="17" t="n"/>
      <c r="P79" s="18" t="n"/>
      <c r="Q79" s="11">
        <f>IF($A79="","",IF($H79="Stock",IF($I79="Buy",-$M79*$N79-$P79,IF($I79="Sell",IF($N79="", $M79*$O79-$P79,($O79-$N79)*$M79-$P79),"")),IF($I79="Sell",($N79-IF($O79="",0,$O79))*$M79*100-$P79,IF($I79="Buy",(IF($O79="",0,$O79)-$N79)*$M79*100-$P79,""))))</f>
        <v/>
      </c>
      <c r="R79" s="11">
        <f>IF($A79="","",IF($C79="Open","",$Q79))</f>
        <v/>
      </c>
      <c r="S79" s="12">
        <f>IF($A79="","",IFS($B79="Covered Call","Covered Call Premium",$B79="Cash Secured Put","Cash Secured Put Premium",$B79="Long Call/Put","Long Call/Put P/L",$B79="Debit Spread","Long Call/Put P/L",$B79="Stock Sale","Stock Sales",TRUE,"Other"))</f>
        <v/>
      </c>
      <c r="T79" s="11">
        <f>IF($A79="","",IF($B79="Cash Secured Put",$K79*$M79*100,IF($B79="Covered Call",$K79*$M79*100,IF($H79="Stock",$M79*$N79,""))))</f>
        <v/>
      </c>
      <c r="U79" s="19">
        <f>IF(OR($A79="",$C79&lt;&gt;"Closed",$D79="",$E79="",$T79=0),"",$R79/$T79*365/MAX(1,$E79-$D79))</f>
        <v/>
      </c>
      <c r="V79" s="14" t="n"/>
      <c r="W79" s="12" t="n"/>
    </row>
    <row r="80">
      <c r="A80" s="12" t="n"/>
      <c r="B80" s="14" t="n"/>
      <c r="C80" s="14" t="n"/>
      <c r="D80" s="15" t="n"/>
      <c r="E80" s="15" t="n"/>
      <c r="F80" s="16">
        <f>IF($E80="","",DATE(YEAR($E80),MONTH($E80),1))</f>
        <v/>
      </c>
      <c r="G80" s="14" t="n"/>
      <c r="H80" s="14" t="n"/>
      <c r="I80" s="14" t="n"/>
      <c r="J80" s="14" t="n"/>
      <c r="K80" s="17" t="n"/>
      <c r="L80" s="15" t="n"/>
      <c r="M80" s="14" t="n"/>
      <c r="N80" s="17" t="n"/>
      <c r="O80" s="17" t="n"/>
      <c r="P80" s="18" t="n"/>
      <c r="Q80" s="11">
        <f>IF($A80="","",IF($H80="Stock",IF($I80="Buy",-$M80*$N80-$P80,IF($I80="Sell",IF($N80="", $M80*$O80-$P80,($O80-$N80)*$M80-$P80),"")),IF($I80="Sell",($N80-IF($O80="",0,$O80))*$M80*100-$P80,IF($I80="Buy",(IF($O80="",0,$O80)-$N80)*$M80*100-$P80,""))))</f>
        <v/>
      </c>
      <c r="R80" s="11">
        <f>IF($A80="","",IF($C80="Open","",$Q80))</f>
        <v/>
      </c>
      <c r="S80" s="12">
        <f>IF($A80="","",IFS($B80="Covered Call","Covered Call Premium",$B80="Cash Secured Put","Cash Secured Put Premium",$B80="Long Call/Put","Long Call/Put P/L",$B80="Debit Spread","Long Call/Put P/L",$B80="Stock Sale","Stock Sales",TRUE,"Other"))</f>
        <v/>
      </c>
      <c r="T80" s="11">
        <f>IF($A80="","",IF($B80="Cash Secured Put",$K80*$M80*100,IF($B80="Covered Call",$K80*$M80*100,IF($H80="Stock",$M80*$N80,""))))</f>
        <v/>
      </c>
      <c r="U80" s="19">
        <f>IF(OR($A80="",$C80&lt;&gt;"Closed",$D80="",$E80="",$T80=0),"",$R80/$T80*365/MAX(1,$E80-$D80))</f>
        <v/>
      </c>
      <c r="V80" s="14" t="n"/>
      <c r="W80" s="12" t="n"/>
    </row>
    <row r="81">
      <c r="A81" s="12" t="n"/>
      <c r="B81" s="14" t="n"/>
      <c r="C81" s="14" t="n"/>
      <c r="D81" s="15" t="n"/>
      <c r="E81" s="15" t="n"/>
      <c r="F81" s="16">
        <f>IF($E81="","",DATE(YEAR($E81),MONTH($E81),1))</f>
        <v/>
      </c>
      <c r="G81" s="14" t="n"/>
      <c r="H81" s="14" t="n"/>
      <c r="I81" s="14" t="n"/>
      <c r="J81" s="14" t="n"/>
      <c r="K81" s="17" t="n"/>
      <c r="L81" s="15" t="n"/>
      <c r="M81" s="14" t="n"/>
      <c r="N81" s="17" t="n"/>
      <c r="O81" s="17" t="n"/>
      <c r="P81" s="18" t="n"/>
      <c r="Q81" s="11">
        <f>IF($A81="","",IF($H81="Stock",IF($I81="Buy",-$M81*$N81-$P81,IF($I81="Sell",IF($N81="", $M81*$O81-$P81,($O81-$N81)*$M81-$P81),"")),IF($I81="Sell",($N81-IF($O81="",0,$O81))*$M81*100-$P81,IF($I81="Buy",(IF($O81="",0,$O81)-$N81)*$M81*100-$P81,""))))</f>
        <v/>
      </c>
      <c r="R81" s="11">
        <f>IF($A81="","",IF($C81="Open","",$Q81))</f>
        <v/>
      </c>
      <c r="S81" s="12">
        <f>IF($A81="","",IFS($B81="Covered Call","Covered Call Premium",$B81="Cash Secured Put","Cash Secured Put Premium",$B81="Long Call/Put","Long Call/Put P/L",$B81="Debit Spread","Long Call/Put P/L",$B81="Stock Sale","Stock Sales",TRUE,"Other"))</f>
        <v/>
      </c>
      <c r="T81" s="11">
        <f>IF($A81="","",IF($B81="Cash Secured Put",$K81*$M81*100,IF($B81="Covered Call",$K81*$M81*100,IF($H81="Stock",$M81*$N81,""))))</f>
        <v/>
      </c>
      <c r="U81" s="19">
        <f>IF(OR($A81="",$C81&lt;&gt;"Closed",$D81="",$E81="",$T81=0),"",$R81/$T81*365/MAX(1,$E81-$D81))</f>
        <v/>
      </c>
      <c r="V81" s="14" t="n"/>
      <c r="W81" s="12" t="n"/>
    </row>
    <row r="82">
      <c r="A82" s="12" t="n"/>
      <c r="B82" s="14" t="n"/>
      <c r="C82" s="14" t="n"/>
      <c r="D82" s="15" t="n"/>
      <c r="E82" s="15" t="n"/>
      <c r="F82" s="16">
        <f>IF($E82="","",DATE(YEAR($E82),MONTH($E82),1))</f>
        <v/>
      </c>
      <c r="G82" s="14" t="n"/>
      <c r="H82" s="14" t="n"/>
      <c r="I82" s="14" t="n"/>
      <c r="J82" s="14" t="n"/>
      <c r="K82" s="17" t="n"/>
      <c r="L82" s="15" t="n"/>
      <c r="M82" s="14" t="n"/>
      <c r="N82" s="17" t="n"/>
      <c r="O82" s="17" t="n"/>
      <c r="P82" s="18" t="n"/>
      <c r="Q82" s="11">
        <f>IF($A82="","",IF($H82="Stock",IF($I82="Buy",-$M82*$N82-$P82,IF($I82="Sell",IF($N82="", $M82*$O82-$P82,($O82-$N82)*$M82-$P82),"")),IF($I82="Sell",($N82-IF($O82="",0,$O82))*$M82*100-$P82,IF($I82="Buy",(IF($O82="",0,$O82)-$N82)*$M82*100-$P82,""))))</f>
        <v/>
      </c>
      <c r="R82" s="11">
        <f>IF($A82="","",IF($C82="Open","",$Q82))</f>
        <v/>
      </c>
      <c r="S82" s="12">
        <f>IF($A82="","",IFS($B82="Covered Call","Covered Call Premium",$B82="Cash Secured Put","Cash Secured Put Premium",$B82="Long Call/Put","Long Call/Put P/L",$B82="Debit Spread","Long Call/Put P/L",$B82="Stock Sale","Stock Sales",TRUE,"Other"))</f>
        <v/>
      </c>
      <c r="T82" s="11">
        <f>IF($A82="","",IF($B82="Cash Secured Put",$K82*$M82*100,IF($B82="Covered Call",$K82*$M82*100,IF($H82="Stock",$M82*$N82,""))))</f>
        <v/>
      </c>
      <c r="U82" s="19">
        <f>IF(OR($A82="",$C82&lt;&gt;"Closed",$D82="",$E82="",$T82=0),"",$R82/$T82*365/MAX(1,$E82-$D82))</f>
        <v/>
      </c>
      <c r="V82" s="14" t="n"/>
      <c r="W82" s="12" t="n"/>
    </row>
    <row r="83">
      <c r="A83" s="12" t="n"/>
      <c r="B83" s="14" t="n"/>
      <c r="C83" s="14" t="n"/>
      <c r="D83" s="15" t="n"/>
      <c r="E83" s="15" t="n"/>
      <c r="F83" s="16">
        <f>IF($E83="","",DATE(YEAR($E83),MONTH($E83),1))</f>
        <v/>
      </c>
      <c r="G83" s="14" t="n"/>
      <c r="H83" s="14" t="n"/>
      <c r="I83" s="14" t="n"/>
      <c r="J83" s="14" t="n"/>
      <c r="K83" s="17" t="n"/>
      <c r="L83" s="15" t="n"/>
      <c r="M83" s="14" t="n"/>
      <c r="N83" s="17" t="n"/>
      <c r="O83" s="17" t="n"/>
      <c r="P83" s="18" t="n"/>
      <c r="Q83" s="11">
        <f>IF($A83="","",IF($H83="Stock",IF($I83="Buy",-$M83*$N83-$P83,IF($I83="Sell",IF($N83="", $M83*$O83-$P83,($O83-$N83)*$M83-$P83),"")),IF($I83="Sell",($N83-IF($O83="",0,$O83))*$M83*100-$P83,IF($I83="Buy",(IF($O83="",0,$O83)-$N83)*$M83*100-$P83,""))))</f>
        <v/>
      </c>
      <c r="R83" s="11">
        <f>IF($A83="","",IF($C83="Open","",$Q83))</f>
        <v/>
      </c>
      <c r="S83" s="12">
        <f>IF($A83="","",IFS($B83="Covered Call","Covered Call Premium",$B83="Cash Secured Put","Cash Secured Put Premium",$B83="Long Call/Put","Long Call/Put P/L",$B83="Debit Spread","Long Call/Put P/L",$B83="Stock Sale","Stock Sales",TRUE,"Other"))</f>
        <v/>
      </c>
      <c r="T83" s="11">
        <f>IF($A83="","",IF($B83="Cash Secured Put",$K83*$M83*100,IF($B83="Covered Call",$K83*$M83*100,IF($H83="Stock",$M83*$N83,""))))</f>
        <v/>
      </c>
      <c r="U83" s="19">
        <f>IF(OR($A83="",$C83&lt;&gt;"Closed",$D83="",$E83="",$T83=0),"",$R83/$T83*365/MAX(1,$E83-$D83))</f>
        <v/>
      </c>
      <c r="V83" s="14" t="n"/>
      <c r="W83" s="12" t="n"/>
    </row>
    <row r="84">
      <c r="A84" s="12" t="n"/>
      <c r="B84" s="14" t="n"/>
      <c r="C84" s="14" t="n"/>
      <c r="D84" s="15" t="n"/>
      <c r="E84" s="15" t="n"/>
      <c r="F84" s="16">
        <f>IF($E84="","",DATE(YEAR($E84),MONTH($E84),1))</f>
        <v/>
      </c>
      <c r="G84" s="14" t="n"/>
      <c r="H84" s="14" t="n"/>
      <c r="I84" s="14" t="n"/>
      <c r="J84" s="14" t="n"/>
      <c r="K84" s="17" t="n"/>
      <c r="L84" s="15" t="n"/>
      <c r="M84" s="14" t="n"/>
      <c r="N84" s="17" t="n"/>
      <c r="O84" s="17" t="n"/>
      <c r="P84" s="18" t="n"/>
      <c r="Q84" s="11">
        <f>IF($A84="","",IF($H84="Stock",IF($I84="Buy",-$M84*$N84-$P84,IF($I84="Sell",IF($N84="", $M84*$O84-$P84,($O84-$N84)*$M84-$P84),"")),IF($I84="Sell",($N84-IF($O84="",0,$O84))*$M84*100-$P84,IF($I84="Buy",(IF($O84="",0,$O84)-$N84)*$M84*100-$P84,""))))</f>
        <v/>
      </c>
      <c r="R84" s="11">
        <f>IF($A84="","",IF($C84="Open","",$Q84))</f>
        <v/>
      </c>
      <c r="S84" s="12">
        <f>IF($A84="","",IFS($B84="Covered Call","Covered Call Premium",$B84="Cash Secured Put","Cash Secured Put Premium",$B84="Long Call/Put","Long Call/Put P/L",$B84="Debit Spread","Long Call/Put P/L",$B84="Stock Sale","Stock Sales",TRUE,"Other"))</f>
        <v/>
      </c>
      <c r="T84" s="11">
        <f>IF($A84="","",IF($B84="Cash Secured Put",$K84*$M84*100,IF($B84="Covered Call",$K84*$M84*100,IF($H84="Stock",$M84*$N84,""))))</f>
        <v/>
      </c>
      <c r="U84" s="19">
        <f>IF(OR($A84="",$C84&lt;&gt;"Closed",$D84="",$E84="",$T84=0),"",$R84/$T84*365/MAX(1,$E84-$D84))</f>
        <v/>
      </c>
      <c r="V84" s="14" t="n"/>
      <c r="W84" s="12" t="n"/>
    </row>
    <row r="85">
      <c r="A85" s="12" t="n"/>
      <c r="B85" s="14" t="n"/>
      <c r="C85" s="14" t="n"/>
      <c r="D85" s="15" t="n"/>
      <c r="E85" s="15" t="n"/>
      <c r="F85" s="16">
        <f>IF($E85="","",DATE(YEAR($E85),MONTH($E85),1))</f>
        <v/>
      </c>
      <c r="G85" s="14" t="n"/>
      <c r="H85" s="14" t="n"/>
      <c r="I85" s="14" t="n"/>
      <c r="J85" s="14" t="n"/>
      <c r="K85" s="17" t="n"/>
      <c r="L85" s="15" t="n"/>
      <c r="M85" s="14" t="n"/>
      <c r="N85" s="17" t="n"/>
      <c r="O85" s="17" t="n"/>
      <c r="P85" s="18" t="n"/>
      <c r="Q85" s="11">
        <f>IF($A85="","",IF($H85="Stock",IF($I85="Buy",-$M85*$N85-$P85,IF($I85="Sell",IF($N85="", $M85*$O85-$P85,($O85-$N85)*$M85-$P85),"")),IF($I85="Sell",($N85-IF($O85="",0,$O85))*$M85*100-$P85,IF($I85="Buy",(IF($O85="",0,$O85)-$N85)*$M85*100-$P85,""))))</f>
        <v/>
      </c>
      <c r="R85" s="11">
        <f>IF($A85="","",IF($C85="Open","",$Q85))</f>
        <v/>
      </c>
      <c r="S85" s="12">
        <f>IF($A85="","",IFS($B85="Covered Call","Covered Call Premium",$B85="Cash Secured Put","Cash Secured Put Premium",$B85="Long Call/Put","Long Call/Put P/L",$B85="Debit Spread","Long Call/Put P/L",$B85="Stock Sale","Stock Sales",TRUE,"Other"))</f>
        <v/>
      </c>
      <c r="T85" s="11">
        <f>IF($A85="","",IF($B85="Cash Secured Put",$K85*$M85*100,IF($B85="Covered Call",$K85*$M85*100,IF($H85="Stock",$M85*$N85,""))))</f>
        <v/>
      </c>
      <c r="U85" s="19">
        <f>IF(OR($A85="",$C85&lt;&gt;"Closed",$D85="",$E85="",$T85=0),"",$R85/$T85*365/MAX(1,$E85-$D85))</f>
        <v/>
      </c>
      <c r="V85" s="14" t="n"/>
      <c r="W85" s="12" t="n"/>
    </row>
    <row r="86">
      <c r="A86" s="12" t="n"/>
      <c r="B86" s="14" t="n"/>
      <c r="C86" s="14" t="n"/>
      <c r="D86" s="15" t="n"/>
      <c r="E86" s="15" t="n"/>
      <c r="F86" s="16">
        <f>IF($E86="","",DATE(YEAR($E86),MONTH($E86),1))</f>
        <v/>
      </c>
      <c r="G86" s="14" t="n"/>
      <c r="H86" s="14" t="n"/>
      <c r="I86" s="14" t="n"/>
      <c r="J86" s="14" t="n"/>
      <c r="K86" s="17" t="n"/>
      <c r="L86" s="15" t="n"/>
      <c r="M86" s="14" t="n"/>
      <c r="N86" s="17" t="n"/>
      <c r="O86" s="17" t="n"/>
      <c r="P86" s="18" t="n"/>
      <c r="Q86" s="11">
        <f>IF($A86="","",IF($H86="Stock",IF($I86="Buy",-$M86*$N86-$P86,IF($I86="Sell",IF($N86="", $M86*$O86-$P86,($O86-$N86)*$M86-$P86),"")),IF($I86="Sell",($N86-IF($O86="",0,$O86))*$M86*100-$P86,IF($I86="Buy",(IF($O86="",0,$O86)-$N86)*$M86*100-$P86,""))))</f>
        <v/>
      </c>
      <c r="R86" s="11">
        <f>IF($A86="","",IF($C86="Open","",$Q86))</f>
        <v/>
      </c>
      <c r="S86" s="12">
        <f>IF($A86="","",IFS($B86="Covered Call","Covered Call Premium",$B86="Cash Secured Put","Cash Secured Put Premium",$B86="Long Call/Put","Long Call/Put P/L",$B86="Debit Spread","Long Call/Put P/L",$B86="Stock Sale","Stock Sales",TRUE,"Other"))</f>
        <v/>
      </c>
      <c r="T86" s="11">
        <f>IF($A86="","",IF($B86="Cash Secured Put",$K86*$M86*100,IF($B86="Covered Call",$K86*$M86*100,IF($H86="Stock",$M86*$N86,""))))</f>
        <v/>
      </c>
      <c r="U86" s="19">
        <f>IF(OR($A86="",$C86&lt;&gt;"Closed",$D86="",$E86="",$T86=0),"",$R86/$T86*365/MAX(1,$E86-$D86))</f>
        <v/>
      </c>
      <c r="V86" s="14" t="n"/>
      <c r="W86" s="12" t="n"/>
    </row>
    <row r="87">
      <c r="A87" s="12" t="n"/>
      <c r="B87" s="14" t="n"/>
      <c r="C87" s="14" t="n"/>
      <c r="D87" s="15" t="n"/>
      <c r="E87" s="15" t="n"/>
      <c r="F87" s="16">
        <f>IF($E87="","",DATE(YEAR($E87),MONTH($E87),1))</f>
        <v/>
      </c>
      <c r="G87" s="14" t="n"/>
      <c r="H87" s="14" t="n"/>
      <c r="I87" s="14" t="n"/>
      <c r="J87" s="14" t="n"/>
      <c r="K87" s="17" t="n"/>
      <c r="L87" s="15" t="n"/>
      <c r="M87" s="14" t="n"/>
      <c r="N87" s="17" t="n"/>
      <c r="O87" s="17" t="n"/>
      <c r="P87" s="18" t="n"/>
      <c r="Q87" s="11">
        <f>IF($A87="","",IF($H87="Stock",IF($I87="Buy",-$M87*$N87-$P87,IF($I87="Sell",IF($N87="", $M87*$O87-$P87,($O87-$N87)*$M87-$P87),"")),IF($I87="Sell",($N87-IF($O87="",0,$O87))*$M87*100-$P87,IF($I87="Buy",(IF($O87="",0,$O87)-$N87)*$M87*100-$P87,""))))</f>
        <v/>
      </c>
      <c r="R87" s="11">
        <f>IF($A87="","",IF($C87="Open","",$Q87))</f>
        <v/>
      </c>
      <c r="S87" s="12">
        <f>IF($A87="","",IFS($B87="Covered Call","Covered Call Premium",$B87="Cash Secured Put","Cash Secured Put Premium",$B87="Long Call/Put","Long Call/Put P/L",$B87="Debit Spread","Long Call/Put P/L",$B87="Stock Sale","Stock Sales",TRUE,"Other"))</f>
        <v/>
      </c>
      <c r="T87" s="11">
        <f>IF($A87="","",IF($B87="Cash Secured Put",$K87*$M87*100,IF($B87="Covered Call",$K87*$M87*100,IF($H87="Stock",$M87*$N87,""))))</f>
        <v/>
      </c>
      <c r="U87" s="19">
        <f>IF(OR($A87="",$C87&lt;&gt;"Closed",$D87="",$E87="",$T87=0),"",$R87/$T87*365/MAX(1,$E87-$D87))</f>
        <v/>
      </c>
      <c r="V87" s="14" t="n"/>
      <c r="W87" s="12" t="n"/>
    </row>
    <row r="88">
      <c r="A88" s="12" t="n"/>
      <c r="B88" s="14" t="n"/>
      <c r="C88" s="14" t="n"/>
      <c r="D88" s="15" t="n"/>
      <c r="E88" s="15" t="n"/>
      <c r="F88" s="16">
        <f>IF($E88="","",DATE(YEAR($E88),MONTH($E88),1))</f>
        <v/>
      </c>
      <c r="G88" s="14" t="n"/>
      <c r="H88" s="14" t="n"/>
      <c r="I88" s="14" t="n"/>
      <c r="J88" s="14" t="n"/>
      <c r="K88" s="17" t="n"/>
      <c r="L88" s="15" t="n"/>
      <c r="M88" s="14" t="n"/>
      <c r="N88" s="17" t="n"/>
      <c r="O88" s="17" t="n"/>
      <c r="P88" s="18" t="n"/>
      <c r="Q88" s="11">
        <f>IF($A88="","",IF($H88="Stock",IF($I88="Buy",-$M88*$N88-$P88,IF($I88="Sell",IF($N88="", $M88*$O88-$P88,($O88-$N88)*$M88-$P88),"")),IF($I88="Sell",($N88-IF($O88="",0,$O88))*$M88*100-$P88,IF($I88="Buy",(IF($O88="",0,$O88)-$N88)*$M88*100-$P88,""))))</f>
        <v/>
      </c>
      <c r="R88" s="11">
        <f>IF($A88="","",IF($C88="Open","",$Q88))</f>
        <v/>
      </c>
      <c r="S88" s="12">
        <f>IF($A88="","",IFS($B88="Covered Call","Covered Call Premium",$B88="Cash Secured Put","Cash Secured Put Premium",$B88="Long Call/Put","Long Call/Put P/L",$B88="Debit Spread","Long Call/Put P/L",$B88="Stock Sale","Stock Sales",TRUE,"Other"))</f>
        <v/>
      </c>
      <c r="T88" s="11">
        <f>IF($A88="","",IF($B88="Cash Secured Put",$K88*$M88*100,IF($B88="Covered Call",$K88*$M88*100,IF($H88="Stock",$M88*$N88,""))))</f>
        <v/>
      </c>
      <c r="U88" s="19">
        <f>IF(OR($A88="",$C88&lt;&gt;"Closed",$D88="",$E88="",$T88=0),"",$R88/$T88*365/MAX(1,$E88-$D88))</f>
        <v/>
      </c>
      <c r="V88" s="14" t="n"/>
      <c r="W88" s="12" t="n"/>
    </row>
    <row r="89">
      <c r="A89" s="12" t="n"/>
      <c r="B89" s="14" t="n"/>
      <c r="C89" s="14" t="n"/>
      <c r="D89" s="15" t="n"/>
      <c r="E89" s="15" t="n"/>
      <c r="F89" s="16">
        <f>IF($E89="","",DATE(YEAR($E89),MONTH($E89),1))</f>
        <v/>
      </c>
      <c r="G89" s="14" t="n"/>
      <c r="H89" s="14" t="n"/>
      <c r="I89" s="14" t="n"/>
      <c r="J89" s="14" t="n"/>
      <c r="K89" s="17" t="n"/>
      <c r="L89" s="15" t="n"/>
      <c r="M89" s="14" t="n"/>
      <c r="N89" s="17" t="n"/>
      <c r="O89" s="17" t="n"/>
      <c r="P89" s="18" t="n"/>
      <c r="Q89" s="11">
        <f>IF($A89="","",IF($H89="Stock",IF($I89="Buy",-$M89*$N89-$P89,IF($I89="Sell",IF($N89="", $M89*$O89-$P89,($O89-$N89)*$M89-$P89),"")),IF($I89="Sell",($N89-IF($O89="",0,$O89))*$M89*100-$P89,IF($I89="Buy",(IF($O89="",0,$O89)-$N89)*$M89*100-$P89,""))))</f>
        <v/>
      </c>
      <c r="R89" s="11">
        <f>IF($A89="","",IF($C89="Open","",$Q89))</f>
        <v/>
      </c>
      <c r="S89" s="12">
        <f>IF($A89="","",IFS($B89="Covered Call","Covered Call Premium",$B89="Cash Secured Put","Cash Secured Put Premium",$B89="Long Call/Put","Long Call/Put P/L",$B89="Debit Spread","Long Call/Put P/L",$B89="Stock Sale","Stock Sales",TRUE,"Other"))</f>
        <v/>
      </c>
      <c r="T89" s="11">
        <f>IF($A89="","",IF($B89="Cash Secured Put",$K89*$M89*100,IF($B89="Covered Call",$K89*$M89*100,IF($H89="Stock",$M89*$N89,""))))</f>
        <v/>
      </c>
      <c r="U89" s="19">
        <f>IF(OR($A89="",$C89&lt;&gt;"Closed",$D89="",$E89="",$T89=0),"",$R89/$T89*365/MAX(1,$E89-$D89))</f>
        <v/>
      </c>
      <c r="V89" s="14" t="n"/>
      <c r="W89" s="12" t="n"/>
    </row>
    <row r="90">
      <c r="A90" s="12" t="n"/>
      <c r="B90" s="14" t="n"/>
      <c r="C90" s="14" t="n"/>
      <c r="D90" s="15" t="n"/>
      <c r="E90" s="15" t="n"/>
      <c r="F90" s="16">
        <f>IF($E90="","",DATE(YEAR($E90),MONTH($E90),1))</f>
        <v/>
      </c>
      <c r="G90" s="14" t="n"/>
      <c r="H90" s="14" t="n"/>
      <c r="I90" s="14" t="n"/>
      <c r="J90" s="14" t="n"/>
      <c r="K90" s="17" t="n"/>
      <c r="L90" s="15" t="n"/>
      <c r="M90" s="14" t="n"/>
      <c r="N90" s="17" t="n"/>
      <c r="O90" s="17" t="n"/>
      <c r="P90" s="18" t="n"/>
      <c r="Q90" s="11">
        <f>IF($A90="","",IF($H90="Stock",IF($I90="Buy",-$M90*$N90-$P90,IF($I90="Sell",IF($N90="", $M90*$O90-$P90,($O90-$N90)*$M90-$P90),"")),IF($I90="Sell",($N90-IF($O90="",0,$O90))*$M90*100-$P90,IF($I90="Buy",(IF($O90="",0,$O90)-$N90)*$M90*100-$P90,""))))</f>
        <v/>
      </c>
      <c r="R90" s="11">
        <f>IF($A90="","",IF($C90="Open","",$Q90))</f>
        <v/>
      </c>
      <c r="S90" s="12">
        <f>IF($A90="","",IFS($B90="Covered Call","Covered Call Premium",$B90="Cash Secured Put","Cash Secured Put Premium",$B90="Long Call/Put","Long Call/Put P/L",$B90="Debit Spread","Long Call/Put P/L",$B90="Stock Sale","Stock Sales",TRUE,"Other"))</f>
        <v/>
      </c>
      <c r="T90" s="11">
        <f>IF($A90="","",IF($B90="Cash Secured Put",$K90*$M90*100,IF($B90="Covered Call",$K90*$M90*100,IF($H90="Stock",$M90*$N90,""))))</f>
        <v/>
      </c>
      <c r="U90" s="19">
        <f>IF(OR($A90="",$C90&lt;&gt;"Closed",$D90="",$E90="",$T90=0),"",$R90/$T90*365/MAX(1,$E90-$D90))</f>
        <v/>
      </c>
      <c r="V90" s="14" t="n"/>
      <c r="W90" s="12" t="n"/>
    </row>
    <row r="91">
      <c r="A91" s="12" t="n"/>
      <c r="B91" s="14" t="n"/>
      <c r="C91" s="14" t="n"/>
      <c r="D91" s="15" t="n"/>
      <c r="E91" s="15" t="n"/>
      <c r="F91" s="16">
        <f>IF($E91="","",DATE(YEAR($E91),MONTH($E91),1))</f>
        <v/>
      </c>
      <c r="G91" s="14" t="n"/>
      <c r="H91" s="14" t="n"/>
      <c r="I91" s="14" t="n"/>
      <c r="J91" s="14" t="n"/>
      <c r="K91" s="17" t="n"/>
      <c r="L91" s="15" t="n"/>
      <c r="M91" s="14" t="n"/>
      <c r="N91" s="17" t="n"/>
      <c r="O91" s="17" t="n"/>
      <c r="P91" s="18" t="n"/>
      <c r="Q91" s="11">
        <f>IF($A91="","",IF($H91="Stock",IF($I91="Buy",-$M91*$N91-$P91,IF($I91="Sell",IF($N91="", $M91*$O91-$P91,($O91-$N91)*$M91-$P91),"")),IF($I91="Sell",($N91-IF($O91="",0,$O91))*$M91*100-$P91,IF($I91="Buy",(IF($O91="",0,$O91)-$N91)*$M91*100-$P91,""))))</f>
        <v/>
      </c>
      <c r="R91" s="11">
        <f>IF($A91="","",IF($C91="Open","",$Q91))</f>
        <v/>
      </c>
      <c r="S91" s="12">
        <f>IF($A91="","",IFS($B91="Covered Call","Covered Call Premium",$B91="Cash Secured Put","Cash Secured Put Premium",$B91="Long Call/Put","Long Call/Put P/L",$B91="Debit Spread","Long Call/Put P/L",$B91="Stock Sale","Stock Sales",TRUE,"Other"))</f>
        <v/>
      </c>
      <c r="T91" s="11">
        <f>IF($A91="","",IF($B91="Cash Secured Put",$K91*$M91*100,IF($B91="Covered Call",$K91*$M91*100,IF($H91="Stock",$M91*$N91,""))))</f>
        <v/>
      </c>
      <c r="U91" s="19">
        <f>IF(OR($A91="",$C91&lt;&gt;"Closed",$D91="",$E91="",$T91=0),"",$R91/$T91*365/MAX(1,$E91-$D91))</f>
        <v/>
      </c>
      <c r="V91" s="14" t="n"/>
      <c r="W91" s="12" t="n"/>
    </row>
    <row r="92">
      <c r="A92" s="12" t="n"/>
      <c r="B92" s="14" t="n"/>
      <c r="C92" s="14" t="n"/>
      <c r="D92" s="15" t="n"/>
      <c r="E92" s="15" t="n"/>
      <c r="F92" s="16">
        <f>IF($E92="","",DATE(YEAR($E92),MONTH($E92),1))</f>
        <v/>
      </c>
      <c r="G92" s="14" t="n"/>
      <c r="H92" s="14" t="n"/>
      <c r="I92" s="14" t="n"/>
      <c r="J92" s="14" t="n"/>
      <c r="K92" s="17" t="n"/>
      <c r="L92" s="15" t="n"/>
      <c r="M92" s="14" t="n"/>
      <c r="N92" s="17" t="n"/>
      <c r="O92" s="17" t="n"/>
      <c r="P92" s="18" t="n"/>
      <c r="Q92" s="11">
        <f>IF($A92="","",IF($H92="Stock",IF($I92="Buy",-$M92*$N92-$P92,IF($I92="Sell",IF($N92="", $M92*$O92-$P92,($O92-$N92)*$M92-$P92),"")),IF($I92="Sell",($N92-IF($O92="",0,$O92))*$M92*100-$P92,IF($I92="Buy",(IF($O92="",0,$O92)-$N92)*$M92*100-$P92,""))))</f>
        <v/>
      </c>
      <c r="R92" s="11">
        <f>IF($A92="","",IF($C92="Open","",$Q92))</f>
        <v/>
      </c>
      <c r="S92" s="12">
        <f>IF($A92="","",IFS($B92="Covered Call","Covered Call Premium",$B92="Cash Secured Put","Cash Secured Put Premium",$B92="Long Call/Put","Long Call/Put P/L",$B92="Debit Spread","Long Call/Put P/L",$B92="Stock Sale","Stock Sales",TRUE,"Other"))</f>
        <v/>
      </c>
      <c r="T92" s="11">
        <f>IF($A92="","",IF($B92="Cash Secured Put",$K92*$M92*100,IF($B92="Covered Call",$K92*$M92*100,IF($H92="Stock",$M92*$N92,""))))</f>
        <v/>
      </c>
      <c r="U92" s="19">
        <f>IF(OR($A92="",$C92&lt;&gt;"Closed",$D92="",$E92="",$T92=0),"",$R92/$T92*365/MAX(1,$E92-$D92))</f>
        <v/>
      </c>
      <c r="V92" s="14" t="n"/>
      <c r="W92" s="12" t="n"/>
    </row>
    <row r="93">
      <c r="A93" s="12" t="n"/>
      <c r="B93" s="14" t="n"/>
      <c r="C93" s="14" t="n"/>
      <c r="D93" s="15" t="n"/>
      <c r="E93" s="15" t="n"/>
      <c r="F93" s="16">
        <f>IF($E93="","",DATE(YEAR($E93),MONTH($E93),1))</f>
        <v/>
      </c>
      <c r="G93" s="14" t="n"/>
      <c r="H93" s="14" t="n"/>
      <c r="I93" s="14" t="n"/>
      <c r="J93" s="14" t="n"/>
      <c r="K93" s="17" t="n"/>
      <c r="L93" s="15" t="n"/>
      <c r="M93" s="14" t="n"/>
      <c r="N93" s="17" t="n"/>
      <c r="O93" s="17" t="n"/>
      <c r="P93" s="18" t="n"/>
      <c r="Q93" s="11">
        <f>IF($A93="","",IF($H93="Stock",IF($I93="Buy",-$M93*$N93-$P93,IF($I93="Sell",IF($N93="", $M93*$O93-$P93,($O93-$N93)*$M93-$P93),"")),IF($I93="Sell",($N93-IF($O93="",0,$O93))*$M93*100-$P93,IF($I93="Buy",(IF($O93="",0,$O93)-$N93)*$M93*100-$P93,""))))</f>
        <v/>
      </c>
      <c r="R93" s="11">
        <f>IF($A93="","",IF($C93="Open","",$Q93))</f>
        <v/>
      </c>
      <c r="S93" s="12">
        <f>IF($A93="","",IFS($B93="Covered Call","Covered Call Premium",$B93="Cash Secured Put","Cash Secured Put Premium",$B93="Long Call/Put","Long Call/Put P/L",$B93="Debit Spread","Long Call/Put P/L",$B93="Stock Sale","Stock Sales",TRUE,"Other"))</f>
        <v/>
      </c>
      <c r="T93" s="11">
        <f>IF($A93="","",IF($B93="Cash Secured Put",$K93*$M93*100,IF($B93="Covered Call",$K93*$M93*100,IF($H93="Stock",$M93*$N93,""))))</f>
        <v/>
      </c>
      <c r="U93" s="19">
        <f>IF(OR($A93="",$C93&lt;&gt;"Closed",$D93="",$E93="",$T93=0),"",$R93/$T93*365/MAX(1,$E93-$D93))</f>
        <v/>
      </c>
      <c r="V93" s="14" t="n"/>
      <c r="W93" s="12" t="n"/>
    </row>
    <row r="94">
      <c r="A94" s="12" t="n"/>
      <c r="B94" s="14" t="n"/>
      <c r="C94" s="14" t="n"/>
      <c r="D94" s="15" t="n"/>
      <c r="E94" s="15" t="n"/>
      <c r="F94" s="16">
        <f>IF($E94="","",DATE(YEAR($E94),MONTH($E94),1))</f>
        <v/>
      </c>
      <c r="G94" s="14" t="n"/>
      <c r="H94" s="14" t="n"/>
      <c r="I94" s="14" t="n"/>
      <c r="J94" s="14" t="n"/>
      <c r="K94" s="17" t="n"/>
      <c r="L94" s="15" t="n"/>
      <c r="M94" s="14" t="n"/>
      <c r="N94" s="17" t="n"/>
      <c r="O94" s="17" t="n"/>
      <c r="P94" s="18" t="n"/>
      <c r="Q94" s="11">
        <f>IF($A94="","",IF($H94="Stock",IF($I94="Buy",-$M94*$N94-$P94,IF($I94="Sell",IF($N94="", $M94*$O94-$P94,($O94-$N94)*$M94-$P94),"")),IF($I94="Sell",($N94-IF($O94="",0,$O94))*$M94*100-$P94,IF($I94="Buy",(IF($O94="",0,$O94)-$N94)*$M94*100-$P94,""))))</f>
        <v/>
      </c>
      <c r="R94" s="11">
        <f>IF($A94="","",IF($C94="Open","",$Q94))</f>
        <v/>
      </c>
      <c r="S94" s="12">
        <f>IF($A94="","",IFS($B94="Covered Call","Covered Call Premium",$B94="Cash Secured Put","Cash Secured Put Premium",$B94="Long Call/Put","Long Call/Put P/L",$B94="Debit Spread","Long Call/Put P/L",$B94="Stock Sale","Stock Sales",TRUE,"Other"))</f>
        <v/>
      </c>
      <c r="T94" s="11">
        <f>IF($A94="","",IF($B94="Cash Secured Put",$K94*$M94*100,IF($B94="Covered Call",$K94*$M94*100,IF($H94="Stock",$M94*$N94,""))))</f>
        <v/>
      </c>
      <c r="U94" s="19">
        <f>IF(OR($A94="",$C94&lt;&gt;"Closed",$D94="",$E94="",$T94=0),"",$R94/$T94*365/MAX(1,$E94-$D94))</f>
        <v/>
      </c>
      <c r="V94" s="14" t="n"/>
      <c r="W94" s="12" t="n"/>
    </row>
    <row r="95">
      <c r="A95" s="12" t="n"/>
      <c r="B95" s="14" t="n"/>
      <c r="C95" s="14" t="n"/>
      <c r="D95" s="15" t="n"/>
      <c r="E95" s="15" t="n"/>
      <c r="F95" s="16">
        <f>IF($E95="","",DATE(YEAR($E95),MONTH($E95),1))</f>
        <v/>
      </c>
      <c r="G95" s="14" t="n"/>
      <c r="H95" s="14" t="n"/>
      <c r="I95" s="14" t="n"/>
      <c r="J95" s="14" t="n"/>
      <c r="K95" s="17" t="n"/>
      <c r="L95" s="15" t="n"/>
      <c r="M95" s="14" t="n"/>
      <c r="N95" s="17" t="n"/>
      <c r="O95" s="17" t="n"/>
      <c r="P95" s="18" t="n"/>
      <c r="Q95" s="11">
        <f>IF($A95="","",IF($H95="Stock",IF($I95="Buy",-$M95*$N95-$P95,IF($I95="Sell",IF($N95="", $M95*$O95-$P95,($O95-$N95)*$M95-$P95),"")),IF($I95="Sell",($N95-IF($O95="",0,$O95))*$M95*100-$P95,IF($I95="Buy",(IF($O95="",0,$O95)-$N95)*$M95*100-$P95,""))))</f>
        <v/>
      </c>
      <c r="R95" s="11">
        <f>IF($A95="","",IF($C95="Open","",$Q95))</f>
        <v/>
      </c>
      <c r="S95" s="12">
        <f>IF($A95="","",IFS($B95="Covered Call","Covered Call Premium",$B95="Cash Secured Put","Cash Secured Put Premium",$B95="Long Call/Put","Long Call/Put P/L",$B95="Debit Spread","Long Call/Put P/L",$B95="Stock Sale","Stock Sales",TRUE,"Other"))</f>
        <v/>
      </c>
      <c r="T95" s="11">
        <f>IF($A95="","",IF($B95="Cash Secured Put",$K95*$M95*100,IF($B95="Covered Call",$K95*$M95*100,IF($H95="Stock",$M95*$N95,""))))</f>
        <v/>
      </c>
      <c r="U95" s="19">
        <f>IF(OR($A95="",$C95&lt;&gt;"Closed",$D95="",$E95="",$T95=0),"",$R95/$T95*365/MAX(1,$E95-$D95))</f>
        <v/>
      </c>
      <c r="V95" s="14" t="n"/>
      <c r="W95" s="12" t="n"/>
    </row>
    <row r="96">
      <c r="A96" s="12" t="n"/>
      <c r="B96" s="14" t="n"/>
      <c r="C96" s="14" t="n"/>
      <c r="D96" s="15" t="n"/>
      <c r="E96" s="15" t="n"/>
      <c r="F96" s="16">
        <f>IF($E96="","",DATE(YEAR($E96),MONTH($E96),1))</f>
        <v/>
      </c>
      <c r="G96" s="14" t="n"/>
      <c r="H96" s="14" t="n"/>
      <c r="I96" s="14" t="n"/>
      <c r="J96" s="14" t="n"/>
      <c r="K96" s="17" t="n"/>
      <c r="L96" s="15" t="n"/>
      <c r="M96" s="14" t="n"/>
      <c r="N96" s="17" t="n"/>
      <c r="O96" s="17" t="n"/>
      <c r="P96" s="18" t="n"/>
      <c r="Q96" s="11">
        <f>IF($A96="","",IF($H96="Stock",IF($I96="Buy",-$M96*$N96-$P96,IF($I96="Sell",IF($N96="", $M96*$O96-$P96,($O96-$N96)*$M96-$P96),"")),IF($I96="Sell",($N96-IF($O96="",0,$O96))*$M96*100-$P96,IF($I96="Buy",(IF($O96="",0,$O96)-$N96)*$M96*100-$P96,""))))</f>
        <v/>
      </c>
      <c r="R96" s="11">
        <f>IF($A96="","",IF($C96="Open","",$Q96))</f>
        <v/>
      </c>
      <c r="S96" s="12">
        <f>IF($A96="","",IFS($B96="Covered Call","Covered Call Premium",$B96="Cash Secured Put","Cash Secured Put Premium",$B96="Long Call/Put","Long Call/Put P/L",$B96="Debit Spread","Long Call/Put P/L",$B96="Stock Sale","Stock Sales",TRUE,"Other"))</f>
        <v/>
      </c>
      <c r="T96" s="11">
        <f>IF($A96="","",IF($B96="Cash Secured Put",$K96*$M96*100,IF($B96="Covered Call",$K96*$M96*100,IF($H96="Stock",$M96*$N96,""))))</f>
        <v/>
      </c>
      <c r="U96" s="19">
        <f>IF(OR($A96="",$C96&lt;&gt;"Closed",$D96="",$E96="",$T96=0),"",$R96/$T96*365/MAX(1,$E96-$D96))</f>
        <v/>
      </c>
      <c r="V96" s="14" t="n"/>
      <c r="W96" s="12" t="n"/>
    </row>
    <row r="97">
      <c r="A97" s="12" t="n"/>
      <c r="B97" s="14" t="n"/>
      <c r="C97" s="14" t="n"/>
      <c r="D97" s="15" t="n"/>
      <c r="E97" s="15" t="n"/>
      <c r="F97" s="16">
        <f>IF($E97="","",DATE(YEAR($E97),MONTH($E97),1))</f>
        <v/>
      </c>
      <c r="G97" s="14" t="n"/>
      <c r="H97" s="14" t="n"/>
      <c r="I97" s="14" t="n"/>
      <c r="J97" s="14" t="n"/>
      <c r="K97" s="17" t="n"/>
      <c r="L97" s="15" t="n"/>
      <c r="M97" s="14" t="n"/>
      <c r="N97" s="17" t="n"/>
      <c r="O97" s="17" t="n"/>
      <c r="P97" s="18" t="n"/>
      <c r="Q97" s="11">
        <f>IF($A97="","",IF($H97="Stock",IF($I97="Buy",-$M97*$N97-$P97,IF($I97="Sell",IF($N97="", $M97*$O97-$P97,($O97-$N97)*$M97-$P97),"")),IF($I97="Sell",($N97-IF($O97="",0,$O97))*$M97*100-$P97,IF($I97="Buy",(IF($O97="",0,$O97)-$N97)*$M97*100-$P97,""))))</f>
        <v/>
      </c>
      <c r="R97" s="11">
        <f>IF($A97="","",IF($C97="Open","",$Q97))</f>
        <v/>
      </c>
      <c r="S97" s="12">
        <f>IF($A97="","",IFS($B97="Covered Call","Covered Call Premium",$B97="Cash Secured Put","Cash Secured Put Premium",$B97="Long Call/Put","Long Call/Put P/L",$B97="Debit Spread","Long Call/Put P/L",$B97="Stock Sale","Stock Sales",TRUE,"Other"))</f>
        <v/>
      </c>
      <c r="T97" s="11">
        <f>IF($A97="","",IF($B97="Cash Secured Put",$K97*$M97*100,IF($B97="Covered Call",$K97*$M97*100,IF($H97="Stock",$M97*$N97,""))))</f>
        <v/>
      </c>
      <c r="U97" s="19">
        <f>IF(OR($A97="",$C97&lt;&gt;"Closed",$D97="",$E97="",$T97=0),"",$R97/$T97*365/MAX(1,$E97-$D97))</f>
        <v/>
      </c>
      <c r="V97" s="14" t="n"/>
      <c r="W97" s="12" t="n"/>
    </row>
    <row r="98">
      <c r="A98" s="12" t="n"/>
      <c r="B98" s="14" t="n"/>
      <c r="C98" s="14" t="n"/>
      <c r="D98" s="15" t="n"/>
      <c r="E98" s="15" t="n"/>
      <c r="F98" s="16">
        <f>IF($E98="","",DATE(YEAR($E98),MONTH($E98),1))</f>
        <v/>
      </c>
      <c r="G98" s="14" t="n"/>
      <c r="H98" s="14" t="n"/>
      <c r="I98" s="14" t="n"/>
      <c r="J98" s="14" t="n"/>
      <c r="K98" s="17" t="n"/>
      <c r="L98" s="15" t="n"/>
      <c r="M98" s="14" t="n"/>
      <c r="N98" s="17" t="n"/>
      <c r="O98" s="17" t="n"/>
      <c r="P98" s="18" t="n"/>
      <c r="Q98" s="11">
        <f>IF($A98="","",IF($H98="Stock",IF($I98="Buy",-$M98*$N98-$P98,IF($I98="Sell",IF($N98="", $M98*$O98-$P98,($O98-$N98)*$M98-$P98),"")),IF($I98="Sell",($N98-IF($O98="",0,$O98))*$M98*100-$P98,IF($I98="Buy",(IF($O98="",0,$O98)-$N98)*$M98*100-$P98,""))))</f>
        <v/>
      </c>
      <c r="R98" s="11">
        <f>IF($A98="","",IF($C98="Open","",$Q98))</f>
        <v/>
      </c>
      <c r="S98" s="12">
        <f>IF($A98="","",IFS($B98="Covered Call","Covered Call Premium",$B98="Cash Secured Put","Cash Secured Put Premium",$B98="Long Call/Put","Long Call/Put P/L",$B98="Debit Spread","Long Call/Put P/L",$B98="Stock Sale","Stock Sales",TRUE,"Other"))</f>
        <v/>
      </c>
      <c r="T98" s="11">
        <f>IF($A98="","",IF($B98="Cash Secured Put",$K98*$M98*100,IF($B98="Covered Call",$K98*$M98*100,IF($H98="Stock",$M98*$N98,""))))</f>
        <v/>
      </c>
      <c r="U98" s="19">
        <f>IF(OR($A98="",$C98&lt;&gt;"Closed",$D98="",$E98="",$T98=0),"",$R98/$T98*365/MAX(1,$E98-$D98))</f>
        <v/>
      </c>
      <c r="V98" s="14" t="n"/>
      <c r="W98" s="12" t="n"/>
    </row>
    <row r="99">
      <c r="A99" s="12" t="n"/>
      <c r="B99" s="14" t="n"/>
      <c r="C99" s="14" t="n"/>
      <c r="D99" s="15" t="n"/>
      <c r="E99" s="15" t="n"/>
      <c r="F99" s="16">
        <f>IF($E99="","",DATE(YEAR($E99),MONTH($E99),1))</f>
        <v/>
      </c>
      <c r="G99" s="14" t="n"/>
      <c r="H99" s="14" t="n"/>
      <c r="I99" s="14" t="n"/>
      <c r="J99" s="14" t="n"/>
      <c r="K99" s="17" t="n"/>
      <c r="L99" s="15" t="n"/>
      <c r="M99" s="14" t="n"/>
      <c r="N99" s="17" t="n"/>
      <c r="O99" s="17" t="n"/>
      <c r="P99" s="18" t="n"/>
      <c r="Q99" s="11">
        <f>IF($A99="","",IF($H99="Stock",IF($I99="Buy",-$M99*$N99-$P99,IF($I99="Sell",IF($N99="", $M99*$O99-$P99,($O99-$N99)*$M99-$P99),"")),IF($I99="Sell",($N99-IF($O99="",0,$O99))*$M99*100-$P99,IF($I99="Buy",(IF($O99="",0,$O99)-$N99)*$M99*100-$P99,""))))</f>
        <v/>
      </c>
      <c r="R99" s="11">
        <f>IF($A99="","",IF($C99="Open","",$Q99))</f>
        <v/>
      </c>
      <c r="S99" s="12">
        <f>IF($A99="","",IFS($B99="Covered Call","Covered Call Premium",$B99="Cash Secured Put","Cash Secured Put Premium",$B99="Long Call/Put","Long Call/Put P/L",$B99="Debit Spread","Long Call/Put P/L",$B99="Stock Sale","Stock Sales",TRUE,"Other"))</f>
        <v/>
      </c>
      <c r="T99" s="11">
        <f>IF($A99="","",IF($B99="Cash Secured Put",$K99*$M99*100,IF($B99="Covered Call",$K99*$M99*100,IF($H99="Stock",$M99*$N99,""))))</f>
        <v/>
      </c>
      <c r="U99" s="19">
        <f>IF(OR($A99="",$C99&lt;&gt;"Closed",$D99="",$E99="",$T99=0),"",$R99/$T99*365/MAX(1,$E99-$D99))</f>
        <v/>
      </c>
      <c r="V99" s="14" t="n"/>
      <c r="W99" s="12" t="n"/>
    </row>
    <row r="100">
      <c r="A100" s="12" t="n"/>
      <c r="B100" s="14" t="n"/>
      <c r="C100" s="14" t="n"/>
      <c r="D100" s="15" t="n"/>
      <c r="E100" s="15" t="n"/>
      <c r="F100" s="16">
        <f>IF($E100="","",DATE(YEAR($E100),MONTH($E100),1))</f>
        <v/>
      </c>
      <c r="G100" s="14" t="n"/>
      <c r="H100" s="14" t="n"/>
      <c r="I100" s="14" t="n"/>
      <c r="J100" s="14" t="n"/>
      <c r="K100" s="17" t="n"/>
      <c r="L100" s="15" t="n"/>
      <c r="M100" s="14" t="n"/>
      <c r="N100" s="17" t="n"/>
      <c r="O100" s="17" t="n"/>
      <c r="P100" s="18" t="n"/>
      <c r="Q100" s="11">
        <f>IF($A100="","",IF($H100="Stock",IF($I100="Buy",-$M100*$N100-$P100,IF($I100="Sell",IF($N100="", $M100*$O100-$P100,($O100-$N100)*$M100-$P100),"")),IF($I100="Sell",($N100-IF($O100="",0,$O100))*$M100*100-$P100,IF($I100="Buy",(IF($O100="",0,$O100)-$N100)*$M100*100-$P100,""))))</f>
        <v/>
      </c>
      <c r="R100" s="11">
        <f>IF($A100="","",IF($C100="Open","",$Q100))</f>
        <v/>
      </c>
      <c r="S100" s="12">
        <f>IF($A100="","",IFS($B100="Covered Call","Covered Call Premium",$B100="Cash Secured Put","Cash Secured Put Premium",$B100="Long Call/Put","Long Call/Put P/L",$B100="Debit Spread","Long Call/Put P/L",$B100="Stock Sale","Stock Sales",TRUE,"Other"))</f>
        <v/>
      </c>
      <c r="T100" s="11">
        <f>IF($A100="","",IF($B100="Cash Secured Put",$K100*$M100*100,IF($B100="Covered Call",$K100*$M100*100,IF($H100="Stock",$M100*$N100,""))))</f>
        <v/>
      </c>
      <c r="U100" s="19">
        <f>IF(OR($A100="",$C100&lt;&gt;"Closed",$D100="",$E100="",$T100=0),"",$R100/$T100*365/MAX(1,$E100-$D100))</f>
        <v/>
      </c>
      <c r="V100" s="14" t="n"/>
      <c r="W100" s="12" t="n"/>
    </row>
    <row r="101">
      <c r="A101" s="12" t="n"/>
      <c r="B101" s="14" t="n"/>
      <c r="C101" s="14" t="n"/>
      <c r="D101" s="15" t="n"/>
      <c r="E101" s="15" t="n"/>
      <c r="F101" s="16">
        <f>IF($E101="","",DATE(YEAR($E101),MONTH($E101),1))</f>
        <v/>
      </c>
      <c r="G101" s="14" t="n"/>
      <c r="H101" s="14" t="n"/>
      <c r="I101" s="14" t="n"/>
      <c r="J101" s="14" t="n"/>
      <c r="K101" s="17" t="n"/>
      <c r="L101" s="15" t="n"/>
      <c r="M101" s="14" t="n"/>
      <c r="N101" s="17" t="n"/>
      <c r="O101" s="17" t="n"/>
      <c r="P101" s="18" t="n"/>
      <c r="Q101" s="11">
        <f>IF($A101="","",IF($H101="Stock",IF($I101="Buy",-$M101*$N101-$P101,IF($I101="Sell",IF($N101="", $M101*$O101-$P101,($O101-$N101)*$M101-$P101),"")),IF($I101="Sell",($N101-IF($O101="",0,$O101))*$M101*100-$P101,IF($I101="Buy",(IF($O101="",0,$O101)-$N101)*$M101*100-$P101,""))))</f>
        <v/>
      </c>
      <c r="R101" s="11">
        <f>IF($A101="","",IF($C101="Open","",$Q101))</f>
        <v/>
      </c>
      <c r="S101" s="12">
        <f>IF($A101="","",IFS($B101="Covered Call","Covered Call Premium",$B101="Cash Secured Put","Cash Secured Put Premium",$B101="Long Call/Put","Long Call/Put P/L",$B101="Debit Spread","Long Call/Put P/L",$B101="Stock Sale","Stock Sales",TRUE,"Other"))</f>
        <v/>
      </c>
      <c r="T101" s="11">
        <f>IF($A101="","",IF($B101="Cash Secured Put",$K101*$M101*100,IF($B101="Covered Call",$K101*$M101*100,IF($H101="Stock",$M101*$N101,""))))</f>
        <v/>
      </c>
      <c r="U101" s="19">
        <f>IF(OR($A101="",$C101&lt;&gt;"Closed",$D101="",$E101="",$T101=0),"",$R101/$T101*365/MAX(1,$E101-$D101))</f>
        <v/>
      </c>
      <c r="V101" s="14" t="n"/>
      <c r="W101" s="12" t="n"/>
    </row>
    <row r="102">
      <c r="A102" s="12" t="n"/>
      <c r="B102" s="14" t="n"/>
      <c r="C102" s="14" t="n"/>
      <c r="D102" s="15" t="n"/>
      <c r="E102" s="15" t="n"/>
      <c r="F102" s="16">
        <f>IF($E102="","",DATE(YEAR($E102),MONTH($E102),1))</f>
        <v/>
      </c>
      <c r="G102" s="14" t="n"/>
      <c r="H102" s="14" t="n"/>
      <c r="I102" s="14" t="n"/>
      <c r="J102" s="14" t="n"/>
      <c r="K102" s="17" t="n"/>
      <c r="L102" s="15" t="n"/>
      <c r="M102" s="14" t="n"/>
      <c r="N102" s="17" t="n"/>
      <c r="O102" s="17" t="n"/>
      <c r="P102" s="18" t="n"/>
      <c r="Q102" s="11">
        <f>IF($A102="","",IF($H102="Stock",IF($I102="Buy",-$M102*$N102-$P102,IF($I102="Sell",IF($N102="", $M102*$O102-$P102,($O102-$N102)*$M102-$P102),"")),IF($I102="Sell",($N102-IF($O102="",0,$O102))*$M102*100-$P102,IF($I102="Buy",(IF($O102="",0,$O102)-$N102)*$M102*100-$P102,""))))</f>
        <v/>
      </c>
      <c r="R102" s="11">
        <f>IF($A102="","",IF($C102="Open","",$Q102))</f>
        <v/>
      </c>
      <c r="S102" s="12">
        <f>IF($A102="","",IFS($B102="Covered Call","Covered Call Premium",$B102="Cash Secured Put","Cash Secured Put Premium",$B102="Long Call/Put","Long Call/Put P/L",$B102="Debit Spread","Long Call/Put P/L",$B102="Stock Sale","Stock Sales",TRUE,"Other"))</f>
        <v/>
      </c>
      <c r="T102" s="11">
        <f>IF($A102="","",IF($B102="Cash Secured Put",$K102*$M102*100,IF($B102="Covered Call",$K102*$M102*100,IF($H102="Stock",$M102*$N102,""))))</f>
        <v/>
      </c>
      <c r="U102" s="19">
        <f>IF(OR($A102="",$C102&lt;&gt;"Closed",$D102="",$E102="",$T102=0),"",$R102/$T102*365/MAX(1,$E102-$D102))</f>
        <v/>
      </c>
      <c r="V102" s="14" t="n"/>
      <c r="W102" s="12" t="n"/>
    </row>
    <row r="103">
      <c r="A103" s="12" t="n"/>
      <c r="B103" s="14" t="n"/>
      <c r="C103" s="14" t="n"/>
      <c r="D103" s="15" t="n"/>
      <c r="E103" s="15" t="n"/>
      <c r="F103" s="16">
        <f>IF($E103="","",DATE(YEAR($E103),MONTH($E103),1))</f>
        <v/>
      </c>
      <c r="G103" s="14" t="n"/>
      <c r="H103" s="14" t="n"/>
      <c r="I103" s="14" t="n"/>
      <c r="J103" s="14" t="n"/>
      <c r="K103" s="17" t="n"/>
      <c r="L103" s="15" t="n"/>
      <c r="M103" s="14" t="n"/>
      <c r="N103" s="17" t="n"/>
      <c r="O103" s="17" t="n"/>
      <c r="P103" s="18" t="n"/>
      <c r="Q103" s="11">
        <f>IF($A103="","",IF($H103="Stock",IF($I103="Buy",-$M103*$N103-$P103,IF($I103="Sell",IF($N103="", $M103*$O103-$P103,($O103-$N103)*$M103-$P103),"")),IF($I103="Sell",($N103-IF($O103="",0,$O103))*$M103*100-$P103,IF($I103="Buy",(IF($O103="",0,$O103)-$N103)*$M103*100-$P103,""))))</f>
        <v/>
      </c>
      <c r="R103" s="11">
        <f>IF($A103="","",IF($C103="Open","",$Q103))</f>
        <v/>
      </c>
      <c r="S103" s="12">
        <f>IF($A103="","",IFS($B103="Covered Call","Covered Call Premium",$B103="Cash Secured Put","Cash Secured Put Premium",$B103="Long Call/Put","Long Call/Put P/L",$B103="Debit Spread","Long Call/Put P/L",$B103="Stock Sale","Stock Sales",TRUE,"Other"))</f>
        <v/>
      </c>
      <c r="T103" s="11">
        <f>IF($A103="","",IF($B103="Cash Secured Put",$K103*$M103*100,IF($B103="Covered Call",$K103*$M103*100,IF($H103="Stock",$M103*$N103,""))))</f>
        <v/>
      </c>
      <c r="U103" s="19">
        <f>IF(OR($A103="",$C103&lt;&gt;"Closed",$D103="",$E103="",$T103=0),"",$R103/$T103*365/MAX(1,$E103-$D103))</f>
        <v/>
      </c>
      <c r="V103" s="14" t="n"/>
      <c r="W103" s="12" t="n"/>
    </row>
    <row r="104">
      <c r="A104" s="12" t="n"/>
      <c r="B104" s="14" t="n"/>
      <c r="C104" s="14" t="n"/>
      <c r="D104" s="15" t="n"/>
      <c r="E104" s="15" t="n"/>
      <c r="F104" s="16">
        <f>IF($E104="","",DATE(YEAR($E104),MONTH($E104),1))</f>
        <v/>
      </c>
      <c r="G104" s="14" t="n"/>
      <c r="H104" s="14" t="n"/>
      <c r="I104" s="14" t="n"/>
      <c r="J104" s="14" t="n"/>
      <c r="K104" s="17" t="n"/>
      <c r="L104" s="15" t="n"/>
      <c r="M104" s="14" t="n"/>
      <c r="N104" s="17" t="n"/>
      <c r="O104" s="17" t="n"/>
      <c r="P104" s="18" t="n"/>
      <c r="Q104" s="11">
        <f>IF($A104="","",IF($H104="Stock",IF($I104="Buy",-$M104*$N104-$P104,IF($I104="Sell",IF($N104="", $M104*$O104-$P104,($O104-$N104)*$M104-$P104),"")),IF($I104="Sell",($N104-IF($O104="",0,$O104))*$M104*100-$P104,IF($I104="Buy",(IF($O104="",0,$O104)-$N104)*$M104*100-$P104,""))))</f>
        <v/>
      </c>
      <c r="R104" s="11">
        <f>IF($A104="","",IF($C104="Open","",$Q104))</f>
        <v/>
      </c>
      <c r="S104" s="12">
        <f>IF($A104="","",IFS($B104="Covered Call","Covered Call Premium",$B104="Cash Secured Put","Cash Secured Put Premium",$B104="Long Call/Put","Long Call/Put P/L",$B104="Debit Spread","Long Call/Put P/L",$B104="Stock Sale","Stock Sales",TRUE,"Other"))</f>
        <v/>
      </c>
      <c r="T104" s="11">
        <f>IF($A104="","",IF($B104="Cash Secured Put",$K104*$M104*100,IF($B104="Covered Call",$K104*$M104*100,IF($H104="Stock",$M104*$N104,""))))</f>
        <v/>
      </c>
      <c r="U104" s="19">
        <f>IF(OR($A104="",$C104&lt;&gt;"Closed",$D104="",$E104="",$T104=0),"",$R104/$T104*365/MAX(1,$E104-$D104))</f>
        <v/>
      </c>
      <c r="V104" s="14" t="n"/>
      <c r="W104" s="12" t="n"/>
    </row>
    <row r="105">
      <c r="A105" s="12" t="n"/>
      <c r="B105" s="14" t="n"/>
      <c r="C105" s="14" t="n"/>
      <c r="D105" s="15" t="n"/>
      <c r="E105" s="15" t="n"/>
      <c r="F105" s="16">
        <f>IF($E105="","",DATE(YEAR($E105),MONTH($E105),1))</f>
        <v/>
      </c>
      <c r="G105" s="14" t="n"/>
      <c r="H105" s="14" t="n"/>
      <c r="I105" s="14" t="n"/>
      <c r="J105" s="14" t="n"/>
      <c r="K105" s="17" t="n"/>
      <c r="L105" s="15" t="n"/>
      <c r="M105" s="14" t="n"/>
      <c r="N105" s="17" t="n"/>
      <c r="O105" s="17" t="n"/>
      <c r="P105" s="18" t="n"/>
      <c r="Q105" s="11">
        <f>IF($A105="","",IF($H105="Stock",IF($I105="Buy",-$M105*$N105-$P105,IF($I105="Sell",IF($N105="", $M105*$O105-$P105,($O105-$N105)*$M105-$P105),"")),IF($I105="Sell",($N105-IF($O105="",0,$O105))*$M105*100-$P105,IF($I105="Buy",(IF($O105="",0,$O105)-$N105)*$M105*100-$P105,""))))</f>
        <v/>
      </c>
      <c r="R105" s="11">
        <f>IF($A105="","",IF($C105="Open","",$Q105))</f>
        <v/>
      </c>
      <c r="S105" s="12">
        <f>IF($A105="","",IFS($B105="Covered Call","Covered Call Premium",$B105="Cash Secured Put","Cash Secured Put Premium",$B105="Long Call/Put","Long Call/Put P/L",$B105="Debit Spread","Long Call/Put P/L",$B105="Stock Sale","Stock Sales",TRUE,"Other"))</f>
        <v/>
      </c>
      <c r="T105" s="11">
        <f>IF($A105="","",IF($B105="Cash Secured Put",$K105*$M105*100,IF($B105="Covered Call",$K105*$M105*100,IF($H105="Stock",$M105*$N105,""))))</f>
        <v/>
      </c>
      <c r="U105" s="19">
        <f>IF(OR($A105="",$C105&lt;&gt;"Closed",$D105="",$E105="",$T105=0),"",$R105/$T105*365/MAX(1,$E105-$D105))</f>
        <v/>
      </c>
      <c r="V105" s="14" t="n"/>
      <c r="W105" s="12" t="n"/>
    </row>
    <row r="106">
      <c r="A106" s="12" t="n"/>
      <c r="B106" s="14" t="n"/>
      <c r="C106" s="14" t="n"/>
      <c r="D106" s="15" t="n"/>
      <c r="E106" s="15" t="n"/>
      <c r="F106" s="16">
        <f>IF($E106="","",DATE(YEAR($E106),MONTH($E106),1))</f>
        <v/>
      </c>
      <c r="G106" s="14" t="n"/>
      <c r="H106" s="14" t="n"/>
      <c r="I106" s="14" t="n"/>
      <c r="J106" s="14" t="n"/>
      <c r="K106" s="17" t="n"/>
      <c r="L106" s="15" t="n"/>
      <c r="M106" s="14" t="n"/>
      <c r="N106" s="17" t="n"/>
      <c r="O106" s="17" t="n"/>
      <c r="P106" s="18" t="n"/>
      <c r="Q106" s="11">
        <f>IF($A106="","",IF($H106="Stock",IF($I106="Buy",-$M106*$N106-$P106,IF($I106="Sell",IF($N106="", $M106*$O106-$P106,($O106-$N106)*$M106-$P106),"")),IF($I106="Sell",($N106-IF($O106="",0,$O106))*$M106*100-$P106,IF($I106="Buy",(IF($O106="",0,$O106)-$N106)*$M106*100-$P106,""))))</f>
        <v/>
      </c>
      <c r="R106" s="11">
        <f>IF($A106="","",IF($C106="Open","",$Q106))</f>
        <v/>
      </c>
      <c r="S106" s="12">
        <f>IF($A106="","",IFS($B106="Covered Call","Covered Call Premium",$B106="Cash Secured Put","Cash Secured Put Premium",$B106="Long Call/Put","Long Call/Put P/L",$B106="Debit Spread","Long Call/Put P/L",$B106="Stock Sale","Stock Sales",TRUE,"Other"))</f>
        <v/>
      </c>
      <c r="T106" s="11">
        <f>IF($A106="","",IF($B106="Cash Secured Put",$K106*$M106*100,IF($B106="Covered Call",$K106*$M106*100,IF($H106="Stock",$M106*$N106,""))))</f>
        <v/>
      </c>
      <c r="U106" s="19">
        <f>IF(OR($A106="",$C106&lt;&gt;"Closed",$D106="",$E106="",$T106=0),"",$R106/$T106*365/MAX(1,$E106-$D106))</f>
        <v/>
      </c>
      <c r="V106" s="14" t="n"/>
      <c r="W106" s="12" t="n"/>
    </row>
    <row r="107">
      <c r="A107" s="12" t="n"/>
      <c r="B107" s="14" t="n"/>
      <c r="C107" s="14" t="n"/>
      <c r="D107" s="15" t="n"/>
      <c r="E107" s="15" t="n"/>
      <c r="F107" s="16">
        <f>IF($E107="","",DATE(YEAR($E107),MONTH($E107),1))</f>
        <v/>
      </c>
      <c r="G107" s="14" t="n"/>
      <c r="H107" s="14" t="n"/>
      <c r="I107" s="14" t="n"/>
      <c r="J107" s="14" t="n"/>
      <c r="K107" s="17" t="n"/>
      <c r="L107" s="15" t="n"/>
      <c r="M107" s="14" t="n"/>
      <c r="N107" s="17" t="n"/>
      <c r="O107" s="17" t="n"/>
      <c r="P107" s="18" t="n"/>
      <c r="Q107" s="11">
        <f>IF($A107="","",IF($H107="Stock",IF($I107="Buy",-$M107*$N107-$P107,IF($I107="Sell",IF($N107="", $M107*$O107-$P107,($O107-$N107)*$M107-$P107),"")),IF($I107="Sell",($N107-IF($O107="",0,$O107))*$M107*100-$P107,IF($I107="Buy",(IF($O107="",0,$O107)-$N107)*$M107*100-$P107,""))))</f>
        <v/>
      </c>
      <c r="R107" s="11">
        <f>IF($A107="","",IF($C107="Open","",$Q107))</f>
        <v/>
      </c>
      <c r="S107" s="12">
        <f>IF($A107="","",IFS($B107="Covered Call","Covered Call Premium",$B107="Cash Secured Put","Cash Secured Put Premium",$B107="Long Call/Put","Long Call/Put P/L",$B107="Debit Spread","Long Call/Put P/L",$B107="Stock Sale","Stock Sales",TRUE,"Other"))</f>
        <v/>
      </c>
      <c r="T107" s="11">
        <f>IF($A107="","",IF($B107="Cash Secured Put",$K107*$M107*100,IF($B107="Covered Call",$K107*$M107*100,IF($H107="Stock",$M107*$N107,""))))</f>
        <v/>
      </c>
      <c r="U107" s="19">
        <f>IF(OR($A107="",$C107&lt;&gt;"Closed",$D107="",$E107="",$T107=0),"",$R107/$T107*365/MAX(1,$E107-$D107))</f>
        <v/>
      </c>
      <c r="V107" s="14" t="n"/>
      <c r="W107" s="12" t="n"/>
    </row>
    <row r="108">
      <c r="A108" s="12" t="n"/>
      <c r="B108" s="14" t="n"/>
      <c r="C108" s="14" t="n"/>
      <c r="D108" s="15" t="n"/>
      <c r="E108" s="15" t="n"/>
      <c r="F108" s="16">
        <f>IF($E108="","",DATE(YEAR($E108),MONTH($E108),1))</f>
        <v/>
      </c>
      <c r="G108" s="14" t="n"/>
      <c r="H108" s="14" t="n"/>
      <c r="I108" s="14" t="n"/>
      <c r="J108" s="14" t="n"/>
      <c r="K108" s="17" t="n"/>
      <c r="L108" s="15" t="n"/>
      <c r="M108" s="14" t="n"/>
      <c r="N108" s="17" t="n"/>
      <c r="O108" s="17" t="n"/>
      <c r="P108" s="18" t="n"/>
      <c r="Q108" s="11">
        <f>IF($A108="","",IF($H108="Stock",IF($I108="Buy",-$M108*$N108-$P108,IF($I108="Sell",IF($N108="", $M108*$O108-$P108,($O108-$N108)*$M108-$P108),"")),IF($I108="Sell",($N108-IF($O108="",0,$O108))*$M108*100-$P108,IF($I108="Buy",(IF($O108="",0,$O108)-$N108)*$M108*100-$P108,""))))</f>
        <v/>
      </c>
      <c r="R108" s="11">
        <f>IF($A108="","",IF($C108="Open","",$Q108))</f>
        <v/>
      </c>
      <c r="S108" s="12">
        <f>IF($A108="","",IFS($B108="Covered Call","Covered Call Premium",$B108="Cash Secured Put","Cash Secured Put Premium",$B108="Long Call/Put","Long Call/Put P/L",$B108="Debit Spread","Long Call/Put P/L",$B108="Stock Sale","Stock Sales",TRUE,"Other"))</f>
        <v/>
      </c>
      <c r="T108" s="11">
        <f>IF($A108="","",IF($B108="Cash Secured Put",$K108*$M108*100,IF($B108="Covered Call",$K108*$M108*100,IF($H108="Stock",$M108*$N108,""))))</f>
        <v/>
      </c>
      <c r="U108" s="19">
        <f>IF(OR($A108="",$C108&lt;&gt;"Closed",$D108="",$E108="",$T108=0),"",$R108/$T108*365/MAX(1,$E108-$D108))</f>
        <v/>
      </c>
      <c r="V108" s="14" t="n"/>
      <c r="W108" s="12" t="n"/>
    </row>
    <row r="109">
      <c r="A109" s="12" t="n"/>
      <c r="B109" s="14" t="n"/>
      <c r="C109" s="14" t="n"/>
      <c r="D109" s="15" t="n"/>
      <c r="E109" s="15" t="n"/>
      <c r="F109" s="16">
        <f>IF($E109="","",DATE(YEAR($E109),MONTH($E109),1))</f>
        <v/>
      </c>
      <c r="G109" s="14" t="n"/>
      <c r="H109" s="14" t="n"/>
      <c r="I109" s="14" t="n"/>
      <c r="J109" s="14" t="n"/>
      <c r="K109" s="17" t="n"/>
      <c r="L109" s="15" t="n"/>
      <c r="M109" s="14" t="n"/>
      <c r="N109" s="17" t="n"/>
      <c r="O109" s="17" t="n"/>
      <c r="P109" s="18" t="n"/>
      <c r="Q109" s="11">
        <f>IF($A109="","",IF($H109="Stock",IF($I109="Buy",-$M109*$N109-$P109,IF($I109="Sell",IF($N109="", $M109*$O109-$P109,($O109-$N109)*$M109-$P109),"")),IF($I109="Sell",($N109-IF($O109="",0,$O109))*$M109*100-$P109,IF($I109="Buy",(IF($O109="",0,$O109)-$N109)*$M109*100-$P109,""))))</f>
        <v/>
      </c>
      <c r="R109" s="11">
        <f>IF($A109="","",IF($C109="Open","",$Q109))</f>
        <v/>
      </c>
      <c r="S109" s="12">
        <f>IF($A109="","",IFS($B109="Covered Call","Covered Call Premium",$B109="Cash Secured Put","Cash Secured Put Premium",$B109="Long Call/Put","Long Call/Put P/L",$B109="Debit Spread","Long Call/Put P/L",$B109="Stock Sale","Stock Sales",TRUE,"Other"))</f>
        <v/>
      </c>
      <c r="T109" s="11">
        <f>IF($A109="","",IF($B109="Cash Secured Put",$K109*$M109*100,IF($B109="Covered Call",$K109*$M109*100,IF($H109="Stock",$M109*$N109,""))))</f>
        <v/>
      </c>
      <c r="U109" s="19">
        <f>IF(OR($A109="",$C109&lt;&gt;"Closed",$D109="",$E109="",$T109=0),"",$R109/$T109*365/MAX(1,$E109-$D109))</f>
        <v/>
      </c>
      <c r="V109" s="14" t="n"/>
      <c r="W109" s="12" t="n"/>
    </row>
    <row r="110">
      <c r="A110" s="12" t="n"/>
      <c r="B110" s="14" t="n"/>
      <c r="C110" s="14" t="n"/>
      <c r="D110" s="15" t="n"/>
      <c r="E110" s="15" t="n"/>
      <c r="F110" s="16">
        <f>IF($E110="","",DATE(YEAR($E110),MONTH($E110),1))</f>
        <v/>
      </c>
      <c r="G110" s="14" t="n"/>
      <c r="H110" s="14" t="n"/>
      <c r="I110" s="14" t="n"/>
      <c r="J110" s="14" t="n"/>
      <c r="K110" s="17" t="n"/>
      <c r="L110" s="15" t="n"/>
      <c r="M110" s="14" t="n"/>
      <c r="N110" s="17" t="n"/>
      <c r="O110" s="17" t="n"/>
      <c r="P110" s="18" t="n"/>
      <c r="Q110" s="11">
        <f>IF($A110="","",IF($H110="Stock",IF($I110="Buy",-$M110*$N110-$P110,IF($I110="Sell",IF($N110="", $M110*$O110-$P110,($O110-$N110)*$M110-$P110),"")),IF($I110="Sell",($N110-IF($O110="",0,$O110))*$M110*100-$P110,IF($I110="Buy",(IF($O110="",0,$O110)-$N110)*$M110*100-$P110,""))))</f>
        <v/>
      </c>
      <c r="R110" s="11">
        <f>IF($A110="","",IF($C110="Open","",$Q110))</f>
        <v/>
      </c>
      <c r="S110" s="12">
        <f>IF($A110="","",IFS($B110="Covered Call","Covered Call Premium",$B110="Cash Secured Put","Cash Secured Put Premium",$B110="Long Call/Put","Long Call/Put P/L",$B110="Debit Spread","Long Call/Put P/L",$B110="Stock Sale","Stock Sales",TRUE,"Other"))</f>
        <v/>
      </c>
      <c r="T110" s="11">
        <f>IF($A110="","",IF($B110="Cash Secured Put",$K110*$M110*100,IF($B110="Covered Call",$K110*$M110*100,IF($H110="Stock",$M110*$N110,""))))</f>
        <v/>
      </c>
      <c r="U110" s="19">
        <f>IF(OR($A110="",$C110&lt;&gt;"Closed",$D110="",$E110="",$T110=0),"",$R110/$T110*365/MAX(1,$E110-$D110))</f>
        <v/>
      </c>
      <c r="V110" s="14" t="n"/>
      <c r="W110" s="12" t="n"/>
    </row>
    <row r="111">
      <c r="A111" s="12" t="n"/>
      <c r="B111" s="14" t="n"/>
      <c r="C111" s="14" t="n"/>
      <c r="D111" s="15" t="n"/>
      <c r="E111" s="15" t="n"/>
      <c r="F111" s="16">
        <f>IF($E111="","",DATE(YEAR($E111),MONTH($E111),1))</f>
        <v/>
      </c>
      <c r="G111" s="14" t="n"/>
      <c r="H111" s="14" t="n"/>
      <c r="I111" s="14" t="n"/>
      <c r="J111" s="14" t="n"/>
      <c r="K111" s="17" t="n"/>
      <c r="L111" s="15" t="n"/>
      <c r="M111" s="14" t="n"/>
      <c r="N111" s="17" t="n"/>
      <c r="O111" s="17" t="n"/>
      <c r="P111" s="18" t="n"/>
      <c r="Q111" s="11">
        <f>IF($A111="","",IF($H111="Stock",IF($I111="Buy",-$M111*$N111-$P111,IF($I111="Sell",IF($N111="", $M111*$O111-$P111,($O111-$N111)*$M111-$P111),"")),IF($I111="Sell",($N111-IF($O111="",0,$O111))*$M111*100-$P111,IF($I111="Buy",(IF($O111="",0,$O111)-$N111)*$M111*100-$P111,""))))</f>
        <v/>
      </c>
      <c r="R111" s="11">
        <f>IF($A111="","",IF($C111="Open","",$Q111))</f>
        <v/>
      </c>
      <c r="S111" s="12">
        <f>IF($A111="","",IFS($B111="Covered Call","Covered Call Premium",$B111="Cash Secured Put","Cash Secured Put Premium",$B111="Long Call/Put","Long Call/Put P/L",$B111="Debit Spread","Long Call/Put P/L",$B111="Stock Sale","Stock Sales",TRUE,"Other"))</f>
        <v/>
      </c>
      <c r="T111" s="11">
        <f>IF($A111="","",IF($B111="Cash Secured Put",$K111*$M111*100,IF($B111="Covered Call",$K111*$M111*100,IF($H111="Stock",$M111*$N111,""))))</f>
        <v/>
      </c>
      <c r="U111" s="19">
        <f>IF(OR($A111="",$C111&lt;&gt;"Closed",$D111="",$E111="",$T111=0),"",$R111/$T111*365/MAX(1,$E111-$D111))</f>
        <v/>
      </c>
      <c r="V111" s="14" t="n"/>
      <c r="W111" s="12" t="n"/>
    </row>
    <row r="112">
      <c r="A112" s="12" t="n"/>
      <c r="B112" s="14" t="n"/>
      <c r="C112" s="14" t="n"/>
      <c r="D112" s="15" t="n"/>
      <c r="E112" s="15" t="n"/>
      <c r="F112" s="16">
        <f>IF($E112="","",DATE(YEAR($E112),MONTH($E112),1))</f>
        <v/>
      </c>
      <c r="G112" s="14" t="n"/>
      <c r="H112" s="14" t="n"/>
      <c r="I112" s="14" t="n"/>
      <c r="J112" s="14" t="n"/>
      <c r="K112" s="17" t="n"/>
      <c r="L112" s="15" t="n"/>
      <c r="M112" s="14" t="n"/>
      <c r="N112" s="17" t="n"/>
      <c r="O112" s="17" t="n"/>
      <c r="P112" s="18" t="n"/>
      <c r="Q112" s="11">
        <f>IF($A112="","",IF($H112="Stock",IF($I112="Buy",-$M112*$N112-$P112,IF($I112="Sell",IF($N112="", $M112*$O112-$P112,($O112-$N112)*$M112-$P112),"")),IF($I112="Sell",($N112-IF($O112="",0,$O112))*$M112*100-$P112,IF($I112="Buy",(IF($O112="",0,$O112)-$N112)*$M112*100-$P112,""))))</f>
        <v/>
      </c>
      <c r="R112" s="11">
        <f>IF($A112="","",IF($C112="Open","",$Q112))</f>
        <v/>
      </c>
      <c r="S112" s="12">
        <f>IF($A112="","",IFS($B112="Covered Call","Covered Call Premium",$B112="Cash Secured Put","Cash Secured Put Premium",$B112="Long Call/Put","Long Call/Put P/L",$B112="Debit Spread","Long Call/Put P/L",$B112="Stock Sale","Stock Sales",TRUE,"Other"))</f>
        <v/>
      </c>
      <c r="T112" s="11">
        <f>IF($A112="","",IF($B112="Cash Secured Put",$K112*$M112*100,IF($B112="Covered Call",$K112*$M112*100,IF($H112="Stock",$M112*$N112,""))))</f>
        <v/>
      </c>
      <c r="U112" s="19">
        <f>IF(OR($A112="",$C112&lt;&gt;"Closed",$D112="",$E112="",$T112=0),"",$R112/$T112*365/MAX(1,$E112-$D112))</f>
        <v/>
      </c>
      <c r="V112" s="14" t="n"/>
      <c r="W112" s="12" t="n"/>
    </row>
    <row r="113">
      <c r="A113" s="12" t="n"/>
      <c r="B113" s="14" t="n"/>
      <c r="C113" s="14" t="n"/>
      <c r="D113" s="15" t="n"/>
      <c r="E113" s="15" t="n"/>
      <c r="F113" s="16">
        <f>IF($E113="","",DATE(YEAR($E113),MONTH($E113),1))</f>
        <v/>
      </c>
      <c r="G113" s="14" t="n"/>
      <c r="H113" s="14" t="n"/>
      <c r="I113" s="14" t="n"/>
      <c r="J113" s="14" t="n"/>
      <c r="K113" s="17" t="n"/>
      <c r="L113" s="15" t="n"/>
      <c r="M113" s="14" t="n"/>
      <c r="N113" s="17" t="n"/>
      <c r="O113" s="17" t="n"/>
      <c r="P113" s="18" t="n"/>
      <c r="Q113" s="11">
        <f>IF($A113="","",IF($H113="Stock",IF($I113="Buy",-$M113*$N113-$P113,IF($I113="Sell",IF($N113="", $M113*$O113-$P113,($O113-$N113)*$M113-$P113),"")),IF($I113="Sell",($N113-IF($O113="",0,$O113))*$M113*100-$P113,IF($I113="Buy",(IF($O113="",0,$O113)-$N113)*$M113*100-$P113,""))))</f>
        <v/>
      </c>
      <c r="R113" s="11">
        <f>IF($A113="","",IF($C113="Open","",$Q113))</f>
        <v/>
      </c>
      <c r="S113" s="12">
        <f>IF($A113="","",IFS($B113="Covered Call","Covered Call Premium",$B113="Cash Secured Put","Cash Secured Put Premium",$B113="Long Call/Put","Long Call/Put P/L",$B113="Debit Spread","Long Call/Put P/L",$B113="Stock Sale","Stock Sales",TRUE,"Other"))</f>
        <v/>
      </c>
      <c r="T113" s="11">
        <f>IF($A113="","",IF($B113="Cash Secured Put",$K113*$M113*100,IF($B113="Covered Call",$K113*$M113*100,IF($H113="Stock",$M113*$N113,""))))</f>
        <v/>
      </c>
      <c r="U113" s="19">
        <f>IF(OR($A113="",$C113&lt;&gt;"Closed",$D113="",$E113="",$T113=0),"",$R113/$T113*365/MAX(1,$E113-$D113))</f>
        <v/>
      </c>
      <c r="V113" s="14" t="n"/>
      <c r="W113" s="12" t="n"/>
    </row>
    <row r="114">
      <c r="A114" s="12" t="n"/>
      <c r="B114" s="14" t="n"/>
      <c r="C114" s="14" t="n"/>
      <c r="D114" s="15" t="n"/>
      <c r="E114" s="15" t="n"/>
      <c r="F114" s="16">
        <f>IF($E114="","",DATE(YEAR($E114),MONTH($E114),1))</f>
        <v/>
      </c>
      <c r="G114" s="14" t="n"/>
      <c r="H114" s="14" t="n"/>
      <c r="I114" s="14" t="n"/>
      <c r="J114" s="14" t="n"/>
      <c r="K114" s="17" t="n"/>
      <c r="L114" s="15" t="n"/>
      <c r="M114" s="14" t="n"/>
      <c r="N114" s="17" t="n"/>
      <c r="O114" s="17" t="n"/>
      <c r="P114" s="18" t="n"/>
      <c r="Q114" s="11">
        <f>IF($A114="","",IF($H114="Stock",IF($I114="Buy",-$M114*$N114-$P114,IF($I114="Sell",IF($N114="", $M114*$O114-$P114,($O114-$N114)*$M114-$P114),"")),IF($I114="Sell",($N114-IF($O114="",0,$O114))*$M114*100-$P114,IF($I114="Buy",(IF($O114="",0,$O114)-$N114)*$M114*100-$P114,""))))</f>
        <v/>
      </c>
      <c r="R114" s="11">
        <f>IF($A114="","",IF($C114="Open","",$Q114))</f>
        <v/>
      </c>
      <c r="S114" s="12">
        <f>IF($A114="","",IFS($B114="Covered Call","Covered Call Premium",$B114="Cash Secured Put","Cash Secured Put Premium",$B114="Long Call/Put","Long Call/Put P/L",$B114="Debit Spread","Long Call/Put P/L",$B114="Stock Sale","Stock Sales",TRUE,"Other"))</f>
        <v/>
      </c>
      <c r="T114" s="11">
        <f>IF($A114="","",IF($B114="Cash Secured Put",$K114*$M114*100,IF($B114="Covered Call",$K114*$M114*100,IF($H114="Stock",$M114*$N114,""))))</f>
        <v/>
      </c>
      <c r="U114" s="19">
        <f>IF(OR($A114="",$C114&lt;&gt;"Closed",$D114="",$E114="",$T114=0),"",$R114/$T114*365/MAX(1,$E114-$D114))</f>
        <v/>
      </c>
      <c r="V114" s="14" t="n"/>
      <c r="W114" s="12" t="n"/>
    </row>
    <row r="115">
      <c r="A115" s="12" t="n"/>
      <c r="B115" s="14" t="n"/>
      <c r="C115" s="14" t="n"/>
      <c r="D115" s="15" t="n"/>
      <c r="E115" s="15" t="n"/>
      <c r="F115" s="16">
        <f>IF($E115="","",DATE(YEAR($E115),MONTH($E115),1))</f>
        <v/>
      </c>
      <c r="G115" s="14" t="n"/>
      <c r="H115" s="14" t="n"/>
      <c r="I115" s="14" t="n"/>
      <c r="J115" s="14" t="n"/>
      <c r="K115" s="17" t="n"/>
      <c r="L115" s="15" t="n"/>
      <c r="M115" s="14" t="n"/>
      <c r="N115" s="17" t="n"/>
      <c r="O115" s="17" t="n"/>
      <c r="P115" s="18" t="n"/>
      <c r="Q115" s="11">
        <f>IF($A115="","",IF($H115="Stock",IF($I115="Buy",-$M115*$N115-$P115,IF($I115="Sell",IF($N115="", $M115*$O115-$P115,($O115-$N115)*$M115-$P115),"")),IF($I115="Sell",($N115-IF($O115="",0,$O115))*$M115*100-$P115,IF($I115="Buy",(IF($O115="",0,$O115)-$N115)*$M115*100-$P115,""))))</f>
        <v/>
      </c>
      <c r="R115" s="11">
        <f>IF($A115="","",IF($C115="Open","",$Q115))</f>
        <v/>
      </c>
      <c r="S115" s="12">
        <f>IF($A115="","",IFS($B115="Covered Call","Covered Call Premium",$B115="Cash Secured Put","Cash Secured Put Premium",$B115="Long Call/Put","Long Call/Put P/L",$B115="Debit Spread","Long Call/Put P/L",$B115="Stock Sale","Stock Sales",TRUE,"Other"))</f>
        <v/>
      </c>
      <c r="T115" s="11">
        <f>IF($A115="","",IF($B115="Cash Secured Put",$K115*$M115*100,IF($B115="Covered Call",$K115*$M115*100,IF($H115="Stock",$M115*$N115,""))))</f>
        <v/>
      </c>
      <c r="U115" s="19">
        <f>IF(OR($A115="",$C115&lt;&gt;"Closed",$D115="",$E115="",$T115=0),"",$R115/$T115*365/MAX(1,$E115-$D115))</f>
        <v/>
      </c>
      <c r="V115" s="14" t="n"/>
      <c r="W115" s="12" t="n"/>
    </row>
    <row r="116">
      <c r="A116" s="12" t="n"/>
      <c r="B116" s="14" t="n"/>
      <c r="C116" s="14" t="n"/>
      <c r="D116" s="15" t="n"/>
      <c r="E116" s="15" t="n"/>
      <c r="F116" s="16">
        <f>IF($E116="","",DATE(YEAR($E116),MONTH($E116),1))</f>
        <v/>
      </c>
      <c r="G116" s="14" t="n"/>
      <c r="H116" s="14" t="n"/>
      <c r="I116" s="14" t="n"/>
      <c r="J116" s="14" t="n"/>
      <c r="K116" s="17" t="n"/>
      <c r="L116" s="15" t="n"/>
      <c r="M116" s="14" t="n"/>
      <c r="N116" s="17" t="n"/>
      <c r="O116" s="17" t="n"/>
      <c r="P116" s="18" t="n"/>
      <c r="Q116" s="11">
        <f>IF($A116="","",IF($H116="Stock",IF($I116="Buy",-$M116*$N116-$P116,IF($I116="Sell",IF($N116="", $M116*$O116-$P116,($O116-$N116)*$M116-$P116),"")),IF($I116="Sell",($N116-IF($O116="",0,$O116))*$M116*100-$P116,IF($I116="Buy",(IF($O116="",0,$O116)-$N116)*$M116*100-$P116,""))))</f>
        <v/>
      </c>
      <c r="R116" s="11">
        <f>IF($A116="","",IF($C116="Open","",$Q116))</f>
        <v/>
      </c>
      <c r="S116" s="12">
        <f>IF($A116="","",IFS($B116="Covered Call","Covered Call Premium",$B116="Cash Secured Put","Cash Secured Put Premium",$B116="Long Call/Put","Long Call/Put P/L",$B116="Debit Spread","Long Call/Put P/L",$B116="Stock Sale","Stock Sales",TRUE,"Other"))</f>
        <v/>
      </c>
      <c r="T116" s="11">
        <f>IF($A116="","",IF($B116="Cash Secured Put",$K116*$M116*100,IF($B116="Covered Call",$K116*$M116*100,IF($H116="Stock",$M116*$N116,""))))</f>
        <v/>
      </c>
      <c r="U116" s="19">
        <f>IF(OR($A116="",$C116&lt;&gt;"Closed",$D116="",$E116="",$T116=0),"",$R116/$T116*365/MAX(1,$E116-$D116))</f>
        <v/>
      </c>
      <c r="V116" s="14" t="n"/>
      <c r="W116" s="12" t="n"/>
    </row>
    <row r="117">
      <c r="A117" s="12" t="n"/>
      <c r="B117" s="14" t="n"/>
      <c r="C117" s="14" t="n"/>
      <c r="D117" s="15" t="n"/>
      <c r="E117" s="15" t="n"/>
      <c r="F117" s="16">
        <f>IF($E117="","",DATE(YEAR($E117),MONTH($E117),1))</f>
        <v/>
      </c>
      <c r="G117" s="14" t="n"/>
      <c r="H117" s="14" t="n"/>
      <c r="I117" s="14" t="n"/>
      <c r="J117" s="14" t="n"/>
      <c r="K117" s="17" t="n"/>
      <c r="L117" s="15" t="n"/>
      <c r="M117" s="14" t="n"/>
      <c r="N117" s="17" t="n"/>
      <c r="O117" s="17" t="n"/>
      <c r="P117" s="18" t="n"/>
      <c r="Q117" s="11">
        <f>IF($A117="","",IF($H117="Stock",IF($I117="Buy",-$M117*$N117-$P117,IF($I117="Sell",IF($N117="", $M117*$O117-$P117,($O117-$N117)*$M117-$P117),"")),IF($I117="Sell",($N117-IF($O117="",0,$O117))*$M117*100-$P117,IF($I117="Buy",(IF($O117="",0,$O117)-$N117)*$M117*100-$P117,""))))</f>
        <v/>
      </c>
      <c r="R117" s="11">
        <f>IF($A117="","",IF($C117="Open","",$Q117))</f>
        <v/>
      </c>
      <c r="S117" s="12">
        <f>IF($A117="","",IFS($B117="Covered Call","Covered Call Premium",$B117="Cash Secured Put","Cash Secured Put Premium",$B117="Long Call/Put","Long Call/Put P/L",$B117="Debit Spread","Long Call/Put P/L",$B117="Stock Sale","Stock Sales",TRUE,"Other"))</f>
        <v/>
      </c>
      <c r="T117" s="11">
        <f>IF($A117="","",IF($B117="Cash Secured Put",$K117*$M117*100,IF($B117="Covered Call",$K117*$M117*100,IF($H117="Stock",$M117*$N117,""))))</f>
        <v/>
      </c>
      <c r="U117" s="19">
        <f>IF(OR($A117="",$C117&lt;&gt;"Closed",$D117="",$E117="",$T117=0),"",$R117/$T117*365/MAX(1,$E117-$D117))</f>
        <v/>
      </c>
      <c r="V117" s="14" t="n"/>
      <c r="W117" s="12" t="n"/>
    </row>
    <row r="118">
      <c r="A118" s="12" t="n"/>
      <c r="B118" s="14" t="n"/>
      <c r="C118" s="14" t="n"/>
      <c r="D118" s="15" t="n"/>
      <c r="E118" s="15" t="n"/>
      <c r="F118" s="16">
        <f>IF($E118="","",DATE(YEAR($E118),MONTH($E118),1))</f>
        <v/>
      </c>
      <c r="G118" s="14" t="n"/>
      <c r="H118" s="14" t="n"/>
      <c r="I118" s="14" t="n"/>
      <c r="J118" s="14" t="n"/>
      <c r="K118" s="17" t="n"/>
      <c r="L118" s="15" t="n"/>
      <c r="M118" s="14" t="n"/>
      <c r="N118" s="17" t="n"/>
      <c r="O118" s="17" t="n"/>
      <c r="P118" s="18" t="n"/>
      <c r="Q118" s="11">
        <f>IF($A118="","",IF($H118="Stock",IF($I118="Buy",-$M118*$N118-$P118,IF($I118="Sell",IF($N118="", $M118*$O118-$P118,($O118-$N118)*$M118-$P118),"")),IF($I118="Sell",($N118-IF($O118="",0,$O118))*$M118*100-$P118,IF($I118="Buy",(IF($O118="",0,$O118)-$N118)*$M118*100-$P118,""))))</f>
        <v/>
      </c>
      <c r="R118" s="11">
        <f>IF($A118="","",IF($C118="Open","",$Q118))</f>
        <v/>
      </c>
      <c r="S118" s="12">
        <f>IF($A118="","",IFS($B118="Covered Call","Covered Call Premium",$B118="Cash Secured Put","Cash Secured Put Premium",$B118="Long Call/Put","Long Call/Put P/L",$B118="Debit Spread","Long Call/Put P/L",$B118="Stock Sale","Stock Sales",TRUE,"Other"))</f>
        <v/>
      </c>
      <c r="T118" s="11">
        <f>IF($A118="","",IF($B118="Cash Secured Put",$K118*$M118*100,IF($B118="Covered Call",$K118*$M118*100,IF($H118="Stock",$M118*$N118,""))))</f>
        <v/>
      </c>
      <c r="U118" s="19">
        <f>IF(OR($A118="",$C118&lt;&gt;"Closed",$D118="",$E118="",$T118=0),"",$R118/$T118*365/MAX(1,$E118-$D118))</f>
        <v/>
      </c>
      <c r="V118" s="14" t="n"/>
      <c r="W118" s="12" t="n"/>
    </row>
    <row r="119">
      <c r="A119" s="12" t="n"/>
      <c r="B119" s="14" t="n"/>
      <c r="C119" s="14" t="n"/>
      <c r="D119" s="15" t="n"/>
      <c r="E119" s="15" t="n"/>
      <c r="F119" s="16">
        <f>IF($E119="","",DATE(YEAR($E119),MONTH($E119),1))</f>
        <v/>
      </c>
      <c r="G119" s="14" t="n"/>
      <c r="H119" s="14" t="n"/>
      <c r="I119" s="14" t="n"/>
      <c r="J119" s="14" t="n"/>
      <c r="K119" s="17" t="n"/>
      <c r="L119" s="15" t="n"/>
      <c r="M119" s="14" t="n"/>
      <c r="N119" s="17" t="n"/>
      <c r="O119" s="17" t="n"/>
      <c r="P119" s="18" t="n"/>
      <c r="Q119" s="11">
        <f>IF($A119="","",IF($H119="Stock",IF($I119="Buy",-$M119*$N119-$P119,IF($I119="Sell",IF($N119="", $M119*$O119-$P119,($O119-$N119)*$M119-$P119),"")),IF($I119="Sell",($N119-IF($O119="",0,$O119))*$M119*100-$P119,IF($I119="Buy",(IF($O119="",0,$O119)-$N119)*$M119*100-$P119,""))))</f>
        <v/>
      </c>
      <c r="R119" s="11">
        <f>IF($A119="","",IF($C119="Open","",$Q119))</f>
        <v/>
      </c>
      <c r="S119" s="12">
        <f>IF($A119="","",IFS($B119="Covered Call","Covered Call Premium",$B119="Cash Secured Put","Cash Secured Put Premium",$B119="Long Call/Put","Long Call/Put P/L",$B119="Debit Spread","Long Call/Put P/L",$B119="Stock Sale","Stock Sales",TRUE,"Other"))</f>
        <v/>
      </c>
      <c r="T119" s="11">
        <f>IF($A119="","",IF($B119="Cash Secured Put",$K119*$M119*100,IF($B119="Covered Call",$K119*$M119*100,IF($H119="Stock",$M119*$N119,""))))</f>
        <v/>
      </c>
      <c r="U119" s="19">
        <f>IF(OR($A119="",$C119&lt;&gt;"Closed",$D119="",$E119="",$T119=0),"",$R119/$T119*365/MAX(1,$E119-$D119))</f>
        <v/>
      </c>
      <c r="V119" s="14" t="n"/>
      <c r="W119" s="12" t="n"/>
    </row>
    <row r="120">
      <c r="A120" s="12" t="n"/>
      <c r="B120" s="14" t="n"/>
      <c r="C120" s="14" t="n"/>
      <c r="D120" s="15" t="n"/>
      <c r="E120" s="15" t="n"/>
      <c r="F120" s="16">
        <f>IF($E120="","",DATE(YEAR($E120),MONTH($E120),1))</f>
        <v/>
      </c>
      <c r="G120" s="14" t="n"/>
      <c r="H120" s="14" t="n"/>
      <c r="I120" s="14" t="n"/>
      <c r="J120" s="14" t="n"/>
      <c r="K120" s="17" t="n"/>
      <c r="L120" s="15" t="n"/>
      <c r="M120" s="14" t="n"/>
      <c r="N120" s="17" t="n"/>
      <c r="O120" s="17" t="n"/>
      <c r="P120" s="18" t="n"/>
      <c r="Q120" s="11">
        <f>IF($A120="","",IF($H120="Stock",IF($I120="Buy",-$M120*$N120-$P120,IF($I120="Sell",IF($N120="", $M120*$O120-$P120,($O120-$N120)*$M120-$P120),"")),IF($I120="Sell",($N120-IF($O120="",0,$O120))*$M120*100-$P120,IF($I120="Buy",(IF($O120="",0,$O120)-$N120)*$M120*100-$P120,""))))</f>
        <v/>
      </c>
      <c r="R120" s="11">
        <f>IF($A120="","",IF($C120="Open","",$Q120))</f>
        <v/>
      </c>
      <c r="S120" s="12">
        <f>IF($A120="","",IFS($B120="Covered Call","Covered Call Premium",$B120="Cash Secured Put","Cash Secured Put Premium",$B120="Long Call/Put","Long Call/Put P/L",$B120="Debit Spread","Long Call/Put P/L",$B120="Stock Sale","Stock Sales",TRUE,"Other"))</f>
        <v/>
      </c>
      <c r="T120" s="11">
        <f>IF($A120="","",IF($B120="Cash Secured Put",$K120*$M120*100,IF($B120="Covered Call",$K120*$M120*100,IF($H120="Stock",$M120*$N120,""))))</f>
        <v/>
      </c>
      <c r="U120" s="19">
        <f>IF(OR($A120="",$C120&lt;&gt;"Closed",$D120="",$E120="",$T120=0),"",$R120/$T120*365/MAX(1,$E120-$D120))</f>
        <v/>
      </c>
      <c r="V120" s="14" t="n"/>
      <c r="W120" s="12" t="n"/>
    </row>
    <row r="121">
      <c r="A121" s="12" t="n"/>
      <c r="B121" s="14" t="n"/>
      <c r="C121" s="14" t="n"/>
      <c r="D121" s="15" t="n"/>
      <c r="E121" s="15" t="n"/>
      <c r="F121" s="16">
        <f>IF($E121="","",DATE(YEAR($E121),MONTH($E121),1))</f>
        <v/>
      </c>
      <c r="G121" s="14" t="n"/>
      <c r="H121" s="14" t="n"/>
      <c r="I121" s="14" t="n"/>
      <c r="J121" s="14" t="n"/>
      <c r="K121" s="17" t="n"/>
      <c r="L121" s="15" t="n"/>
      <c r="M121" s="14" t="n"/>
      <c r="N121" s="17" t="n"/>
      <c r="O121" s="17" t="n"/>
      <c r="P121" s="18" t="n"/>
      <c r="Q121" s="11">
        <f>IF($A121="","",IF($H121="Stock",IF($I121="Buy",-$M121*$N121-$P121,IF($I121="Sell",IF($N121="", $M121*$O121-$P121,($O121-$N121)*$M121-$P121),"")),IF($I121="Sell",($N121-IF($O121="",0,$O121))*$M121*100-$P121,IF($I121="Buy",(IF($O121="",0,$O121)-$N121)*$M121*100-$P121,""))))</f>
        <v/>
      </c>
      <c r="R121" s="11">
        <f>IF($A121="","",IF($C121="Open","",$Q121))</f>
        <v/>
      </c>
      <c r="S121" s="12">
        <f>IF($A121="","",IFS($B121="Covered Call","Covered Call Premium",$B121="Cash Secured Put","Cash Secured Put Premium",$B121="Long Call/Put","Long Call/Put P/L",$B121="Debit Spread","Long Call/Put P/L",$B121="Stock Sale","Stock Sales",TRUE,"Other"))</f>
        <v/>
      </c>
      <c r="T121" s="11">
        <f>IF($A121="","",IF($B121="Cash Secured Put",$K121*$M121*100,IF($B121="Covered Call",$K121*$M121*100,IF($H121="Stock",$M121*$N121,""))))</f>
        <v/>
      </c>
      <c r="U121" s="19">
        <f>IF(OR($A121="",$C121&lt;&gt;"Closed",$D121="",$E121="",$T121=0),"",$R121/$T121*365/MAX(1,$E121-$D121))</f>
        <v/>
      </c>
      <c r="V121" s="14" t="n"/>
      <c r="W121" s="12" t="n"/>
    </row>
    <row r="122">
      <c r="A122" s="12" t="n"/>
      <c r="B122" s="14" t="n"/>
      <c r="C122" s="14" t="n"/>
      <c r="D122" s="15" t="n"/>
      <c r="E122" s="15" t="n"/>
      <c r="F122" s="16">
        <f>IF($E122="","",DATE(YEAR($E122),MONTH($E122),1))</f>
        <v/>
      </c>
      <c r="G122" s="14" t="n"/>
      <c r="H122" s="14" t="n"/>
      <c r="I122" s="14" t="n"/>
      <c r="J122" s="14" t="n"/>
      <c r="K122" s="17" t="n"/>
      <c r="L122" s="15" t="n"/>
      <c r="M122" s="14" t="n"/>
      <c r="N122" s="17" t="n"/>
      <c r="O122" s="17" t="n"/>
      <c r="P122" s="18" t="n"/>
      <c r="Q122" s="11">
        <f>IF($A122="","",IF($H122="Stock",IF($I122="Buy",-$M122*$N122-$P122,IF($I122="Sell",IF($N122="", $M122*$O122-$P122,($O122-$N122)*$M122-$P122),"")),IF($I122="Sell",($N122-IF($O122="",0,$O122))*$M122*100-$P122,IF($I122="Buy",(IF($O122="",0,$O122)-$N122)*$M122*100-$P122,""))))</f>
        <v/>
      </c>
      <c r="R122" s="11">
        <f>IF($A122="","",IF($C122="Open","",$Q122))</f>
        <v/>
      </c>
      <c r="S122" s="12">
        <f>IF($A122="","",IFS($B122="Covered Call","Covered Call Premium",$B122="Cash Secured Put","Cash Secured Put Premium",$B122="Long Call/Put","Long Call/Put P/L",$B122="Debit Spread","Long Call/Put P/L",$B122="Stock Sale","Stock Sales",TRUE,"Other"))</f>
        <v/>
      </c>
      <c r="T122" s="11">
        <f>IF($A122="","",IF($B122="Cash Secured Put",$K122*$M122*100,IF($B122="Covered Call",$K122*$M122*100,IF($H122="Stock",$M122*$N122,""))))</f>
        <v/>
      </c>
      <c r="U122" s="19">
        <f>IF(OR($A122="",$C122&lt;&gt;"Closed",$D122="",$E122="",$T122=0),"",$R122/$T122*365/MAX(1,$E122-$D122))</f>
        <v/>
      </c>
      <c r="V122" s="14" t="n"/>
      <c r="W122" s="12" t="n"/>
    </row>
    <row r="123">
      <c r="A123" s="12" t="n"/>
      <c r="B123" s="14" t="n"/>
      <c r="C123" s="14" t="n"/>
      <c r="D123" s="15" t="n"/>
      <c r="E123" s="15" t="n"/>
      <c r="F123" s="16">
        <f>IF($E123="","",DATE(YEAR($E123),MONTH($E123),1))</f>
        <v/>
      </c>
      <c r="G123" s="14" t="n"/>
      <c r="H123" s="14" t="n"/>
      <c r="I123" s="14" t="n"/>
      <c r="J123" s="14" t="n"/>
      <c r="K123" s="17" t="n"/>
      <c r="L123" s="15" t="n"/>
      <c r="M123" s="14" t="n"/>
      <c r="N123" s="17" t="n"/>
      <c r="O123" s="17" t="n"/>
      <c r="P123" s="18" t="n"/>
      <c r="Q123" s="11">
        <f>IF($A123="","",IF($H123="Stock",IF($I123="Buy",-$M123*$N123-$P123,IF($I123="Sell",IF($N123="", $M123*$O123-$P123,($O123-$N123)*$M123-$P123),"")),IF($I123="Sell",($N123-IF($O123="",0,$O123))*$M123*100-$P123,IF($I123="Buy",(IF($O123="",0,$O123)-$N123)*$M123*100-$P123,""))))</f>
        <v/>
      </c>
      <c r="R123" s="11">
        <f>IF($A123="","",IF($C123="Open","",$Q123))</f>
        <v/>
      </c>
      <c r="S123" s="12">
        <f>IF($A123="","",IFS($B123="Covered Call","Covered Call Premium",$B123="Cash Secured Put","Cash Secured Put Premium",$B123="Long Call/Put","Long Call/Put P/L",$B123="Debit Spread","Long Call/Put P/L",$B123="Stock Sale","Stock Sales",TRUE,"Other"))</f>
        <v/>
      </c>
      <c r="T123" s="11">
        <f>IF($A123="","",IF($B123="Cash Secured Put",$K123*$M123*100,IF($B123="Covered Call",$K123*$M123*100,IF($H123="Stock",$M123*$N123,""))))</f>
        <v/>
      </c>
      <c r="U123" s="19">
        <f>IF(OR($A123="",$C123&lt;&gt;"Closed",$D123="",$E123="",$T123=0),"",$R123/$T123*365/MAX(1,$E123-$D123))</f>
        <v/>
      </c>
      <c r="V123" s="14" t="n"/>
      <c r="W123" s="12" t="n"/>
    </row>
    <row r="124">
      <c r="A124" s="12" t="n"/>
      <c r="B124" s="14" t="n"/>
      <c r="C124" s="14" t="n"/>
      <c r="D124" s="15" t="n"/>
      <c r="E124" s="15" t="n"/>
      <c r="F124" s="16">
        <f>IF($E124="","",DATE(YEAR($E124),MONTH($E124),1))</f>
        <v/>
      </c>
      <c r="G124" s="14" t="n"/>
      <c r="H124" s="14" t="n"/>
      <c r="I124" s="14" t="n"/>
      <c r="J124" s="14" t="n"/>
      <c r="K124" s="17" t="n"/>
      <c r="L124" s="15" t="n"/>
      <c r="M124" s="14" t="n"/>
      <c r="N124" s="17" t="n"/>
      <c r="O124" s="17" t="n"/>
      <c r="P124" s="18" t="n"/>
      <c r="Q124" s="11">
        <f>IF($A124="","",IF($H124="Stock",IF($I124="Buy",-$M124*$N124-$P124,IF($I124="Sell",IF($N124="", $M124*$O124-$P124,($O124-$N124)*$M124-$P124),"")),IF($I124="Sell",($N124-IF($O124="",0,$O124))*$M124*100-$P124,IF($I124="Buy",(IF($O124="",0,$O124)-$N124)*$M124*100-$P124,""))))</f>
        <v/>
      </c>
      <c r="R124" s="11">
        <f>IF($A124="","",IF($C124="Open","",$Q124))</f>
        <v/>
      </c>
      <c r="S124" s="12">
        <f>IF($A124="","",IFS($B124="Covered Call","Covered Call Premium",$B124="Cash Secured Put","Cash Secured Put Premium",$B124="Long Call/Put","Long Call/Put P/L",$B124="Debit Spread","Long Call/Put P/L",$B124="Stock Sale","Stock Sales",TRUE,"Other"))</f>
        <v/>
      </c>
      <c r="T124" s="11">
        <f>IF($A124="","",IF($B124="Cash Secured Put",$K124*$M124*100,IF($B124="Covered Call",$K124*$M124*100,IF($H124="Stock",$M124*$N124,""))))</f>
        <v/>
      </c>
      <c r="U124" s="19">
        <f>IF(OR($A124="",$C124&lt;&gt;"Closed",$D124="",$E124="",$T124=0),"",$R124/$T124*365/MAX(1,$E124-$D124))</f>
        <v/>
      </c>
      <c r="V124" s="14" t="n"/>
      <c r="W124" s="12" t="n"/>
    </row>
    <row r="125">
      <c r="A125" s="12" t="n"/>
      <c r="B125" s="14" t="n"/>
      <c r="C125" s="14" t="n"/>
      <c r="D125" s="15" t="n"/>
      <c r="E125" s="15" t="n"/>
      <c r="F125" s="16">
        <f>IF($E125="","",DATE(YEAR($E125),MONTH($E125),1))</f>
        <v/>
      </c>
      <c r="G125" s="14" t="n"/>
      <c r="H125" s="14" t="n"/>
      <c r="I125" s="14" t="n"/>
      <c r="J125" s="14" t="n"/>
      <c r="K125" s="17" t="n"/>
      <c r="L125" s="15" t="n"/>
      <c r="M125" s="14" t="n"/>
      <c r="N125" s="17" t="n"/>
      <c r="O125" s="17" t="n"/>
      <c r="P125" s="18" t="n"/>
      <c r="Q125" s="11">
        <f>IF($A125="","",IF($H125="Stock",IF($I125="Buy",-$M125*$N125-$P125,IF($I125="Sell",IF($N125="", $M125*$O125-$P125,($O125-$N125)*$M125-$P125),"")),IF($I125="Sell",($N125-IF($O125="",0,$O125))*$M125*100-$P125,IF($I125="Buy",(IF($O125="",0,$O125)-$N125)*$M125*100-$P125,""))))</f>
        <v/>
      </c>
      <c r="R125" s="11">
        <f>IF($A125="","",IF($C125="Open","",$Q125))</f>
        <v/>
      </c>
      <c r="S125" s="12">
        <f>IF($A125="","",IFS($B125="Covered Call","Covered Call Premium",$B125="Cash Secured Put","Cash Secured Put Premium",$B125="Long Call/Put","Long Call/Put P/L",$B125="Debit Spread","Long Call/Put P/L",$B125="Stock Sale","Stock Sales",TRUE,"Other"))</f>
        <v/>
      </c>
      <c r="T125" s="11">
        <f>IF($A125="","",IF($B125="Cash Secured Put",$K125*$M125*100,IF($B125="Covered Call",$K125*$M125*100,IF($H125="Stock",$M125*$N125,""))))</f>
        <v/>
      </c>
      <c r="U125" s="19">
        <f>IF(OR($A125="",$C125&lt;&gt;"Closed",$D125="",$E125="",$T125=0),"",$R125/$T125*365/MAX(1,$E125-$D125))</f>
        <v/>
      </c>
      <c r="V125" s="14" t="n"/>
      <c r="W125" s="12" t="n"/>
    </row>
    <row r="126">
      <c r="A126" s="12" t="n"/>
      <c r="B126" s="14" t="n"/>
      <c r="C126" s="14" t="n"/>
      <c r="D126" s="15" t="n"/>
      <c r="E126" s="15" t="n"/>
      <c r="F126" s="16">
        <f>IF($E126="","",DATE(YEAR($E126),MONTH($E126),1))</f>
        <v/>
      </c>
      <c r="G126" s="14" t="n"/>
      <c r="H126" s="14" t="n"/>
      <c r="I126" s="14" t="n"/>
      <c r="J126" s="14" t="n"/>
      <c r="K126" s="17" t="n"/>
      <c r="L126" s="15" t="n"/>
      <c r="M126" s="14" t="n"/>
      <c r="N126" s="17" t="n"/>
      <c r="O126" s="17" t="n"/>
      <c r="P126" s="18" t="n"/>
      <c r="Q126" s="11">
        <f>IF($A126="","",IF($H126="Stock",IF($I126="Buy",-$M126*$N126-$P126,IF($I126="Sell",IF($N126="", $M126*$O126-$P126,($O126-$N126)*$M126-$P126),"")),IF($I126="Sell",($N126-IF($O126="",0,$O126))*$M126*100-$P126,IF($I126="Buy",(IF($O126="",0,$O126)-$N126)*$M126*100-$P126,""))))</f>
        <v/>
      </c>
      <c r="R126" s="11">
        <f>IF($A126="","",IF($C126="Open","",$Q126))</f>
        <v/>
      </c>
      <c r="S126" s="12">
        <f>IF($A126="","",IFS($B126="Covered Call","Covered Call Premium",$B126="Cash Secured Put","Cash Secured Put Premium",$B126="Long Call/Put","Long Call/Put P/L",$B126="Debit Spread","Long Call/Put P/L",$B126="Stock Sale","Stock Sales",TRUE,"Other"))</f>
        <v/>
      </c>
      <c r="T126" s="11">
        <f>IF($A126="","",IF($B126="Cash Secured Put",$K126*$M126*100,IF($B126="Covered Call",$K126*$M126*100,IF($H126="Stock",$M126*$N126,""))))</f>
        <v/>
      </c>
      <c r="U126" s="19">
        <f>IF(OR($A126="",$C126&lt;&gt;"Closed",$D126="",$E126="",$T126=0),"",$R126/$T126*365/MAX(1,$E126-$D126))</f>
        <v/>
      </c>
      <c r="V126" s="14" t="n"/>
      <c r="W126" s="12" t="n"/>
    </row>
    <row r="127">
      <c r="A127" s="12" t="n"/>
      <c r="B127" s="14" t="n"/>
      <c r="C127" s="14" t="n"/>
      <c r="D127" s="15" t="n"/>
      <c r="E127" s="15" t="n"/>
      <c r="F127" s="16">
        <f>IF($E127="","",DATE(YEAR($E127),MONTH($E127),1))</f>
        <v/>
      </c>
      <c r="G127" s="14" t="n"/>
      <c r="H127" s="14" t="n"/>
      <c r="I127" s="14" t="n"/>
      <c r="J127" s="14" t="n"/>
      <c r="K127" s="17" t="n"/>
      <c r="L127" s="15" t="n"/>
      <c r="M127" s="14" t="n"/>
      <c r="N127" s="17" t="n"/>
      <c r="O127" s="17" t="n"/>
      <c r="P127" s="18" t="n"/>
      <c r="Q127" s="11">
        <f>IF($A127="","",IF($H127="Stock",IF($I127="Buy",-$M127*$N127-$P127,IF($I127="Sell",IF($N127="", $M127*$O127-$P127,($O127-$N127)*$M127-$P127),"")),IF($I127="Sell",($N127-IF($O127="",0,$O127))*$M127*100-$P127,IF($I127="Buy",(IF($O127="",0,$O127)-$N127)*$M127*100-$P127,""))))</f>
        <v/>
      </c>
      <c r="R127" s="11">
        <f>IF($A127="","",IF($C127="Open","",$Q127))</f>
        <v/>
      </c>
      <c r="S127" s="12">
        <f>IF($A127="","",IFS($B127="Covered Call","Covered Call Premium",$B127="Cash Secured Put","Cash Secured Put Premium",$B127="Long Call/Put","Long Call/Put P/L",$B127="Debit Spread","Long Call/Put P/L",$B127="Stock Sale","Stock Sales",TRUE,"Other"))</f>
        <v/>
      </c>
      <c r="T127" s="11">
        <f>IF($A127="","",IF($B127="Cash Secured Put",$K127*$M127*100,IF($B127="Covered Call",$K127*$M127*100,IF($H127="Stock",$M127*$N127,""))))</f>
        <v/>
      </c>
      <c r="U127" s="19">
        <f>IF(OR($A127="",$C127&lt;&gt;"Closed",$D127="",$E127="",$T127=0),"",$R127/$T127*365/MAX(1,$E127-$D127))</f>
        <v/>
      </c>
      <c r="V127" s="14" t="n"/>
      <c r="W127" s="12" t="n"/>
    </row>
    <row r="128">
      <c r="A128" s="12" t="n"/>
      <c r="B128" s="14" t="n"/>
      <c r="C128" s="14" t="n"/>
      <c r="D128" s="15" t="n"/>
      <c r="E128" s="15" t="n"/>
      <c r="F128" s="16">
        <f>IF($E128="","",DATE(YEAR($E128),MONTH($E128),1))</f>
        <v/>
      </c>
      <c r="G128" s="14" t="n"/>
      <c r="H128" s="14" t="n"/>
      <c r="I128" s="14" t="n"/>
      <c r="J128" s="14" t="n"/>
      <c r="K128" s="17" t="n"/>
      <c r="L128" s="15" t="n"/>
      <c r="M128" s="14" t="n"/>
      <c r="N128" s="17" t="n"/>
      <c r="O128" s="17" t="n"/>
      <c r="P128" s="18" t="n"/>
      <c r="Q128" s="11">
        <f>IF($A128="","",IF($H128="Stock",IF($I128="Buy",-$M128*$N128-$P128,IF($I128="Sell",IF($N128="", $M128*$O128-$P128,($O128-$N128)*$M128-$P128),"")),IF($I128="Sell",($N128-IF($O128="",0,$O128))*$M128*100-$P128,IF($I128="Buy",(IF($O128="",0,$O128)-$N128)*$M128*100-$P128,""))))</f>
        <v/>
      </c>
      <c r="R128" s="11">
        <f>IF($A128="","",IF($C128="Open","",$Q128))</f>
        <v/>
      </c>
      <c r="S128" s="12">
        <f>IF($A128="","",IFS($B128="Covered Call","Covered Call Premium",$B128="Cash Secured Put","Cash Secured Put Premium",$B128="Long Call/Put","Long Call/Put P/L",$B128="Debit Spread","Long Call/Put P/L",$B128="Stock Sale","Stock Sales",TRUE,"Other"))</f>
        <v/>
      </c>
      <c r="T128" s="11">
        <f>IF($A128="","",IF($B128="Cash Secured Put",$K128*$M128*100,IF($B128="Covered Call",$K128*$M128*100,IF($H128="Stock",$M128*$N128,""))))</f>
        <v/>
      </c>
      <c r="U128" s="19">
        <f>IF(OR($A128="",$C128&lt;&gt;"Closed",$D128="",$E128="",$T128=0),"",$R128/$T128*365/MAX(1,$E128-$D128))</f>
        <v/>
      </c>
      <c r="V128" s="14" t="n"/>
      <c r="W128" s="12" t="n"/>
    </row>
    <row r="129">
      <c r="A129" s="12" t="n"/>
      <c r="B129" s="14" t="n"/>
      <c r="C129" s="14" t="n"/>
      <c r="D129" s="15" t="n"/>
      <c r="E129" s="15" t="n"/>
      <c r="F129" s="16">
        <f>IF($E129="","",DATE(YEAR($E129),MONTH($E129),1))</f>
        <v/>
      </c>
      <c r="G129" s="14" t="n"/>
      <c r="H129" s="14" t="n"/>
      <c r="I129" s="14" t="n"/>
      <c r="J129" s="14" t="n"/>
      <c r="K129" s="17" t="n"/>
      <c r="L129" s="15" t="n"/>
      <c r="M129" s="14" t="n"/>
      <c r="N129" s="17" t="n"/>
      <c r="O129" s="17" t="n"/>
      <c r="P129" s="18" t="n"/>
      <c r="Q129" s="11">
        <f>IF($A129="","",IF($H129="Stock",IF($I129="Buy",-$M129*$N129-$P129,IF($I129="Sell",IF($N129="", $M129*$O129-$P129,($O129-$N129)*$M129-$P129),"")),IF($I129="Sell",($N129-IF($O129="",0,$O129))*$M129*100-$P129,IF($I129="Buy",(IF($O129="",0,$O129)-$N129)*$M129*100-$P129,""))))</f>
        <v/>
      </c>
      <c r="R129" s="11">
        <f>IF($A129="","",IF($C129="Open","",$Q129))</f>
        <v/>
      </c>
      <c r="S129" s="12">
        <f>IF($A129="","",IFS($B129="Covered Call","Covered Call Premium",$B129="Cash Secured Put","Cash Secured Put Premium",$B129="Long Call/Put","Long Call/Put P/L",$B129="Debit Spread","Long Call/Put P/L",$B129="Stock Sale","Stock Sales",TRUE,"Other"))</f>
        <v/>
      </c>
      <c r="T129" s="11">
        <f>IF($A129="","",IF($B129="Cash Secured Put",$K129*$M129*100,IF($B129="Covered Call",$K129*$M129*100,IF($H129="Stock",$M129*$N129,""))))</f>
        <v/>
      </c>
      <c r="U129" s="19">
        <f>IF(OR($A129="",$C129&lt;&gt;"Closed",$D129="",$E129="",$T129=0),"",$R129/$T129*365/MAX(1,$E129-$D129))</f>
        <v/>
      </c>
      <c r="V129" s="14" t="n"/>
      <c r="W129" s="12" t="n"/>
    </row>
    <row r="130">
      <c r="A130" s="12" t="n"/>
      <c r="B130" s="14" t="n"/>
      <c r="C130" s="14" t="n"/>
      <c r="D130" s="15" t="n"/>
      <c r="E130" s="15" t="n"/>
      <c r="F130" s="16">
        <f>IF($E130="","",DATE(YEAR($E130),MONTH($E130),1))</f>
        <v/>
      </c>
      <c r="G130" s="14" t="n"/>
      <c r="H130" s="14" t="n"/>
      <c r="I130" s="14" t="n"/>
      <c r="J130" s="14" t="n"/>
      <c r="K130" s="17" t="n"/>
      <c r="L130" s="15" t="n"/>
      <c r="M130" s="14" t="n"/>
      <c r="N130" s="17" t="n"/>
      <c r="O130" s="17" t="n"/>
      <c r="P130" s="18" t="n"/>
      <c r="Q130" s="11">
        <f>IF($A130="","",IF($H130="Stock",IF($I130="Buy",-$M130*$N130-$P130,IF($I130="Sell",IF($N130="", $M130*$O130-$P130,($O130-$N130)*$M130-$P130),"")),IF($I130="Sell",($N130-IF($O130="",0,$O130))*$M130*100-$P130,IF($I130="Buy",(IF($O130="",0,$O130)-$N130)*$M130*100-$P130,""))))</f>
        <v/>
      </c>
      <c r="R130" s="11">
        <f>IF($A130="","",IF($C130="Open","",$Q130))</f>
        <v/>
      </c>
      <c r="S130" s="12">
        <f>IF($A130="","",IFS($B130="Covered Call","Covered Call Premium",$B130="Cash Secured Put","Cash Secured Put Premium",$B130="Long Call/Put","Long Call/Put P/L",$B130="Debit Spread","Long Call/Put P/L",$B130="Stock Sale","Stock Sales",TRUE,"Other"))</f>
        <v/>
      </c>
      <c r="T130" s="11">
        <f>IF($A130="","",IF($B130="Cash Secured Put",$K130*$M130*100,IF($B130="Covered Call",$K130*$M130*100,IF($H130="Stock",$M130*$N130,""))))</f>
        <v/>
      </c>
      <c r="U130" s="19">
        <f>IF(OR($A130="",$C130&lt;&gt;"Closed",$D130="",$E130="",$T130=0),"",$R130/$T130*365/MAX(1,$E130-$D130))</f>
        <v/>
      </c>
      <c r="V130" s="14" t="n"/>
      <c r="W130" s="12" t="n"/>
    </row>
    <row r="131">
      <c r="A131" s="12" t="n"/>
      <c r="B131" s="14" t="n"/>
      <c r="C131" s="14" t="n"/>
      <c r="D131" s="15" t="n"/>
      <c r="E131" s="15" t="n"/>
      <c r="F131" s="16">
        <f>IF($E131="","",DATE(YEAR($E131),MONTH($E131),1))</f>
        <v/>
      </c>
      <c r="G131" s="14" t="n"/>
      <c r="H131" s="14" t="n"/>
      <c r="I131" s="14" t="n"/>
      <c r="J131" s="14" t="n"/>
      <c r="K131" s="17" t="n"/>
      <c r="L131" s="15" t="n"/>
      <c r="M131" s="14" t="n"/>
      <c r="N131" s="17" t="n"/>
      <c r="O131" s="17" t="n"/>
      <c r="P131" s="18" t="n"/>
      <c r="Q131" s="11">
        <f>IF($A131="","",IF($H131="Stock",IF($I131="Buy",-$M131*$N131-$P131,IF($I131="Sell",IF($N131="", $M131*$O131-$P131,($O131-$N131)*$M131-$P131),"")),IF($I131="Sell",($N131-IF($O131="",0,$O131))*$M131*100-$P131,IF($I131="Buy",(IF($O131="",0,$O131)-$N131)*$M131*100-$P131,""))))</f>
        <v/>
      </c>
      <c r="R131" s="11">
        <f>IF($A131="","",IF($C131="Open","",$Q131))</f>
        <v/>
      </c>
      <c r="S131" s="12">
        <f>IF($A131="","",IFS($B131="Covered Call","Covered Call Premium",$B131="Cash Secured Put","Cash Secured Put Premium",$B131="Long Call/Put","Long Call/Put P/L",$B131="Debit Spread","Long Call/Put P/L",$B131="Stock Sale","Stock Sales",TRUE,"Other"))</f>
        <v/>
      </c>
      <c r="T131" s="11">
        <f>IF($A131="","",IF($B131="Cash Secured Put",$K131*$M131*100,IF($B131="Covered Call",$K131*$M131*100,IF($H131="Stock",$M131*$N131,""))))</f>
        <v/>
      </c>
      <c r="U131" s="19">
        <f>IF(OR($A131="",$C131&lt;&gt;"Closed",$D131="",$E131="",$T131=0),"",$R131/$T131*365/MAX(1,$E131-$D131))</f>
        <v/>
      </c>
      <c r="V131" s="14" t="n"/>
      <c r="W131" s="12" t="n"/>
    </row>
    <row r="132">
      <c r="A132" s="12" t="n"/>
      <c r="B132" s="14" t="n"/>
      <c r="C132" s="14" t="n"/>
      <c r="D132" s="15" t="n"/>
      <c r="E132" s="15" t="n"/>
      <c r="F132" s="16">
        <f>IF($E132="","",DATE(YEAR($E132),MONTH($E132),1))</f>
        <v/>
      </c>
      <c r="G132" s="14" t="n"/>
      <c r="H132" s="14" t="n"/>
      <c r="I132" s="14" t="n"/>
      <c r="J132" s="14" t="n"/>
      <c r="K132" s="17" t="n"/>
      <c r="L132" s="15" t="n"/>
      <c r="M132" s="14" t="n"/>
      <c r="N132" s="17" t="n"/>
      <c r="O132" s="17" t="n"/>
      <c r="P132" s="18" t="n"/>
      <c r="Q132" s="11">
        <f>IF($A132="","",IF($H132="Stock",IF($I132="Buy",-$M132*$N132-$P132,IF($I132="Sell",IF($N132="", $M132*$O132-$P132,($O132-$N132)*$M132-$P132),"")),IF($I132="Sell",($N132-IF($O132="",0,$O132))*$M132*100-$P132,IF($I132="Buy",(IF($O132="",0,$O132)-$N132)*$M132*100-$P132,""))))</f>
        <v/>
      </c>
      <c r="R132" s="11">
        <f>IF($A132="","",IF($C132="Open","",$Q132))</f>
        <v/>
      </c>
      <c r="S132" s="12">
        <f>IF($A132="","",IFS($B132="Covered Call","Covered Call Premium",$B132="Cash Secured Put","Cash Secured Put Premium",$B132="Long Call/Put","Long Call/Put P/L",$B132="Debit Spread","Long Call/Put P/L",$B132="Stock Sale","Stock Sales",TRUE,"Other"))</f>
        <v/>
      </c>
      <c r="T132" s="11">
        <f>IF($A132="","",IF($B132="Cash Secured Put",$K132*$M132*100,IF($B132="Covered Call",$K132*$M132*100,IF($H132="Stock",$M132*$N132,""))))</f>
        <v/>
      </c>
      <c r="U132" s="19">
        <f>IF(OR($A132="",$C132&lt;&gt;"Closed",$D132="",$E132="",$T132=0),"",$R132/$T132*365/MAX(1,$E132-$D132))</f>
        <v/>
      </c>
      <c r="V132" s="14" t="n"/>
      <c r="W132" s="12" t="n"/>
    </row>
    <row r="133">
      <c r="A133" s="12" t="n"/>
      <c r="B133" s="14" t="n"/>
      <c r="C133" s="14" t="n"/>
      <c r="D133" s="15" t="n"/>
      <c r="E133" s="15" t="n"/>
      <c r="F133" s="16">
        <f>IF($E133="","",DATE(YEAR($E133),MONTH($E133),1))</f>
        <v/>
      </c>
      <c r="G133" s="14" t="n"/>
      <c r="H133" s="14" t="n"/>
      <c r="I133" s="14" t="n"/>
      <c r="J133" s="14" t="n"/>
      <c r="K133" s="17" t="n"/>
      <c r="L133" s="15" t="n"/>
      <c r="M133" s="14" t="n"/>
      <c r="N133" s="17" t="n"/>
      <c r="O133" s="17" t="n"/>
      <c r="P133" s="18" t="n"/>
      <c r="Q133" s="11">
        <f>IF($A133="","",IF($H133="Stock",IF($I133="Buy",-$M133*$N133-$P133,IF($I133="Sell",IF($N133="", $M133*$O133-$P133,($O133-$N133)*$M133-$P133),"")),IF($I133="Sell",($N133-IF($O133="",0,$O133))*$M133*100-$P133,IF($I133="Buy",(IF($O133="",0,$O133)-$N133)*$M133*100-$P133,""))))</f>
        <v/>
      </c>
      <c r="R133" s="11">
        <f>IF($A133="","",IF($C133="Open","",$Q133))</f>
        <v/>
      </c>
      <c r="S133" s="12">
        <f>IF($A133="","",IFS($B133="Covered Call","Covered Call Premium",$B133="Cash Secured Put","Cash Secured Put Premium",$B133="Long Call/Put","Long Call/Put P/L",$B133="Debit Spread","Long Call/Put P/L",$B133="Stock Sale","Stock Sales",TRUE,"Other"))</f>
        <v/>
      </c>
      <c r="T133" s="11">
        <f>IF($A133="","",IF($B133="Cash Secured Put",$K133*$M133*100,IF($B133="Covered Call",$K133*$M133*100,IF($H133="Stock",$M133*$N133,""))))</f>
        <v/>
      </c>
      <c r="U133" s="19">
        <f>IF(OR($A133="",$C133&lt;&gt;"Closed",$D133="",$E133="",$T133=0),"",$R133/$T133*365/MAX(1,$E133-$D133))</f>
        <v/>
      </c>
      <c r="V133" s="14" t="n"/>
      <c r="W133" s="12" t="n"/>
    </row>
    <row r="134">
      <c r="A134" s="12" t="n"/>
      <c r="B134" s="14" t="n"/>
      <c r="C134" s="14" t="n"/>
      <c r="D134" s="15" t="n"/>
      <c r="E134" s="15" t="n"/>
      <c r="F134" s="16">
        <f>IF($E134="","",DATE(YEAR($E134),MONTH($E134),1))</f>
        <v/>
      </c>
      <c r="G134" s="14" t="n"/>
      <c r="H134" s="14" t="n"/>
      <c r="I134" s="14" t="n"/>
      <c r="J134" s="14" t="n"/>
      <c r="K134" s="17" t="n"/>
      <c r="L134" s="15" t="n"/>
      <c r="M134" s="14" t="n"/>
      <c r="N134" s="17" t="n"/>
      <c r="O134" s="17" t="n"/>
      <c r="P134" s="18" t="n"/>
      <c r="Q134" s="11">
        <f>IF($A134="","",IF($H134="Stock",IF($I134="Buy",-$M134*$N134-$P134,IF($I134="Sell",IF($N134="", $M134*$O134-$P134,($O134-$N134)*$M134-$P134),"")),IF($I134="Sell",($N134-IF($O134="",0,$O134))*$M134*100-$P134,IF($I134="Buy",(IF($O134="",0,$O134)-$N134)*$M134*100-$P134,""))))</f>
        <v/>
      </c>
      <c r="R134" s="11">
        <f>IF($A134="","",IF($C134="Open","",$Q134))</f>
        <v/>
      </c>
      <c r="S134" s="12">
        <f>IF($A134="","",IFS($B134="Covered Call","Covered Call Premium",$B134="Cash Secured Put","Cash Secured Put Premium",$B134="Long Call/Put","Long Call/Put P/L",$B134="Debit Spread","Long Call/Put P/L",$B134="Stock Sale","Stock Sales",TRUE,"Other"))</f>
        <v/>
      </c>
      <c r="T134" s="11">
        <f>IF($A134="","",IF($B134="Cash Secured Put",$K134*$M134*100,IF($B134="Covered Call",$K134*$M134*100,IF($H134="Stock",$M134*$N134,""))))</f>
        <v/>
      </c>
      <c r="U134" s="19">
        <f>IF(OR($A134="",$C134&lt;&gt;"Closed",$D134="",$E134="",$T134=0),"",$R134/$T134*365/MAX(1,$E134-$D134))</f>
        <v/>
      </c>
      <c r="V134" s="14" t="n"/>
      <c r="W134" s="12" t="n"/>
    </row>
    <row r="135">
      <c r="A135" s="12" t="n"/>
      <c r="B135" s="14" t="n"/>
      <c r="C135" s="14" t="n"/>
      <c r="D135" s="15" t="n"/>
      <c r="E135" s="15" t="n"/>
      <c r="F135" s="16">
        <f>IF($E135="","",DATE(YEAR($E135),MONTH($E135),1))</f>
        <v/>
      </c>
      <c r="G135" s="14" t="n"/>
      <c r="H135" s="14" t="n"/>
      <c r="I135" s="14" t="n"/>
      <c r="J135" s="14" t="n"/>
      <c r="K135" s="17" t="n"/>
      <c r="L135" s="15" t="n"/>
      <c r="M135" s="14" t="n"/>
      <c r="N135" s="17" t="n"/>
      <c r="O135" s="17" t="n"/>
      <c r="P135" s="18" t="n"/>
      <c r="Q135" s="11">
        <f>IF($A135="","",IF($H135="Stock",IF($I135="Buy",-$M135*$N135-$P135,IF($I135="Sell",IF($N135="", $M135*$O135-$P135,($O135-$N135)*$M135-$P135),"")),IF($I135="Sell",($N135-IF($O135="",0,$O135))*$M135*100-$P135,IF($I135="Buy",(IF($O135="",0,$O135)-$N135)*$M135*100-$P135,""))))</f>
        <v/>
      </c>
      <c r="R135" s="11">
        <f>IF($A135="","",IF($C135="Open","",$Q135))</f>
        <v/>
      </c>
      <c r="S135" s="12">
        <f>IF($A135="","",IFS($B135="Covered Call","Covered Call Premium",$B135="Cash Secured Put","Cash Secured Put Premium",$B135="Long Call/Put","Long Call/Put P/L",$B135="Debit Spread","Long Call/Put P/L",$B135="Stock Sale","Stock Sales",TRUE,"Other"))</f>
        <v/>
      </c>
      <c r="T135" s="11">
        <f>IF($A135="","",IF($B135="Cash Secured Put",$K135*$M135*100,IF($B135="Covered Call",$K135*$M135*100,IF($H135="Stock",$M135*$N135,""))))</f>
        <v/>
      </c>
      <c r="U135" s="19">
        <f>IF(OR($A135="",$C135&lt;&gt;"Closed",$D135="",$E135="",$T135=0),"",$R135/$T135*365/MAX(1,$E135-$D135))</f>
        <v/>
      </c>
      <c r="V135" s="14" t="n"/>
      <c r="W135" s="12" t="n"/>
    </row>
    <row r="136">
      <c r="A136" s="12" t="n"/>
      <c r="B136" s="14" t="n"/>
      <c r="C136" s="14" t="n"/>
      <c r="D136" s="15" t="n"/>
      <c r="E136" s="15" t="n"/>
      <c r="F136" s="16">
        <f>IF($E136="","",DATE(YEAR($E136),MONTH($E136),1))</f>
        <v/>
      </c>
      <c r="G136" s="14" t="n"/>
      <c r="H136" s="14" t="n"/>
      <c r="I136" s="14" t="n"/>
      <c r="J136" s="14" t="n"/>
      <c r="K136" s="17" t="n"/>
      <c r="L136" s="15" t="n"/>
      <c r="M136" s="14" t="n"/>
      <c r="N136" s="17" t="n"/>
      <c r="O136" s="17" t="n"/>
      <c r="P136" s="18" t="n"/>
      <c r="Q136" s="11">
        <f>IF($A136="","",IF($H136="Stock",IF($I136="Buy",-$M136*$N136-$P136,IF($I136="Sell",IF($N136="", $M136*$O136-$P136,($O136-$N136)*$M136-$P136),"")),IF($I136="Sell",($N136-IF($O136="",0,$O136))*$M136*100-$P136,IF($I136="Buy",(IF($O136="",0,$O136)-$N136)*$M136*100-$P136,""))))</f>
        <v/>
      </c>
      <c r="R136" s="11">
        <f>IF($A136="","",IF($C136="Open","",$Q136))</f>
        <v/>
      </c>
      <c r="S136" s="12">
        <f>IF($A136="","",IFS($B136="Covered Call","Covered Call Premium",$B136="Cash Secured Put","Cash Secured Put Premium",$B136="Long Call/Put","Long Call/Put P/L",$B136="Debit Spread","Long Call/Put P/L",$B136="Stock Sale","Stock Sales",TRUE,"Other"))</f>
        <v/>
      </c>
      <c r="T136" s="11">
        <f>IF($A136="","",IF($B136="Cash Secured Put",$K136*$M136*100,IF($B136="Covered Call",$K136*$M136*100,IF($H136="Stock",$M136*$N136,""))))</f>
        <v/>
      </c>
      <c r="U136" s="19">
        <f>IF(OR($A136="",$C136&lt;&gt;"Closed",$D136="",$E136="",$T136=0),"",$R136/$T136*365/MAX(1,$E136-$D136))</f>
        <v/>
      </c>
      <c r="V136" s="14" t="n"/>
      <c r="W136" s="12" t="n"/>
    </row>
    <row r="137">
      <c r="A137" s="12" t="n"/>
      <c r="B137" s="14" t="n"/>
      <c r="C137" s="14" t="n"/>
      <c r="D137" s="15" t="n"/>
      <c r="E137" s="15" t="n"/>
      <c r="F137" s="16">
        <f>IF($E137="","",DATE(YEAR($E137),MONTH($E137),1))</f>
        <v/>
      </c>
      <c r="G137" s="14" t="n"/>
      <c r="H137" s="14" t="n"/>
      <c r="I137" s="14" t="n"/>
      <c r="J137" s="14" t="n"/>
      <c r="K137" s="17" t="n"/>
      <c r="L137" s="15" t="n"/>
      <c r="M137" s="14" t="n"/>
      <c r="N137" s="17" t="n"/>
      <c r="O137" s="17" t="n"/>
      <c r="P137" s="18" t="n"/>
      <c r="Q137" s="11">
        <f>IF($A137="","",IF($H137="Stock",IF($I137="Buy",-$M137*$N137-$P137,IF($I137="Sell",IF($N137="", $M137*$O137-$P137,($O137-$N137)*$M137-$P137),"")),IF($I137="Sell",($N137-IF($O137="",0,$O137))*$M137*100-$P137,IF($I137="Buy",(IF($O137="",0,$O137)-$N137)*$M137*100-$P137,""))))</f>
        <v/>
      </c>
      <c r="R137" s="11">
        <f>IF($A137="","",IF($C137="Open","",$Q137))</f>
        <v/>
      </c>
      <c r="S137" s="12">
        <f>IF($A137="","",IFS($B137="Covered Call","Covered Call Premium",$B137="Cash Secured Put","Cash Secured Put Premium",$B137="Long Call/Put","Long Call/Put P/L",$B137="Debit Spread","Long Call/Put P/L",$B137="Stock Sale","Stock Sales",TRUE,"Other"))</f>
        <v/>
      </c>
      <c r="T137" s="11">
        <f>IF($A137="","",IF($B137="Cash Secured Put",$K137*$M137*100,IF($B137="Covered Call",$K137*$M137*100,IF($H137="Stock",$M137*$N137,""))))</f>
        <v/>
      </c>
      <c r="U137" s="19">
        <f>IF(OR($A137="",$C137&lt;&gt;"Closed",$D137="",$E137="",$T137=0),"",$R137/$T137*365/MAX(1,$E137-$D137))</f>
        <v/>
      </c>
      <c r="V137" s="14" t="n"/>
      <c r="W137" s="12" t="n"/>
    </row>
    <row r="138">
      <c r="A138" s="12" t="n"/>
      <c r="B138" s="14" t="n"/>
      <c r="C138" s="14" t="n"/>
      <c r="D138" s="15" t="n"/>
      <c r="E138" s="15" t="n"/>
      <c r="F138" s="16">
        <f>IF($E138="","",DATE(YEAR($E138),MONTH($E138),1))</f>
        <v/>
      </c>
      <c r="G138" s="14" t="n"/>
      <c r="H138" s="14" t="n"/>
      <c r="I138" s="14" t="n"/>
      <c r="J138" s="14" t="n"/>
      <c r="K138" s="17" t="n"/>
      <c r="L138" s="15" t="n"/>
      <c r="M138" s="14" t="n"/>
      <c r="N138" s="17" t="n"/>
      <c r="O138" s="17" t="n"/>
      <c r="P138" s="18" t="n"/>
      <c r="Q138" s="11">
        <f>IF($A138="","",IF($H138="Stock",IF($I138="Buy",-$M138*$N138-$P138,IF($I138="Sell",IF($N138="", $M138*$O138-$P138,($O138-$N138)*$M138-$P138),"")),IF($I138="Sell",($N138-IF($O138="",0,$O138))*$M138*100-$P138,IF($I138="Buy",(IF($O138="",0,$O138)-$N138)*$M138*100-$P138,""))))</f>
        <v/>
      </c>
      <c r="R138" s="11">
        <f>IF($A138="","",IF($C138="Open","",$Q138))</f>
        <v/>
      </c>
      <c r="S138" s="12">
        <f>IF($A138="","",IFS($B138="Covered Call","Covered Call Premium",$B138="Cash Secured Put","Cash Secured Put Premium",$B138="Long Call/Put","Long Call/Put P/L",$B138="Debit Spread","Long Call/Put P/L",$B138="Stock Sale","Stock Sales",TRUE,"Other"))</f>
        <v/>
      </c>
      <c r="T138" s="11">
        <f>IF($A138="","",IF($B138="Cash Secured Put",$K138*$M138*100,IF($B138="Covered Call",$K138*$M138*100,IF($H138="Stock",$M138*$N138,""))))</f>
        <v/>
      </c>
      <c r="U138" s="19">
        <f>IF(OR($A138="",$C138&lt;&gt;"Closed",$D138="",$E138="",$T138=0),"",$R138/$T138*365/MAX(1,$E138-$D138))</f>
        <v/>
      </c>
      <c r="V138" s="14" t="n"/>
      <c r="W138" s="12" t="n"/>
    </row>
    <row r="139">
      <c r="A139" s="12" t="n"/>
      <c r="B139" s="14" t="n"/>
      <c r="C139" s="14" t="n"/>
      <c r="D139" s="15" t="n"/>
      <c r="E139" s="15" t="n"/>
      <c r="F139" s="16">
        <f>IF($E139="","",DATE(YEAR($E139),MONTH($E139),1))</f>
        <v/>
      </c>
      <c r="G139" s="14" t="n"/>
      <c r="H139" s="14" t="n"/>
      <c r="I139" s="14" t="n"/>
      <c r="J139" s="14" t="n"/>
      <c r="K139" s="17" t="n"/>
      <c r="L139" s="15" t="n"/>
      <c r="M139" s="14" t="n"/>
      <c r="N139" s="17" t="n"/>
      <c r="O139" s="17" t="n"/>
      <c r="P139" s="18" t="n"/>
      <c r="Q139" s="11">
        <f>IF($A139="","",IF($H139="Stock",IF($I139="Buy",-$M139*$N139-$P139,IF($I139="Sell",IF($N139="", $M139*$O139-$P139,($O139-$N139)*$M139-$P139),"")),IF($I139="Sell",($N139-IF($O139="",0,$O139))*$M139*100-$P139,IF($I139="Buy",(IF($O139="",0,$O139)-$N139)*$M139*100-$P139,""))))</f>
        <v/>
      </c>
      <c r="R139" s="11">
        <f>IF($A139="","",IF($C139="Open","",$Q139))</f>
        <v/>
      </c>
      <c r="S139" s="12">
        <f>IF($A139="","",IFS($B139="Covered Call","Covered Call Premium",$B139="Cash Secured Put","Cash Secured Put Premium",$B139="Long Call/Put","Long Call/Put P/L",$B139="Debit Spread","Long Call/Put P/L",$B139="Stock Sale","Stock Sales",TRUE,"Other"))</f>
        <v/>
      </c>
      <c r="T139" s="11">
        <f>IF($A139="","",IF($B139="Cash Secured Put",$K139*$M139*100,IF($B139="Covered Call",$K139*$M139*100,IF($H139="Stock",$M139*$N139,""))))</f>
        <v/>
      </c>
      <c r="U139" s="19">
        <f>IF(OR($A139="",$C139&lt;&gt;"Closed",$D139="",$E139="",$T139=0),"",$R139/$T139*365/MAX(1,$E139-$D139))</f>
        <v/>
      </c>
      <c r="V139" s="14" t="n"/>
      <c r="W139" s="12" t="n"/>
    </row>
    <row r="140">
      <c r="A140" s="12" t="n"/>
      <c r="B140" s="14" t="n"/>
      <c r="C140" s="14" t="n"/>
      <c r="D140" s="15" t="n"/>
      <c r="E140" s="15" t="n"/>
      <c r="F140" s="16">
        <f>IF($E140="","",DATE(YEAR($E140),MONTH($E140),1))</f>
        <v/>
      </c>
      <c r="G140" s="14" t="n"/>
      <c r="H140" s="14" t="n"/>
      <c r="I140" s="14" t="n"/>
      <c r="J140" s="14" t="n"/>
      <c r="K140" s="17" t="n"/>
      <c r="L140" s="15" t="n"/>
      <c r="M140" s="14" t="n"/>
      <c r="N140" s="17" t="n"/>
      <c r="O140" s="17" t="n"/>
      <c r="P140" s="18" t="n"/>
      <c r="Q140" s="11">
        <f>IF($A140="","",IF($H140="Stock",IF($I140="Buy",-$M140*$N140-$P140,IF($I140="Sell",IF($N140="", $M140*$O140-$P140,($O140-$N140)*$M140-$P140),"")),IF($I140="Sell",($N140-IF($O140="",0,$O140))*$M140*100-$P140,IF($I140="Buy",(IF($O140="",0,$O140)-$N140)*$M140*100-$P140,""))))</f>
        <v/>
      </c>
      <c r="R140" s="11">
        <f>IF($A140="","",IF($C140="Open","",$Q140))</f>
        <v/>
      </c>
      <c r="S140" s="12">
        <f>IF($A140="","",IFS($B140="Covered Call","Covered Call Premium",$B140="Cash Secured Put","Cash Secured Put Premium",$B140="Long Call/Put","Long Call/Put P/L",$B140="Debit Spread","Long Call/Put P/L",$B140="Stock Sale","Stock Sales",TRUE,"Other"))</f>
        <v/>
      </c>
      <c r="T140" s="11">
        <f>IF($A140="","",IF($B140="Cash Secured Put",$K140*$M140*100,IF($B140="Covered Call",$K140*$M140*100,IF($H140="Stock",$M140*$N140,""))))</f>
        <v/>
      </c>
      <c r="U140" s="19">
        <f>IF(OR($A140="",$C140&lt;&gt;"Closed",$D140="",$E140="",$T140=0),"",$R140/$T140*365/MAX(1,$E140-$D140))</f>
        <v/>
      </c>
      <c r="V140" s="14" t="n"/>
      <c r="W140" s="12" t="n"/>
    </row>
    <row r="141">
      <c r="A141" s="12" t="n"/>
      <c r="B141" s="14" t="n"/>
      <c r="C141" s="14" t="n"/>
      <c r="D141" s="15" t="n"/>
      <c r="E141" s="15" t="n"/>
      <c r="F141" s="16">
        <f>IF($E141="","",DATE(YEAR($E141),MONTH($E141),1))</f>
        <v/>
      </c>
      <c r="G141" s="14" t="n"/>
      <c r="H141" s="14" t="n"/>
      <c r="I141" s="14" t="n"/>
      <c r="J141" s="14" t="n"/>
      <c r="K141" s="17" t="n"/>
      <c r="L141" s="15" t="n"/>
      <c r="M141" s="14" t="n"/>
      <c r="N141" s="17" t="n"/>
      <c r="O141" s="17" t="n"/>
      <c r="P141" s="18" t="n"/>
      <c r="Q141" s="11">
        <f>IF($A141="","",IF($H141="Stock",IF($I141="Buy",-$M141*$N141-$P141,IF($I141="Sell",IF($N141="", $M141*$O141-$P141,($O141-$N141)*$M141-$P141),"")),IF($I141="Sell",($N141-IF($O141="",0,$O141))*$M141*100-$P141,IF($I141="Buy",(IF($O141="",0,$O141)-$N141)*$M141*100-$P141,""))))</f>
        <v/>
      </c>
      <c r="R141" s="11">
        <f>IF($A141="","",IF($C141="Open","",$Q141))</f>
        <v/>
      </c>
      <c r="S141" s="12">
        <f>IF($A141="","",IFS($B141="Covered Call","Covered Call Premium",$B141="Cash Secured Put","Cash Secured Put Premium",$B141="Long Call/Put","Long Call/Put P/L",$B141="Debit Spread","Long Call/Put P/L",$B141="Stock Sale","Stock Sales",TRUE,"Other"))</f>
        <v/>
      </c>
      <c r="T141" s="11">
        <f>IF($A141="","",IF($B141="Cash Secured Put",$K141*$M141*100,IF($B141="Covered Call",$K141*$M141*100,IF($H141="Stock",$M141*$N141,""))))</f>
        <v/>
      </c>
      <c r="U141" s="19">
        <f>IF(OR($A141="",$C141&lt;&gt;"Closed",$D141="",$E141="",$T141=0),"",$R141/$T141*365/MAX(1,$E141-$D141))</f>
        <v/>
      </c>
      <c r="V141" s="14" t="n"/>
      <c r="W141" s="12" t="n"/>
    </row>
    <row r="142">
      <c r="A142" s="12" t="n"/>
      <c r="B142" s="14" t="n"/>
      <c r="C142" s="14" t="n"/>
      <c r="D142" s="15" t="n"/>
      <c r="E142" s="15" t="n"/>
      <c r="F142" s="16">
        <f>IF($E142="","",DATE(YEAR($E142),MONTH($E142),1))</f>
        <v/>
      </c>
      <c r="G142" s="14" t="n"/>
      <c r="H142" s="14" t="n"/>
      <c r="I142" s="14" t="n"/>
      <c r="J142" s="14" t="n"/>
      <c r="K142" s="17" t="n"/>
      <c r="L142" s="15" t="n"/>
      <c r="M142" s="14" t="n"/>
      <c r="N142" s="17" t="n"/>
      <c r="O142" s="17" t="n"/>
      <c r="P142" s="18" t="n"/>
      <c r="Q142" s="11">
        <f>IF($A142="","",IF($H142="Stock",IF($I142="Buy",-$M142*$N142-$P142,IF($I142="Sell",IF($N142="", $M142*$O142-$P142,($O142-$N142)*$M142-$P142),"")),IF($I142="Sell",($N142-IF($O142="",0,$O142))*$M142*100-$P142,IF($I142="Buy",(IF($O142="",0,$O142)-$N142)*$M142*100-$P142,""))))</f>
        <v/>
      </c>
      <c r="R142" s="11">
        <f>IF($A142="","",IF($C142="Open","",$Q142))</f>
        <v/>
      </c>
      <c r="S142" s="12">
        <f>IF($A142="","",IFS($B142="Covered Call","Covered Call Premium",$B142="Cash Secured Put","Cash Secured Put Premium",$B142="Long Call/Put","Long Call/Put P/L",$B142="Debit Spread","Long Call/Put P/L",$B142="Stock Sale","Stock Sales",TRUE,"Other"))</f>
        <v/>
      </c>
      <c r="T142" s="11">
        <f>IF($A142="","",IF($B142="Cash Secured Put",$K142*$M142*100,IF($B142="Covered Call",$K142*$M142*100,IF($H142="Stock",$M142*$N142,""))))</f>
        <v/>
      </c>
      <c r="U142" s="19">
        <f>IF(OR($A142="",$C142&lt;&gt;"Closed",$D142="",$E142="",$T142=0),"",$R142/$T142*365/MAX(1,$E142-$D142))</f>
        <v/>
      </c>
      <c r="V142" s="14" t="n"/>
      <c r="W142" s="12" t="n"/>
    </row>
    <row r="143">
      <c r="A143" s="12" t="n"/>
      <c r="B143" s="14" t="n"/>
      <c r="C143" s="14" t="n"/>
      <c r="D143" s="15" t="n"/>
      <c r="E143" s="15" t="n"/>
      <c r="F143" s="16">
        <f>IF($E143="","",DATE(YEAR($E143),MONTH($E143),1))</f>
        <v/>
      </c>
      <c r="G143" s="14" t="n"/>
      <c r="H143" s="14" t="n"/>
      <c r="I143" s="14" t="n"/>
      <c r="J143" s="14" t="n"/>
      <c r="K143" s="17" t="n"/>
      <c r="L143" s="15" t="n"/>
      <c r="M143" s="14" t="n"/>
      <c r="N143" s="17" t="n"/>
      <c r="O143" s="17" t="n"/>
      <c r="P143" s="18" t="n"/>
      <c r="Q143" s="11">
        <f>IF($A143="","",IF($H143="Stock",IF($I143="Buy",-$M143*$N143-$P143,IF($I143="Sell",IF($N143="", $M143*$O143-$P143,($O143-$N143)*$M143-$P143),"")),IF($I143="Sell",($N143-IF($O143="",0,$O143))*$M143*100-$P143,IF($I143="Buy",(IF($O143="",0,$O143)-$N143)*$M143*100-$P143,""))))</f>
        <v/>
      </c>
      <c r="R143" s="11">
        <f>IF($A143="","",IF($C143="Open","",$Q143))</f>
        <v/>
      </c>
      <c r="S143" s="12">
        <f>IF($A143="","",IFS($B143="Covered Call","Covered Call Premium",$B143="Cash Secured Put","Cash Secured Put Premium",$B143="Long Call/Put","Long Call/Put P/L",$B143="Debit Spread","Long Call/Put P/L",$B143="Stock Sale","Stock Sales",TRUE,"Other"))</f>
        <v/>
      </c>
      <c r="T143" s="11">
        <f>IF($A143="","",IF($B143="Cash Secured Put",$K143*$M143*100,IF($B143="Covered Call",$K143*$M143*100,IF($H143="Stock",$M143*$N143,""))))</f>
        <v/>
      </c>
      <c r="U143" s="19">
        <f>IF(OR($A143="",$C143&lt;&gt;"Closed",$D143="",$E143="",$T143=0),"",$R143/$T143*365/MAX(1,$E143-$D143))</f>
        <v/>
      </c>
      <c r="V143" s="14" t="n"/>
      <c r="W143" s="12" t="n"/>
    </row>
    <row r="144">
      <c r="A144" s="12" t="n"/>
      <c r="B144" s="14" t="n"/>
      <c r="C144" s="14" t="n"/>
      <c r="D144" s="15" t="n"/>
      <c r="E144" s="15" t="n"/>
      <c r="F144" s="16">
        <f>IF($E144="","",DATE(YEAR($E144),MONTH($E144),1))</f>
        <v/>
      </c>
      <c r="G144" s="14" t="n"/>
      <c r="H144" s="14" t="n"/>
      <c r="I144" s="14" t="n"/>
      <c r="J144" s="14" t="n"/>
      <c r="K144" s="17" t="n"/>
      <c r="L144" s="15" t="n"/>
      <c r="M144" s="14" t="n"/>
      <c r="N144" s="17" t="n"/>
      <c r="O144" s="17" t="n"/>
      <c r="P144" s="18" t="n"/>
      <c r="Q144" s="11">
        <f>IF($A144="","",IF($H144="Stock",IF($I144="Buy",-$M144*$N144-$P144,IF($I144="Sell",IF($N144="", $M144*$O144-$P144,($O144-$N144)*$M144-$P144),"")),IF($I144="Sell",($N144-IF($O144="",0,$O144))*$M144*100-$P144,IF($I144="Buy",(IF($O144="",0,$O144)-$N144)*$M144*100-$P144,""))))</f>
        <v/>
      </c>
      <c r="R144" s="11">
        <f>IF($A144="","",IF($C144="Open","",$Q144))</f>
        <v/>
      </c>
      <c r="S144" s="12">
        <f>IF($A144="","",IFS($B144="Covered Call","Covered Call Premium",$B144="Cash Secured Put","Cash Secured Put Premium",$B144="Long Call/Put","Long Call/Put P/L",$B144="Debit Spread","Long Call/Put P/L",$B144="Stock Sale","Stock Sales",TRUE,"Other"))</f>
        <v/>
      </c>
      <c r="T144" s="11">
        <f>IF($A144="","",IF($B144="Cash Secured Put",$K144*$M144*100,IF($B144="Covered Call",$K144*$M144*100,IF($H144="Stock",$M144*$N144,""))))</f>
        <v/>
      </c>
      <c r="U144" s="19">
        <f>IF(OR($A144="",$C144&lt;&gt;"Closed",$D144="",$E144="",$T144=0),"",$R144/$T144*365/MAX(1,$E144-$D144))</f>
        <v/>
      </c>
      <c r="V144" s="14" t="n"/>
      <c r="W144" s="12" t="n"/>
    </row>
    <row r="145">
      <c r="A145" s="12" t="n"/>
      <c r="B145" s="14" t="n"/>
      <c r="C145" s="14" t="n"/>
      <c r="D145" s="15" t="n"/>
      <c r="E145" s="15" t="n"/>
      <c r="F145" s="16">
        <f>IF($E145="","",DATE(YEAR($E145),MONTH($E145),1))</f>
        <v/>
      </c>
      <c r="G145" s="14" t="n"/>
      <c r="H145" s="14" t="n"/>
      <c r="I145" s="14" t="n"/>
      <c r="J145" s="14" t="n"/>
      <c r="K145" s="17" t="n"/>
      <c r="L145" s="15" t="n"/>
      <c r="M145" s="14" t="n"/>
      <c r="N145" s="17" t="n"/>
      <c r="O145" s="17" t="n"/>
      <c r="P145" s="18" t="n"/>
      <c r="Q145" s="11">
        <f>IF($A145="","",IF($H145="Stock",IF($I145="Buy",-$M145*$N145-$P145,IF($I145="Sell",IF($N145="", $M145*$O145-$P145,($O145-$N145)*$M145-$P145),"")),IF($I145="Sell",($N145-IF($O145="",0,$O145))*$M145*100-$P145,IF($I145="Buy",(IF($O145="",0,$O145)-$N145)*$M145*100-$P145,""))))</f>
        <v/>
      </c>
      <c r="R145" s="11">
        <f>IF($A145="","",IF($C145="Open","",$Q145))</f>
        <v/>
      </c>
      <c r="S145" s="12">
        <f>IF($A145="","",IFS($B145="Covered Call","Covered Call Premium",$B145="Cash Secured Put","Cash Secured Put Premium",$B145="Long Call/Put","Long Call/Put P/L",$B145="Debit Spread","Long Call/Put P/L",$B145="Stock Sale","Stock Sales",TRUE,"Other"))</f>
        <v/>
      </c>
      <c r="T145" s="11">
        <f>IF($A145="","",IF($B145="Cash Secured Put",$K145*$M145*100,IF($B145="Covered Call",$K145*$M145*100,IF($H145="Stock",$M145*$N145,""))))</f>
        <v/>
      </c>
      <c r="U145" s="19">
        <f>IF(OR($A145="",$C145&lt;&gt;"Closed",$D145="",$E145="",$T145=0),"",$R145/$T145*365/MAX(1,$E145-$D145))</f>
        <v/>
      </c>
      <c r="V145" s="14" t="n"/>
      <c r="W145" s="12" t="n"/>
    </row>
    <row r="146">
      <c r="A146" s="12" t="n"/>
      <c r="B146" s="14" t="n"/>
      <c r="C146" s="14" t="n"/>
      <c r="D146" s="15" t="n"/>
      <c r="E146" s="15" t="n"/>
      <c r="F146" s="16">
        <f>IF($E146="","",DATE(YEAR($E146),MONTH($E146),1))</f>
        <v/>
      </c>
      <c r="G146" s="14" t="n"/>
      <c r="H146" s="14" t="n"/>
      <c r="I146" s="14" t="n"/>
      <c r="J146" s="14" t="n"/>
      <c r="K146" s="17" t="n"/>
      <c r="L146" s="15" t="n"/>
      <c r="M146" s="14" t="n"/>
      <c r="N146" s="17" t="n"/>
      <c r="O146" s="17" t="n"/>
      <c r="P146" s="18" t="n"/>
      <c r="Q146" s="11">
        <f>IF($A146="","",IF($H146="Stock",IF($I146="Buy",-$M146*$N146-$P146,IF($I146="Sell",IF($N146="", $M146*$O146-$P146,($O146-$N146)*$M146-$P146),"")),IF($I146="Sell",($N146-IF($O146="",0,$O146))*$M146*100-$P146,IF($I146="Buy",(IF($O146="",0,$O146)-$N146)*$M146*100-$P146,""))))</f>
        <v/>
      </c>
      <c r="R146" s="11">
        <f>IF($A146="","",IF($C146="Open","",$Q146))</f>
        <v/>
      </c>
      <c r="S146" s="12">
        <f>IF($A146="","",IFS($B146="Covered Call","Covered Call Premium",$B146="Cash Secured Put","Cash Secured Put Premium",$B146="Long Call/Put","Long Call/Put P/L",$B146="Debit Spread","Long Call/Put P/L",$B146="Stock Sale","Stock Sales",TRUE,"Other"))</f>
        <v/>
      </c>
      <c r="T146" s="11">
        <f>IF($A146="","",IF($B146="Cash Secured Put",$K146*$M146*100,IF($B146="Covered Call",$K146*$M146*100,IF($H146="Stock",$M146*$N146,""))))</f>
        <v/>
      </c>
      <c r="U146" s="19">
        <f>IF(OR($A146="",$C146&lt;&gt;"Closed",$D146="",$E146="",$T146=0),"",$R146/$T146*365/MAX(1,$E146-$D146))</f>
        <v/>
      </c>
      <c r="V146" s="14" t="n"/>
      <c r="W146" s="12" t="n"/>
    </row>
    <row r="147">
      <c r="A147" s="12" t="n"/>
      <c r="B147" s="14" t="n"/>
      <c r="C147" s="14" t="n"/>
      <c r="D147" s="15" t="n"/>
      <c r="E147" s="15" t="n"/>
      <c r="F147" s="16">
        <f>IF($E147="","",DATE(YEAR($E147),MONTH($E147),1))</f>
        <v/>
      </c>
      <c r="G147" s="14" t="n"/>
      <c r="H147" s="14" t="n"/>
      <c r="I147" s="14" t="n"/>
      <c r="J147" s="14" t="n"/>
      <c r="K147" s="17" t="n"/>
      <c r="L147" s="15" t="n"/>
      <c r="M147" s="14" t="n"/>
      <c r="N147" s="17" t="n"/>
      <c r="O147" s="17" t="n"/>
      <c r="P147" s="18" t="n"/>
      <c r="Q147" s="11">
        <f>IF($A147="","",IF($H147="Stock",IF($I147="Buy",-$M147*$N147-$P147,IF($I147="Sell",IF($N147="", $M147*$O147-$P147,($O147-$N147)*$M147-$P147),"")),IF($I147="Sell",($N147-IF($O147="",0,$O147))*$M147*100-$P147,IF($I147="Buy",(IF($O147="",0,$O147)-$N147)*$M147*100-$P147,""))))</f>
        <v/>
      </c>
      <c r="R147" s="11">
        <f>IF($A147="","",IF($C147="Open","",$Q147))</f>
        <v/>
      </c>
      <c r="S147" s="12">
        <f>IF($A147="","",IFS($B147="Covered Call","Covered Call Premium",$B147="Cash Secured Put","Cash Secured Put Premium",$B147="Long Call/Put","Long Call/Put P/L",$B147="Debit Spread","Long Call/Put P/L",$B147="Stock Sale","Stock Sales",TRUE,"Other"))</f>
        <v/>
      </c>
      <c r="T147" s="11">
        <f>IF($A147="","",IF($B147="Cash Secured Put",$K147*$M147*100,IF($B147="Covered Call",$K147*$M147*100,IF($H147="Stock",$M147*$N147,""))))</f>
        <v/>
      </c>
      <c r="U147" s="19">
        <f>IF(OR($A147="",$C147&lt;&gt;"Closed",$D147="",$E147="",$T147=0),"",$R147/$T147*365/MAX(1,$E147-$D147))</f>
        <v/>
      </c>
      <c r="V147" s="14" t="n"/>
      <c r="W147" s="12" t="n"/>
    </row>
    <row r="148">
      <c r="A148" s="12" t="n"/>
      <c r="B148" s="14" t="n"/>
      <c r="C148" s="14" t="n"/>
      <c r="D148" s="15" t="n"/>
      <c r="E148" s="15" t="n"/>
      <c r="F148" s="16">
        <f>IF($E148="","",DATE(YEAR($E148),MONTH($E148),1))</f>
        <v/>
      </c>
      <c r="G148" s="14" t="n"/>
      <c r="H148" s="14" t="n"/>
      <c r="I148" s="14" t="n"/>
      <c r="J148" s="14" t="n"/>
      <c r="K148" s="17" t="n"/>
      <c r="L148" s="15" t="n"/>
      <c r="M148" s="14" t="n"/>
      <c r="N148" s="17" t="n"/>
      <c r="O148" s="17" t="n"/>
      <c r="P148" s="18" t="n"/>
      <c r="Q148" s="11">
        <f>IF($A148="","",IF($H148="Stock",IF($I148="Buy",-$M148*$N148-$P148,IF($I148="Sell",IF($N148="", $M148*$O148-$P148,($O148-$N148)*$M148-$P148),"")),IF($I148="Sell",($N148-IF($O148="",0,$O148))*$M148*100-$P148,IF($I148="Buy",(IF($O148="",0,$O148)-$N148)*$M148*100-$P148,""))))</f>
        <v/>
      </c>
      <c r="R148" s="11">
        <f>IF($A148="","",IF($C148="Open","",$Q148))</f>
        <v/>
      </c>
      <c r="S148" s="12">
        <f>IF($A148="","",IFS($B148="Covered Call","Covered Call Premium",$B148="Cash Secured Put","Cash Secured Put Premium",$B148="Long Call/Put","Long Call/Put P/L",$B148="Debit Spread","Long Call/Put P/L",$B148="Stock Sale","Stock Sales",TRUE,"Other"))</f>
        <v/>
      </c>
      <c r="T148" s="11">
        <f>IF($A148="","",IF($B148="Cash Secured Put",$K148*$M148*100,IF($B148="Covered Call",$K148*$M148*100,IF($H148="Stock",$M148*$N148,""))))</f>
        <v/>
      </c>
      <c r="U148" s="19">
        <f>IF(OR($A148="",$C148&lt;&gt;"Closed",$D148="",$E148="",$T148=0),"",$R148/$T148*365/MAX(1,$E148-$D148))</f>
        <v/>
      </c>
      <c r="V148" s="14" t="n"/>
      <c r="W148" s="12" t="n"/>
    </row>
    <row r="149">
      <c r="A149" s="12" t="n"/>
      <c r="B149" s="14" t="n"/>
      <c r="C149" s="14" t="n"/>
      <c r="D149" s="15" t="n"/>
      <c r="E149" s="15" t="n"/>
      <c r="F149" s="16">
        <f>IF($E149="","",DATE(YEAR($E149),MONTH($E149),1))</f>
        <v/>
      </c>
      <c r="G149" s="14" t="n"/>
      <c r="H149" s="14" t="n"/>
      <c r="I149" s="14" t="n"/>
      <c r="J149" s="14" t="n"/>
      <c r="K149" s="17" t="n"/>
      <c r="L149" s="15" t="n"/>
      <c r="M149" s="14" t="n"/>
      <c r="N149" s="17" t="n"/>
      <c r="O149" s="17" t="n"/>
      <c r="P149" s="18" t="n"/>
      <c r="Q149" s="11">
        <f>IF($A149="","",IF($H149="Stock",IF($I149="Buy",-$M149*$N149-$P149,IF($I149="Sell",IF($N149="", $M149*$O149-$P149,($O149-$N149)*$M149-$P149),"")),IF($I149="Sell",($N149-IF($O149="",0,$O149))*$M149*100-$P149,IF($I149="Buy",(IF($O149="",0,$O149)-$N149)*$M149*100-$P149,""))))</f>
        <v/>
      </c>
      <c r="R149" s="11">
        <f>IF($A149="","",IF($C149="Open","",$Q149))</f>
        <v/>
      </c>
      <c r="S149" s="12">
        <f>IF($A149="","",IFS($B149="Covered Call","Covered Call Premium",$B149="Cash Secured Put","Cash Secured Put Premium",$B149="Long Call/Put","Long Call/Put P/L",$B149="Debit Spread","Long Call/Put P/L",$B149="Stock Sale","Stock Sales",TRUE,"Other"))</f>
        <v/>
      </c>
      <c r="T149" s="11">
        <f>IF($A149="","",IF($B149="Cash Secured Put",$K149*$M149*100,IF($B149="Covered Call",$K149*$M149*100,IF($H149="Stock",$M149*$N149,""))))</f>
        <v/>
      </c>
      <c r="U149" s="19">
        <f>IF(OR($A149="",$C149&lt;&gt;"Closed",$D149="",$E149="",$T149=0),"",$R149/$T149*365/MAX(1,$E149-$D149))</f>
        <v/>
      </c>
      <c r="V149" s="14" t="n"/>
      <c r="W149" s="12" t="n"/>
    </row>
    <row r="150">
      <c r="A150" s="12" t="n"/>
      <c r="B150" s="14" t="n"/>
      <c r="C150" s="14" t="n"/>
      <c r="D150" s="15" t="n"/>
      <c r="E150" s="15" t="n"/>
      <c r="F150" s="16">
        <f>IF($E150="","",DATE(YEAR($E150),MONTH($E150),1))</f>
        <v/>
      </c>
      <c r="G150" s="14" t="n"/>
      <c r="H150" s="14" t="n"/>
      <c r="I150" s="14" t="n"/>
      <c r="J150" s="14" t="n"/>
      <c r="K150" s="17" t="n"/>
      <c r="L150" s="15" t="n"/>
      <c r="M150" s="14" t="n"/>
      <c r="N150" s="17" t="n"/>
      <c r="O150" s="17" t="n"/>
      <c r="P150" s="18" t="n"/>
      <c r="Q150" s="11">
        <f>IF($A150="","",IF($H150="Stock",IF($I150="Buy",-$M150*$N150-$P150,IF($I150="Sell",IF($N150="", $M150*$O150-$P150,($O150-$N150)*$M150-$P150),"")),IF($I150="Sell",($N150-IF($O150="",0,$O150))*$M150*100-$P150,IF($I150="Buy",(IF($O150="",0,$O150)-$N150)*$M150*100-$P150,""))))</f>
        <v/>
      </c>
      <c r="R150" s="11">
        <f>IF($A150="","",IF($C150="Open","",$Q150))</f>
        <v/>
      </c>
      <c r="S150" s="12">
        <f>IF($A150="","",IFS($B150="Covered Call","Covered Call Premium",$B150="Cash Secured Put","Cash Secured Put Premium",$B150="Long Call/Put","Long Call/Put P/L",$B150="Debit Spread","Long Call/Put P/L",$B150="Stock Sale","Stock Sales",TRUE,"Other"))</f>
        <v/>
      </c>
      <c r="T150" s="11">
        <f>IF($A150="","",IF($B150="Cash Secured Put",$K150*$M150*100,IF($B150="Covered Call",$K150*$M150*100,IF($H150="Stock",$M150*$N150,""))))</f>
        <v/>
      </c>
      <c r="U150" s="19">
        <f>IF(OR($A150="",$C150&lt;&gt;"Closed",$D150="",$E150="",$T150=0),"",$R150/$T150*365/MAX(1,$E150-$D150))</f>
        <v/>
      </c>
      <c r="V150" s="14" t="n"/>
      <c r="W150" s="12" t="n"/>
    </row>
    <row r="151">
      <c r="A151" s="12" t="n"/>
      <c r="B151" s="14" t="n"/>
      <c r="C151" s="14" t="n"/>
      <c r="D151" s="15" t="n"/>
      <c r="E151" s="15" t="n"/>
      <c r="F151" s="16">
        <f>IF($E151="","",DATE(YEAR($E151),MONTH($E151),1))</f>
        <v/>
      </c>
      <c r="G151" s="14" t="n"/>
      <c r="H151" s="14" t="n"/>
      <c r="I151" s="14" t="n"/>
      <c r="J151" s="14" t="n"/>
      <c r="K151" s="17" t="n"/>
      <c r="L151" s="15" t="n"/>
      <c r="M151" s="14" t="n"/>
      <c r="N151" s="17" t="n"/>
      <c r="O151" s="17" t="n"/>
      <c r="P151" s="18" t="n"/>
      <c r="Q151" s="11">
        <f>IF($A151="","",IF($H151="Stock",IF($I151="Buy",-$M151*$N151-$P151,IF($I151="Sell",IF($N151="", $M151*$O151-$P151,($O151-$N151)*$M151-$P151),"")),IF($I151="Sell",($N151-IF($O151="",0,$O151))*$M151*100-$P151,IF($I151="Buy",(IF($O151="",0,$O151)-$N151)*$M151*100-$P151,""))))</f>
        <v/>
      </c>
      <c r="R151" s="11">
        <f>IF($A151="","",IF($C151="Open","",$Q151))</f>
        <v/>
      </c>
      <c r="S151" s="12">
        <f>IF($A151="","",IFS($B151="Covered Call","Covered Call Premium",$B151="Cash Secured Put","Cash Secured Put Premium",$B151="Long Call/Put","Long Call/Put P/L",$B151="Debit Spread","Long Call/Put P/L",$B151="Stock Sale","Stock Sales",TRUE,"Other"))</f>
        <v/>
      </c>
      <c r="T151" s="11">
        <f>IF($A151="","",IF($B151="Cash Secured Put",$K151*$M151*100,IF($B151="Covered Call",$K151*$M151*100,IF($H151="Stock",$M151*$N151,""))))</f>
        <v/>
      </c>
      <c r="U151" s="19">
        <f>IF(OR($A151="",$C151&lt;&gt;"Closed",$D151="",$E151="",$T151=0),"",$R151/$T151*365/MAX(1,$E151-$D151))</f>
        <v/>
      </c>
      <c r="V151" s="14" t="n"/>
      <c r="W151" s="12" t="n"/>
    </row>
    <row r="152">
      <c r="A152" s="12" t="n"/>
      <c r="B152" s="14" t="n"/>
      <c r="C152" s="14" t="n"/>
      <c r="D152" s="15" t="n"/>
      <c r="E152" s="15" t="n"/>
      <c r="F152" s="16">
        <f>IF($E152="","",DATE(YEAR($E152),MONTH($E152),1))</f>
        <v/>
      </c>
      <c r="G152" s="14" t="n"/>
      <c r="H152" s="14" t="n"/>
      <c r="I152" s="14" t="n"/>
      <c r="J152" s="14" t="n"/>
      <c r="K152" s="17" t="n"/>
      <c r="L152" s="15" t="n"/>
      <c r="M152" s="14" t="n"/>
      <c r="N152" s="17" t="n"/>
      <c r="O152" s="17" t="n"/>
      <c r="P152" s="18" t="n"/>
      <c r="Q152" s="11">
        <f>IF($A152="","",IF($H152="Stock",IF($I152="Buy",-$M152*$N152-$P152,IF($I152="Sell",IF($N152="", $M152*$O152-$P152,($O152-$N152)*$M152-$P152),"")),IF($I152="Sell",($N152-IF($O152="",0,$O152))*$M152*100-$P152,IF($I152="Buy",(IF($O152="",0,$O152)-$N152)*$M152*100-$P152,""))))</f>
        <v/>
      </c>
      <c r="R152" s="11">
        <f>IF($A152="","",IF($C152="Open","",$Q152))</f>
        <v/>
      </c>
      <c r="S152" s="12">
        <f>IF($A152="","",IFS($B152="Covered Call","Covered Call Premium",$B152="Cash Secured Put","Cash Secured Put Premium",$B152="Long Call/Put","Long Call/Put P/L",$B152="Debit Spread","Long Call/Put P/L",$B152="Stock Sale","Stock Sales",TRUE,"Other"))</f>
        <v/>
      </c>
      <c r="T152" s="11">
        <f>IF($A152="","",IF($B152="Cash Secured Put",$K152*$M152*100,IF($B152="Covered Call",$K152*$M152*100,IF($H152="Stock",$M152*$N152,""))))</f>
        <v/>
      </c>
      <c r="U152" s="19">
        <f>IF(OR($A152="",$C152&lt;&gt;"Closed",$D152="",$E152="",$T152=0),"",$R152/$T152*365/MAX(1,$E152-$D152))</f>
        <v/>
      </c>
      <c r="V152" s="14" t="n"/>
      <c r="W152" s="12" t="n"/>
    </row>
    <row r="153">
      <c r="A153" s="12" t="n"/>
      <c r="B153" s="14" t="n"/>
      <c r="C153" s="14" t="n"/>
      <c r="D153" s="15" t="n"/>
      <c r="E153" s="15" t="n"/>
      <c r="F153" s="16">
        <f>IF($E153="","",DATE(YEAR($E153),MONTH($E153),1))</f>
        <v/>
      </c>
      <c r="G153" s="14" t="n"/>
      <c r="H153" s="14" t="n"/>
      <c r="I153" s="14" t="n"/>
      <c r="J153" s="14" t="n"/>
      <c r="K153" s="17" t="n"/>
      <c r="L153" s="15" t="n"/>
      <c r="M153" s="14" t="n"/>
      <c r="N153" s="17" t="n"/>
      <c r="O153" s="17" t="n"/>
      <c r="P153" s="18" t="n"/>
      <c r="Q153" s="11">
        <f>IF($A153="","",IF($H153="Stock",IF($I153="Buy",-$M153*$N153-$P153,IF($I153="Sell",IF($N153="", $M153*$O153-$P153,($O153-$N153)*$M153-$P153),"")),IF($I153="Sell",($N153-IF($O153="",0,$O153))*$M153*100-$P153,IF($I153="Buy",(IF($O153="",0,$O153)-$N153)*$M153*100-$P153,""))))</f>
        <v/>
      </c>
      <c r="R153" s="11">
        <f>IF($A153="","",IF($C153="Open","",$Q153))</f>
        <v/>
      </c>
      <c r="S153" s="12">
        <f>IF($A153="","",IFS($B153="Covered Call","Covered Call Premium",$B153="Cash Secured Put","Cash Secured Put Premium",$B153="Long Call/Put","Long Call/Put P/L",$B153="Debit Spread","Long Call/Put P/L",$B153="Stock Sale","Stock Sales",TRUE,"Other"))</f>
        <v/>
      </c>
      <c r="T153" s="11">
        <f>IF($A153="","",IF($B153="Cash Secured Put",$K153*$M153*100,IF($B153="Covered Call",$K153*$M153*100,IF($H153="Stock",$M153*$N153,""))))</f>
        <v/>
      </c>
      <c r="U153" s="19">
        <f>IF(OR($A153="",$C153&lt;&gt;"Closed",$D153="",$E153="",$T153=0),"",$R153/$T153*365/MAX(1,$E153-$D153))</f>
        <v/>
      </c>
      <c r="V153" s="14" t="n"/>
      <c r="W153" s="12" t="n"/>
    </row>
    <row r="154">
      <c r="A154" s="12" t="n"/>
      <c r="B154" s="14" t="n"/>
      <c r="C154" s="14" t="n"/>
      <c r="D154" s="15" t="n"/>
      <c r="E154" s="15" t="n"/>
      <c r="F154" s="16">
        <f>IF($E154="","",DATE(YEAR($E154),MONTH($E154),1))</f>
        <v/>
      </c>
      <c r="G154" s="14" t="n"/>
      <c r="H154" s="14" t="n"/>
      <c r="I154" s="14" t="n"/>
      <c r="J154" s="14" t="n"/>
      <c r="K154" s="17" t="n"/>
      <c r="L154" s="15" t="n"/>
      <c r="M154" s="14" t="n"/>
      <c r="N154" s="17" t="n"/>
      <c r="O154" s="17" t="n"/>
      <c r="P154" s="18" t="n"/>
      <c r="Q154" s="11">
        <f>IF($A154="","",IF($H154="Stock",IF($I154="Buy",-$M154*$N154-$P154,IF($I154="Sell",IF($N154="", $M154*$O154-$P154,($O154-$N154)*$M154-$P154),"")),IF($I154="Sell",($N154-IF($O154="",0,$O154))*$M154*100-$P154,IF($I154="Buy",(IF($O154="",0,$O154)-$N154)*$M154*100-$P154,""))))</f>
        <v/>
      </c>
      <c r="R154" s="11">
        <f>IF($A154="","",IF($C154="Open","",$Q154))</f>
        <v/>
      </c>
      <c r="S154" s="12">
        <f>IF($A154="","",IFS($B154="Covered Call","Covered Call Premium",$B154="Cash Secured Put","Cash Secured Put Premium",$B154="Long Call/Put","Long Call/Put P/L",$B154="Debit Spread","Long Call/Put P/L",$B154="Stock Sale","Stock Sales",TRUE,"Other"))</f>
        <v/>
      </c>
      <c r="T154" s="11">
        <f>IF($A154="","",IF($B154="Cash Secured Put",$K154*$M154*100,IF($B154="Covered Call",$K154*$M154*100,IF($H154="Stock",$M154*$N154,""))))</f>
        <v/>
      </c>
      <c r="U154" s="19">
        <f>IF(OR($A154="",$C154&lt;&gt;"Closed",$D154="",$E154="",$T154=0),"",$R154/$T154*365/MAX(1,$E154-$D154))</f>
        <v/>
      </c>
      <c r="V154" s="14" t="n"/>
      <c r="W154" s="12" t="n"/>
    </row>
    <row r="155">
      <c r="A155" s="12" t="n"/>
      <c r="B155" s="14" t="n"/>
      <c r="C155" s="14" t="n"/>
      <c r="D155" s="15" t="n"/>
      <c r="E155" s="15" t="n"/>
      <c r="F155" s="16">
        <f>IF($E155="","",DATE(YEAR($E155),MONTH($E155),1))</f>
        <v/>
      </c>
      <c r="G155" s="14" t="n"/>
      <c r="H155" s="14" t="n"/>
      <c r="I155" s="14" t="n"/>
      <c r="J155" s="14" t="n"/>
      <c r="K155" s="17" t="n"/>
      <c r="L155" s="15" t="n"/>
      <c r="M155" s="14" t="n"/>
      <c r="N155" s="17" t="n"/>
      <c r="O155" s="17" t="n"/>
      <c r="P155" s="18" t="n"/>
      <c r="Q155" s="11">
        <f>IF($A155="","",IF($H155="Stock",IF($I155="Buy",-$M155*$N155-$P155,IF($I155="Sell",IF($N155="", $M155*$O155-$P155,($O155-$N155)*$M155-$P155),"")),IF($I155="Sell",($N155-IF($O155="",0,$O155))*$M155*100-$P155,IF($I155="Buy",(IF($O155="",0,$O155)-$N155)*$M155*100-$P155,""))))</f>
        <v/>
      </c>
      <c r="R155" s="11">
        <f>IF($A155="","",IF($C155="Open","",$Q155))</f>
        <v/>
      </c>
      <c r="S155" s="12">
        <f>IF($A155="","",IFS($B155="Covered Call","Covered Call Premium",$B155="Cash Secured Put","Cash Secured Put Premium",$B155="Long Call/Put","Long Call/Put P/L",$B155="Debit Spread","Long Call/Put P/L",$B155="Stock Sale","Stock Sales",TRUE,"Other"))</f>
        <v/>
      </c>
      <c r="T155" s="11">
        <f>IF($A155="","",IF($B155="Cash Secured Put",$K155*$M155*100,IF($B155="Covered Call",$K155*$M155*100,IF($H155="Stock",$M155*$N155,""))))</f>
        <v/>
      </c>
      <c r="U155" s="19">
        <f>IF(OR($A155="",$C155&lt;&gt;"Closed",$D155="",$E155="",$T155=0),"",$R155/$T155*365/MAX(1,$E155-$D155))</f>
        <v/>
      </c>
      <c r="V155" s="14" t="n"/>
      <c r="W155" s="12" t="n"/>
    </row>
    <row r="156">
      <c r="A156" s="12" t="n"/>
      <c r="B156" s="14" t="n"/>
      <c r="C156" s="14" t="n"/>
      <c r="D156" s="15" t="n"/>
      <c r="E156" s="15" t="n"/>
      <c r="F156" s="16">
        <f>IF($E156="","",DATE(YEAR($E156),MONTH($E156),1))</f>
        <v/>
      </c>
      <c r="G156" s="14" t="n"/>
      <c r="H156" s="14" t="n"/>
      <c r="I156" s="14" t="n"/>
      <c r="J156" s="14" t="n"/>
      <c r="K156" s="17" t="n"/>
      <c r="L156" s="15" t="n"/>
      <c r="M156" s="14" t="n"/>
      <c r="N156" s="17" t="n"/>
      <c r="O156" s="17" t="n"/>
      <c r="P156" s="18" t="n"/>
      <c r="Q156" s="11">
        <f>IF($A156="","",IF($H156="Stock",IF($I156="Buy",-$M156*$N156-$P156,IF($I156="Sell",IF($N156="", $M156*$O156-$P156,($O156-$N156)*$M156-$P156),"")),IF($I156="Sell",($N156-IF($O156="",0,$O156))*$M156*100-$P156,IF($I156="Buy",(IF($O156="",0,$O156)-$N156)*$M156*100-$P156,""))))</f>
        <v/>
      </c>
      <c r="R156" s="11">
        <f>IF($A156="","",IF($C156="Open","",$Q156))</f>
        <v/>
      </c>
      <c r="S156" s="12">
        <f>IF($A156="","",IFS($B156="Covered Call","Covered Call Premium",$B156="Cash Secured Put","Cash Secured Put Premium",$B156="Long Call/Put","Long Call/Put P/L",$B156="Debit Spread","Long Call/Put P/L",$B156="Stock Sale","Stock Sales",TRUE,"Other"))</f>
        <v/>
      </c>
      <c r="T156" s="11">
        <f>IF($A156="","",IF($B156="Cash Secured Put",$K156*$M156*100,IF($B156="Covered Call",$K156*$M156*100,IF($H156="Stock",$M156*$N156,""))))</f>
        <v/>
      </c>
      <c r="U156" s="19">
        <f>IF(OR($A156="",$C156&lt;&gt;"Closed",$D156="",$E156="",$T156=0),"",$R156/$T156*365/MAX(1,$E156-$D156))</f>
        <v/>
      </c>
      <c r="V156" s="14" t="n"/>
      <c r="W156" s="12" t="n"/>
    </row>
    <row r="157">
      <c r="A157" s="12" t="n"/>
      <c r="B157" s="14" t="n"/>
      <c r="C157" s="14" t="n"/>
      <c r="D157" s="15" t="n"/>
      <c r="E157" s="15" t="n"/>
      <c r="F157" s="16">
        <f>IF($E157="","",DATE(YEAR($E157),MONTH($E157),1))</f>
        <v/>
      </c>
      <c r="G157" s="14" t="n"/>
      <c r="H157" s="14" t="n"/>
      <c r="I157" s="14" t="n"/>
      <c r="J157" s="14" t="n"/>
      <c r="K157" s="17" t="n"/>
      <c r="L157" s="15" t="n"/>
      <c r="M157" s="14" t="n"/>
      <c r="N157" s="17" t="n"/>
      <c r="O157" s="17" t="n"/>
      <c r="P157" s="18" t="n"/>
      <c r="Q157" s="11">
        <f>IF($A157="","",IF($H157="Stock",IF($I157="Buy",-$M157*$N157-$P157,IF($I157="Sell",IF($N157="", $M157*$O157-$P157,($O157-$N157)*$M157-$P157),"")),IF($I157="Sell",($N157-IF($O157="",0,$O157))*$M157*100-$P157,IF($I157="Buy",(IF($O157="",0,$O157)-$N157)*$M157*100-$P157,""))))</f>
        <v/>
      </c>
      <c r="R157" s="11">
        <f>IF($A157="","",IF($C157="Open","",$Q157))</f>
        <v/>
      </c>
      <c r="S157" s="12">
        <f>IF($A157="","",IFS($B157="Covered Call","Covered Call Premium",$B157="Cash Secured Put","Cash Secured Put Premium",$B157="Long Call/Put","Long Call/Put P/L",$B157="Debit Spread","Long Call/Put P/L",$B157="Stock Sale","Stock Sales",TRUE,"Other"))</f>
        <v/>
      </c>
      <c r="T157" s="11">
        <f>IF($A157="","",IF($B157="Cash Secured Put",$K157*$M157*100,IF($B157="Covered Call",$K157*$M157*100,IF($H157="Stock",$M157*$N157,""))))</f>
        <v/>
      </c>
      <c r="U157" s="19">
        <f>IF(OR($A157="",$C157&lt;&gt;"Closed",$D157="",$E157="",$T157=0),"",$R157/$T157*365/MAX(1,$E157-$D157))</f>
        <v/>
      </c>
      <c r="V157" s="14" t="n"/>
      <c r="W157" s="12" t="n"/>
    </row>
    <row r="158">
      <c r="A158" s="12" t="n"/>
      <c r="B158" s="14" t="n"/>
      <c r="C158" s="14" t="n"/>
      <c r="D158" s="15" t="n"/>
      <c r="E158" s="15" t="n"/>
      <c r="F158" s="16">
        <f>IF($E158="","",DATE(YEAR($E158),MONTH($E158),1))</f>
        <v/>
      </c>
      <c r="G158" s="14" t="n"/>
      <c r="H158" s="14" t="n"/>
      <c r="I158" s="14" t="n"/>
      <c r="J158" s="14" t="n"/>
      <c r="K158" s="17" t="n"/>
      <c r="L158" s="15" t="n"/>
      <c r="M158" s="14" t="n"/>
      <c r="N158" s="17" t="n"/>
      <c r="O158" s="17" t="n"/>
      <c r="P158" s="18" t="n"/>
      <c r="Q158" s="11">
        <f>IF($A158="","",IF($H158="Stock",IF($I158="Buy",-$M158*$N158-$P158,IF($I158="Sell",IF($N158="", $M158*$O158-$P158,($O158-$N158)*$M158-$P158),"")),IF($I158="Sell",($N158-IF($O158="",0,$O158))*$M158*100-$P158,IF($I158="Buy",(IF($O158="",0,$O158)-$N158)*$M158*100-$P158,""))))</f>
        <v/>
      </c>
      <c r="R158" s="11">
        <f>IF($A158="","",IF($C158="Open","",$Q158))</f>
        <v/>
      </c>
      <c r="S158" s="12">
        <f>IF($A158="","",IFS($B158="Covered Call","Covered Call Premium",$B158="Cash Secured Put","Cash Secured Put Premium",$B158="Long Call/Put","Long Call/Put P/L",$B158="Debit Spread","Long Call/Put P/L",$B158="Stock Sale","Stock Sales",TRUE,"Other"))</f>
        <v/>
      </c>
      <c r="T158" s="11">
        <f>IF($A158="","",IF($B158="Cash Secured Put",$K158*$M158*100,IF($B158="Covered Call",$K158*$M158*100,IF($H158="Stock",$M158*$N158,""))))</f>
        <v/>
      </c>
      <c r="U158" s="19">
        <f>IF(OR($A158="",$C158&lt;&gt;"Closed",$D158="",$E158="",$T158=0),"",$R158/$T158*365/MAX(1,$E158-$D158))</f>
        <v/>
      </c>
      <c r="V158" s="14" t="n"/>
      <c r="W158" s="12" t="n"/>
    </row>
    <row r="159">
      <c r="A159" s="12" t="n"/>
      <c r="B159" s="14" t="n"/>
      <c r="C159" s="14" t="n"/>
      <c r="D159" s="15" t="n"/>
      <c r="E159" s="15" t="n"/>
      <c r="F159" s="16">
        <f>IF($E159="","",DATE(YEAR($E159),MONTH($E159),1))</f>
        <v/>
      </c>
      <c r="G159" s="14" t="n"/>
      <c r="H159" s="14" t="n"/>
      <c r="I159" s="14" t="n"/>
      <c r="J159" s="14" t="n"/>
      <c r="K159" s="17" t="n"/>
      <c r="L159" s="15" t="n"/>
      <c r="M159" s="14" t="n"/>
      <c r="N159" s="17" t="n"/>
      <c r="O159" s="17" t="n"/>
      <c r="P159" s="18" t="n"/>
      <c r="Q159" s="11">
        <f>IF($A159="","",IF($H159="Stock",IF($I159="Buy",-$M159*$N159-$P159,IF($I159="Sell",IF($N159="", $M159*$O159-$P159,($O159-$N159)*$M159-$P159),"")),IF($I159="Sell",($N159-IF($O159="",0,$O159))*$M159*100-$P159,IF($I159="Buy",(IF($O159="",0,$O159)-$N159)*$M159*100-$P159,""))))</f>
        <v/>
      </c>
      <c r="R159" s="11">
        <f>IF($A159="","",IF($C159="Open","",$Q159))</f>
        <v/>
      </c>
      <c r="S159" s="12">
        <f>IF($A159="","",IFS($B159="Covered Call","Covered Call Premium",$B159="Cash Secured Put","Cash Secured Put Premium",$B159="Long Call/Put","Long Call/Put P/L",$B159="Debit Spread","Long Call/Put P/L",$B159="Stock Sale","Stock Sales",TRUE,"Other"))</f>
        <v/>
      </c>
      <c r="T159" s="11">
        <f>IF($A159="","",IF($B159="Cash Secured Put",$K159*$M159*100,IF($B159="Covered Call",$K159*$M159*100,IF($H159="Stock",$M159*$N159,""))))</f>
        <v/>
      </c>
      <c r="U159" s="19">
        <f>IF(OR($A159="",$C159&lt;&gt;"Closed",$D159="",$E159="",$T159=0),"",$R159/$T159*365/MAX(1,$E159-$D159))</f>
        <v/>
      </c>
      <c r="V159" s="14" t="n"/>
      <c r="W159" s="12" t="n"/>
    </row>
    <row r="160">
      <c r="A160" s="12" t="n"/>
      <c r="B160" s="14" t="n"/>
      <c r="C160" s="14" t="n"/>
      <c r="D160" s="15" t="n"/>
      <c r="E160" s="15" t="n"/>
      <c r="F160" s="16">
        <f>IF($E160="","",DATE(YEAR($E160),MONTH($E160),1))</f>
        <v/>
      </c>
      <c r="G160" s="14" t="n"/>
      <c r="H160" s="14" t="n"/>
      <c r="I160" s="14" t="n"/>
      <c r="J160" s="14" t="n"/>
      <c r="K160" s="17" t="n"/>
      <c r="L160" s="15" t="n"/>
      <c r="M160" s="14" t="n"/>
      <c r="N160" s="17" t="n"/>
      <c r="O160" s="17" t="n"/>
      <c r="P160" s="18" t="n"/>
      <c r="Q160" s="11">
        <f>IF($A160="","",IF($H160="Stock",IF($I160="Buy",-$M160*$N160-$P160,IF($I160="Sell",IF($N160="", $M160*$O160-$P160,($O160-$N160)*$M160-$P160),"")),IF($I160="Sell",($N160-IF($O160="",0,$O160))*$M160*100-$P160,IF($I160="Buy",(IF($O160="",0,$O160)-$N160)*$M160*100-$P160,""))))</f>
        <v/>
      </c>
      <c r="R160" s="11">
        <f>IF($A160="","",IF($C160="Open","",$Q160))</f>
        <v/>
      </c>
      <c r="S160" s="12">
        <f>IF($A160="","",IFS($B160="Covered Call","Covered Call Premium",$B160="Cash Secured Put","Cash Secured Put Premium",$B160="Long Call/Put","Long Call/Put P/L",$B160="Debit Spread","Long Call/Put P/L",$B160="Stock Sale","Stock Sales",TRUE,"Other"))</f>
        <v/>
      </c>
      <c r="T160" s="11">
        <f>IF($A160="","",IF($B160="Cash Secured Put",$K160*$M160*100,IF($B160="Covered Call",$K160*$M160*100,IF($H160="Stock",$M160*$N160,""))))</f>
        <v/>
      </c>
      <c r="U160" s="19">
        <f>IF(OR($A160="",$C160&lt;&gt;"Closed",$D160="",$E160="",$T160=0),"",$R160/$T160*365/MAX(1,$E160-$D160))</f>
        <v/>
      </c>
      <c r="V160" s="14" t="n"/>
      <c r="W160" s="12" t="n"/>
    </row>
    <row r="161">
      <c r="A161" s="12" t="n"/>
      <c r="B161" s="14" t="n"/>
      <c r="C161" s="14" t="n"/>
      <c r="D161" s="15" t="n"/>
      <c r="E161" s="15" t="n"/>
      <c r="F161" s="16">
        <f>IF($E161="","",DATE(YEAR($E161),MONTH($E161),1))</f>
        <v/>
      </c>
      <c r="G161" s="14" t="n"/>
      <c r="H161" s="14" t="n"/>
      <c r="I161" s="14" t="n"/>
      <c r="J161" s="14" t="n"/>
      <c r="K161" s="17" t="n"/>
      <c r="L161" s="15" t="n"/>
      <c r="M161" s="14" t="n"/>
      <c r="N161" s="17" t="n"/>
      <c r="O161" s="17" t="n"/>
      <c r="P161" s="18" t="n"/>
      <c r="Q161" s="11">
        <f>IF($A161="","",IF($H161="Stock",IF($I161="Buy",-$M161*$N161-$P161,IF($I161="Sell",IF($N161="", $M161*$O161-$P161,($O161-$N161)*$M161-$P161),"")),IF($I161="Sell",($N161-IF($O161="",0,$O161))*$M161*100-$P161,IF($I161="Buy",(IF($O161="",0,$O161)-$N161)*$M161*100-$P161,""))))</f>
        <v/>
      </c>
      <c r="R161" s="11">
        <f>IF($A161="","",IF($C161="Open","",$Q161))</f>
        <v/>
      </c>
      <c r="S161" s="12">
        <f>IF($A161="","",IFS($B161="Covered Call","Covered Call Premium",$B161="Cash Secured Put","Cash Secured Put Premium",$B161="Long Call/Put","Long Call/Put P/L",$B161="Debit Spread","Long Call/Put P/L",$B161="Stock Sale","Stock Sales",TRUE,"Other"))</f>
        <v/>
      </c>
      <c r="T161" s="11">
        <f>IF($A161="","",IF($B161="Cash Secured Put",$K161*$M161*100,IF($B161="Covered Call",$K161*$M161*100,IF($H161="Stock",$M161*$N161,""))))</f>
        <v/>
      </c>
      <c r="U161" s="19">
        <f>IF(OR($A161="",$C161&lt;&gt;"Closed",$D161="",$E161="",$T161=0),"",$R161/$T161*365/MAX(1,$E161-$D161))</f>
        <v/>
      </c>
      <c r="V161" s="14" t="n"/>
      <c r="W161" s="12" t="n"/>
    </row>
    <row r="162">
      <c r="A162" s="12" t="n"/>
      <c r="B162" s="14" t="n"/>
      <c r="C162" s="14" t="n"/>
      <c r="D162" s="15" t="n"/>
      <c r="E162" s="15" t="n"/>
      <c r="F162" s="16">
        <f>IF($E162="","",DATE(YEAR($E162),MONTH($E162),1))</f>
        <v/>
      </c>
      <c r="G162" s="14" t="n"/>
      <c r="H162" s="14" t="n"/>
      <c r="I162" s="14" t="n"/>
      <c r="J162" s="14" t="n"/>
      <c r="K162" s="17" t="n"/>
      <c r="L162" s="15" t="n"/>
      <c r="M162" s="14" t="n"/>
      <c r="N162" s="17" t="n"/>
      <c r="O162" s="17" t="n"/>
      <c r="P162" s="18" t="n"/>
      <c r="Q162" s="11">
        <f>IF($A162="","",IF($H162="Stock",IF($I162="Buy",-$M162*$N162-$P162,IF($I162="Sell",IF($N162="", $M162*$O162-$P162,($O162-$N162)*$M162-$P162),"")),IF($I162="Sell",($N162-IF($O162="",0,$O162))*$M162*100-$P162,IF($I162="Buy",(IF($O162="",0,$O162)-$N162)*$M162*100-$P162,""))))</f>
        <v/>
      </c>
      <c r="R162" s="11">
        <f>IF($A162="","",IF($C162="Open","",$Q162))</f>
        <v/>
      </c>
      <c r="S162" s="12">
        <f>IF($A162="","",IFS($B162="Covered Call","Covered Call Premium",$B162="Cash Secured Put","Cash Secured Put Premium",$B162="Long Call/Put","Long Call/Put P/L",$B162="Debit Spread","Long Call/Put P/L",$B162="Stock Sale","Stock Sales",TRUE,"Other"))</f>
        <v/>
      </c>
      <c r="T162" s="11">
        <f>IF($A162="","",IF($B162="Cash Secured Put",$K162*$M162*100,IF($B162="Covered Call",$K162*$M162*100,IF($H162="Stock",$M162*$N162,""))))</f>
        <v/>
      </c>
      <c r="U162" s="19">
        <f>IF(OR($A162="",$C162&lt;&gt;"Closed",$D162="",$E162="",$T162=0),"",$R162/$T162*365/MAX(1,$E162-$D162))</f>
        <v/>
      </c>
      <c r="V162" s="14" t="n"/>
      <c r="W162" s="12" t="n"/>
    </row>
    <row r="163">
      <c r="A163" s="12" t="n"/>
      <c r="B163" s="14" t="n"/>
      <c r="C163" s="14" t="n"/>
      <c r="D163" s="15" t="n"/>
      <c r="E163" s="15" t="n"/>
      <c r="F163" s="16">
        <f>IF($E163="","",DATE(YEAR($E163),MONTH($E163),1))</f>
        <v/>
      </c>
      <c r="G163" s="14" t="n"/>
      <c r="H163" s="14" t="n"/>
      <c r="I163" s="14" t="n"/>
      <c r="J163" s="14" t="n"/>
      <c r="K163" s="17" t="n"/>
      <c r="L163" s="15" t="n"/>
      <c r="M163" s="14" t="n"/>
      <c r="N163" s="17" t="n"/>
      <c r="O163" s="17" t="n"/>
      <c r="P163" s="18" t="n"/>
      <c r="Q163" s="11">
        <f>IF($A163="","",IF($H163="Stock",IF($I163="Buy",-$M163*$N163-$P163,IF($I163="Sell",IF($N163="", $M163*$O163-$P163,($O163-$N163)*$M163-$P163),"")),IF($I163="Sell",($N163-IF($O163="",0,$O163))*$M163*100-$P163,IF($I163="Buy",(IF($O163="",0,$O163)-$N163)*$M163*100-$P163,""))))</f>
        <v/>
      </c>
      <c r="R163" s="11">
        <f>IF($A163="","",IF($C163="Open","",$Q163))</f>
        <v/>
      </c>
      <c r="S163" s="12">
        <f>IF($A163="","",IFS($B163="Covered Call","Covered Call Premium",$B163="Cash Secured Put","Cash Secured Put Premium",$B163="Long Call/Put","Long Call/Put P/L",$B163="Debit Spread","Long Call/Put P/L",$B163="Stock Sale","Stock Sales",TRUE,"Other"))</f>
        <v/>
      </c>
      <c r="T163" s="11">
        <f>IF($A163="","",IF($B163="Cash Secured Put",$K163*$M163*100,IF($B163="Covered Call",$K163*$M163*100,IF($H163="Stock",$M163*$N163,""))))</f>
        <v/>
      </c>
      <c r="U163" s="19">
        <f>IF(OR($A163="",$C163&lt;&gt;"Closed",$D163="",$E163="",$T163=0),"",$R163/$T163*365/MAX(1,$E163-$D163))</f>
        <v/>
      </c>
      <c r="V163" s="14" t="n"/>
      <c r="W163" s="12" t="n"/>
    </row>
    <row r="164">
      <c r="A164" s="12" t="n"/>
      <c r="B164" s="14" t="n"/>
      <c r="C164" s="14" t="n"/>
      <c r="D164" s="15" t="n"/>
      <c r="E164" s="15" t="n"/>
      <c r="F164" s="16">
        <f>IF($E164="","",DATE(YEAR($E164),MONTH($E164),1))</f>
        <v/>
      </c>
      <c r="G164" s="14" t="n"/>
      <c r="H164" s="14" t="n"/>
      <c r="I164" s="14" t="n"/>
      <c r="J164" s="14" t="n"/>
      <c r="K164" s="17" t="n"/>
      <c r="L164" s="15" t="n"/>
      <c r="M164" s="14" t="n"/>
      <c r="N164" s="17" t="n"/>
      <c r="O164" s="17" t="n"/>
      <c r="P164" s="18" t="n"/>
      <c r="Q164" s="11">
        <f>IF($A164="","",IF($H164="Stock",IF($I164="Buy",-$M164*$N164-$P164,IF($I164="Sell",IF($N164="", $M164*$O164-$P164,($O164-$N164)*$M164-$P164),"")),IF($I164="Sell",($N164-IF($O164="",0,$O164))*$M164*100-$P164,IF($I164="Buy",(IF($O164="",0,$O164)-$N164)*$M164*100-$P164,""))))</f>
        <v/>
      </c>
      <c r="R164" s="11">
        <f>IF($A164="","",IF($C164="Open","",$Q164))</f>
        <v/>
      </c>
      <c r="S164" s="12">
        <f>IF($A164="","",IFS($B164="Covered Call","Covered Call Premium",$B164="Cash Secured Put","Cash Secured Put Premium",$B164="Long Call/Put","Long Call/Put P/L",$B164="Debit Spread","Long Call/Put P/L",$B164="Stock Sale","Stock Sales",TRUE,"Other"))</f>
        <v/>
      </c>
      <c r="T164" s="11">
        <f>IF($A164="","",IF($B164="Cash Secured Put",$K164*$M164*100,IF($B164="Covered Call",$K164*$M164*100,IF($H164="Stock",$M164*$N164,""))))</f>
        <v/>
      </c>
      <c r="U164" s="19">
        <f>IF(OR($A164="",$C164&lt;&gt;"Closed",$D164="",$E164="",$T164=0),"",$R164/$T164*365/MAX(1,$E164-$D164))</f>
        <v/>
      </c>
      <c r="V164" s="14" t="n"/>
      <c r="W164" s="12" t="n"/>
    </row>
    <row r="165">
      <c r="A165" s="12" t="n"/>
      <c r="B165" s="14" t="n"/>
      <c r="C165" s="14" t="n"/>
      <c r="D165" s="15" t="n"/>
      <c r="E165" s="15" t="n"/>
      <c r="F165" s="16">
        <f>IF($E165="","",DATE(YEAR($E165),MONTH($E165),1))</f>
        <v/>
      </c>
      <c r="G165" s="14" t="n"/>
      <c r="H165" s="14" t="n"/>
      <c r="I165" s="14" t="n"/>
      <c r="J165" s="14" t="n"/>
      <c r="K165" s="17" t="n"/>
      <c r="L165" s="15" t="n"/>
      <c r="M165" s="14" t="n"/>
      <c r="N165" s="17" t="n"/>
      <c r="O165" s="17" t="n"/>
      <c r="P165" s="18" t="n"/>
      <c r="Q165" s="11">
        <f>IF($A165="","",IF($H165="Stock",IF($I165="Buy",-$M165*$N165-$P165,IF($I165="Sell",IF($N165="", $M165*$O165-$P165,($O165-$N165)*$M165-$P165),"")),IF($I165="Sell",($N165-IF($O165="",0,$O165))*$M165*100-$P165,IF($I165="Buy",(IF($O165="",0,$O165)-$N165)*$M165*100-$P165,""))))</f>
        <v/>
      </c>
      <c r="R165" s="11">
        <f>IF($A165="","",IF($C165="Open","",$Q165))</f>
        <v/>
      </c>
      <c r="S165" s="12">
        <f>IF($A165="","",IFS($B165="Covered Call","Covered Call Premium",$B165="Cash Secured Put","Cash Secured Put Premium",$B165="Long Call/Put","Long Call/Put P/L",$B165="Debit Spread","Long Call/Put P/L",$B165="Stock Sale","Stock Sales",TRUE,"Other"))</f>
        <v/>
      </c>
      <c r="T165" s="11">
        <f>IF($A165="","",IF($B165="Cash Secured Put",$K165*$M165*100,IF($B165="Covered Call",$K165*$M165*100,IF($H165="Stock",$M165*$N165,""))))</f>
        <v/>
      </c>
      <c r="U165" s="19">
        <f>IF(OR($A165="",$C165&lt;&gt;"Closed",$D165="",$E165="",$T165=0),"",$R165/$T165*365/MAX(1,$E165-$D165))</f>
        <v/>
      </c>
      <c r="V165" s="14" t="n"/>
      <c r="W165" s="12" t="n"/>
    </row>
    <row r="166">
      <c r="A166" s="12" t="n"/>
      <c r="B166" s="14" t="n"/>
      <c r="C166" s="14" t="n"/>
      <c r="D166" s="15" t="n"/>
      <c r="E166" s="15" t="n"/>
      <c r="F166" s="16">
        <f>IF($E166="","",DATE(YEAR($E166),MONTH($E166),1))</f>
        <v/>
      </c>
      <c r="G166" s="14" t="n"/>
      <c r="H166" s="14" t="n"/>
      <c r="I166" s="14" t="n"/>
      <c r="J166" s="14" t="n"/>
      <c r="K166" s="17" t="n"/>
      <c r="L166" s="15" t="n"/>
      <c r="M166" s="14" t="n"/>
      <c r="N166" s="17" t="n"/>
      <c r="O166" s="17" t="n"/>
      <c r="P166" s="18" t="n"/>
      <c r="Q166" s="11">
        <f>IF($A166="","",IF($H166="Stock",IF($I166="Buy",-$M166*$N166-$P166,IF($I166="Sell",IF($N166="", $M166*$O166-$P166,($O166-$N166)*$M166-$P166),"")),IF($I166="Sell",($N166-IF($O166="",0,$O166))*$M166*100-$P166,IF($I166="Buy",(IF($O166="",0,$O166)-$N166)*$M166*100-$P166,""))))</f>
        <v/>
      </c>
      <c r="R166" s="11">
        <f>IF($A166="","",IF($C166="Open","",$Q166))</f>
        <v/>
      </c>
      <c r="S166" s="12">
        <f>IF($A166="","",IFS($B166="Covered Call","Covered Call Premium",$B166="Cash Secured Put","Cash Secured Put Premium",$B166="Long Call/Put","Long Call/Put P/L",$B166="Debit Spread","Long Call/Put P/L",$B166="Stock Sale","Stock Sales",TRUE,"Other"))</f>
        <v/>
      </c>
      <c r="T166" s="11">
        <f>IF($A166="","",IF($B166="Cash Secured Put",$K166*$M166*100,IF($B166="Covered Call",$K166*$M166*100,IF($H166="Stock",$M166*$N166,""))))</f>
        <v/>
      </c>
      <c r="U166" s="19">
        <f>IF(OR($A166="",$C166&lt;&gt;"Closed",$D166="",$E166="",$T166=0),"",$R166/$T166*365/MAX(1,$E166-$D166))</f>
        <v/>
      </c>
      <c r="V166" s="14" t="n"/>
      <c r="W166" s="12" t="n"/>
    </row>
    <row r="167">
      <c r="A167" s="12" t="n"/>
      <c r="B167" s="14" t="n"/>
      <c r="C167" s="14" t="n"/>
      <c r="D167" s="15" t="n"/>
      <c r="E167" s="15" t="n"/>
      <c r="F167" s="16">
        <f>IF($E167="","",DATE(YEAR($E167),MONTH($E167),1))</f>
        <v/>
      </c>
      <c r="G167" s="14" t="n"/>
      <c r="H167" s="14" t="n"/>
      <c r="I167" s="14" t="n"/>
      <c r="J167" s="14" t="n"/>
      <c r="K167" s="17" t="n"/>
      <c r="L167" s="15" t="n"/>
      <c r="M167" s="14" t="n"/>
      <c r="N167" s="17" t="n"/>
      <c r="O167" s="17" t="n"/>
      <c r="P167" s="18" t="n"/>
      <c r="Q167" s="11">
        <f>IF($A167="","",IF($H167="Stock",IF($I167="Buy",-$M167*$N167-$P167,IF($I167="Sell",IF($N167="", $M167*$O167-$P167,($O167-$N167)*$M167-$P167),"")),IF($I167="Sell",($N167-IF($O167="",0,$O167))*$M167*100-$P167,IF($I167="Buy",(IF($O167="",0,$O167)-$N167)*$M167*100-$P167,""))))</f>
        <v/>
      </c>
      <c r="R167" s="11">
        <f>IF($A167="","",IF($C167="Open","",$Q167))</f>
        <v/>
      </c>
      <c r="S167" s="12">
        <f>IF($A167="","",IFS($B167="Covered Call","Covered Call Premium",$B167="Cash Secured Put","Cash Secured Put Premium",$B167="Long Call/Put","Long Call/Put P/L",$B167="Debit Spread","Long Call/Put P/L",$B167="Stock Sale","Stock Sales",TRUE,"Other"))</f>
        <v/>
      </c>
      <c r="T167" s="11">
        <f>IF($A167="","",IF($B167="Cash Secured Put",$K167*$M167*100,IF($B167="Covered Call",$K167*$M167*100,IF($H167="Stock",$M167*$N167,""))))</f>
        <v/>
      </c>
      <c r="U167" s="19">
        <f>IF(OR($A167="",$C167&lt;&gt;"Closed",$D167="",$E167="",$T167=0),"",$R167/$T167*365/MAX(1,$E167-$D167))</f>
        <v/>
      </c>
      <c r="V167" s="14" t="n"/>
      <c r="W167" s="12" t="n"/>
    </row>
    <row r="168">
      <c r="A168" s="12" t="n"/>
      <c r="B168" s="14" t="n"/>
      <c r="C168" s="14" t="n"/>
      <c r="D168" s="15" t="n"/>
      <c r="E168" s="15" t="n"/>
      <c r="F168" s="16">
        <f>IF($E168="","",DATE(YEAR($E168),MONTH($E168),1))</f>
        <v/>
      </c>
      <c r="G168" s="14" t="n"/>
      <c r="H168" s="14" t="n"/>
      <c r="I168" s="14" t="n"/>
      <c r="J168" s="14" t="n"/>
      <c r="K168" s="17" t="n"/>
      <c r="L168" s="15" t="n"/>
      <c r="M168" s="14" t="n"/>
      <c r="N168" s="17" t="n"/>
      <c r="O168" s="17" t="n"/>
      <c r="P168" s="18" t="n"/>
      <c r="Q168" s="11">
        <f>IF($A168="","",IF($H168="Stock",IF($I168="Buy",-$M168*$N168-$P168,IF($I168="Sell",IF($N168="", $M168*$O168-$P168,($O168-$N168)*$M168-$P168),"")),IF($I168="Sell",($N168-IF($O168="",0,$O168))*$M168*100-$P168,IF($I168="Buy",(IF($O168="",0,$O168)-$N168)*$M168*100-$P168,""))))</f>
        <v/>
      </c>
      <c r="R168" s="11">
        <f>IF($A168="","",IF($C168="Open","",$Q168))</f>
        <v/>
      </c>
      <c r="S168" s="12">
        <f>IF($A168="","",IFS($B168="Covered Call","Covered Call Premium",$B168="Cash Secured Put","Cash Secured Put Premium",$B168="Long Call/Put","Long Call/Put P/L",$B168="Debit Spread","Long Call/Put P/L",$B168="Stock Sale","Stock Sales",TRUE,"Other"))</f>
        <v/>
      </c>
      <c r="T168" s="11">
        <f>IF($A168="","",IF($B168="Cash Secured Put",$K168*$M168*100,IF($B168="Covered Call",$K168*$M168*100,IF($H168="Stock",$M168*$N168,""))))</f>
        <v/>
      </c>
      <c r="U168" s="19">
        <f>IF(OR($A168="",$C168&lt;&gt;"Closed",$D168="",$E168="",$T168=0),"",$R168/$T168*365/MAX(1,$E168-$D168))</f>
        <v/>
      </c>
      <c r="V168" s="14" t="n"/>
      <c r="W168" s="12" t="n"/>
    </row>
    <row r="169">
      <c r="A169" s="12" t="n"/>
      <c r="B169" s="14" t="n"/>
      <c r="C169" s="14" t="n"/>
      <c r="D169" s="15" t="n"/>
      <c r="E169" s="15" t="n"/>
      <c r="F169" s="16">
        <f>IF($E169="","",DATE(YEAR($E169),MONTH($E169),1))</f>
        <v/>
      </c>
      <c r="G169" s="14" t="n"/>
      <c r="H169" s="14" t="n"/>
      <c r="I169" s="14" t="n"/>
      <c r="J169" s="14" t="n"/>
      <c r="K169" s="17" t="n"/>
      <c r="L169" s="15" t="n"/>
      <c r="M169" s="14" t="n"/>
      <c r="N169" s="17" t="n"/>
      <c r="O169" s="17" t="n"/>
      <c r="P169" s="18" t="n"/>
      <c r="Q169" s="11">
        <f>IF($A169="","",IF($H169="Stock",IF($I169="Buy",-$M169*$N169-$P169,IF($I169="Sell",IF($N169="", $M169*$O169-$P169,($O169-$N169)*$M169-$P169),"")),IF($I169="Sell",($N169-IF($O169="",0,$O169))*$M169*100-$P169,IF($I169="Buy",(IF($O169="",0,$O169)-$N169)*$M169*100-$P169,""))))</f>
        <v/>
      </c>
      <c r="R169" s="11">
        <f>IF($A169="","",IF($C169="Open","",$Q169))</f>
        <v/>
      </c>
      <c r="S169" s="12">
        <f>IF($A169="","",IFS($B169="Covered Call","Covered Call Premium",$B169="Cash Secured Put","Cash Secured Put Premium",$B169="Long Call/Put","Long Call/Put P/L",$B169="Debit Spread","Long Call/Put P/L",$B169="Stock Sale","Stock Sales",TRUE,"Other"))</f>
        <v/>
      </c>
      <c r="T169" s="11">
        <f>IF($A169="","",IF($B169="Cash Secured Put",$K169*$M169*100,IF($B169="Covered Call",$K169*$M169*100,IF($H169="Stock",$M169*$N169,""))))</f>
        <v/>
      </c>
      <c r="U169" s="19">
        <f>IF(OR($A169="",$C169&lt;&gt;"Closed",$D169="",$E169="",$T169=0),"",$R169/$T169*365/MAX(1,$E169-$D169))</f>
        <v/>
      </c>
      <c r="V169" s="14" t="n"/>
      <c r="W169" s="12" t="n"/>
    </row>
    <row r="170">
      <c r="A170" s="12" t="n"/>
      <c r="B170" s="14" t="n"/>
      <c r="C170" s="14" t="n"/>
      <c r="D170" s="15" t="n"/>
      <c r="E170" s="15" t="n"/>
      <c r="F170" s="16">
        <f>IF($E170="","",DATE(YEAR($E170),MONTH($E170),1))</f>
        <v/>
      </c>
      <c r="G170" s="14" t="n"/>
      <c r="H170" s="14" t="n"/>
      <c r="I170" s="14" t="n"/>
      <c r="J170" s="14" t="n"/>
      <c r="K170" s="17" t="n"/>
      <c r="L170" s="15" t="n"/>
      <c r="M170" s="14" t="n"/>
      <c r="N170" s="17" t="n"/>
      <c r="O170" s="17" t="n"/>
      <c r="P170" s="18" t="n"/>
      <c r="Q170" s="11">
        <f>IF($A170="","",IF($H170="Stock",IF($I170="Buy",-$M170*$N170-$P170,IF($I170="Sell",IF($N170="", $M170*$O170-$P170,($O170-$N170)*$M170-$P170),"")),IF($I170="Sell",($N170-IF($O170="",0,$O170))*$M170*100-$P170,IF($I170="Buy",(IF($O170="",0,$O170)-$N170)*$M170*100-$P170,""))))</f>
        <v/>
      </c>
      <c r="R170" s="11">
        <f>IF($A170="","",IF($C170="Open","",$Q170))</f>
        <v/>
      </c>
      <c r="S170" s="12">
        <f>IF($A170="","",IFS($B170="Covered Call","Covered Call Premium",$B170="Cash Secured Put","Cash Secured Put Premium",$B170="Long Call/Put","Long Call/Put P/L",$B170="Debit Spread","Long Call/Put P/L",$B170="Stock Sale","Stock Sales",TRUE,"Other"))</f>
        <v/>
      </c>
      <c r="T170" s="11">
        <f>IF($A170="","",IF($B170="Cash Secured Put",$K170*$M170*100,IF($B170="Covered Call",$K170*$M170*100,IF($H170="Stock",$M170*$N170,""))))</f>
        <v/>
      </c>
      <c r="U170" s="19">
        <f>IF(OR($A170="",$C170&lt;&gt;"Closed",$D170="",$E170="",$T170=0),"",$R170/$T170*365/MAX(1,$E170-$D170))</f>
        <v/>
      </c>
      <c r="V170" s="14" t="n"/>
      <c r="W170" s="12" t="n"/>
    </row>
    <row r="171">
      <c r="A171" s="12" t="n"/>
      <c r="B171" s="14" t="n"/>
      <c r="C171" s="14" t="n"/>
      <c r="D171" s="15" t="n"/>
      <c r="E171" s="15" t="n"/>
      <c r="F171" s="16">
        <f>IF($E171="","",DATE(YEAR($E171),MONTH($E171),1))</f>
        <v/>
      </c>
      <c r="G171" s="14" t="n"/>
      <c r="H171" s="14" t="n"/>
      <c r="I171" s="14" t="n"/>
      <c r="J171" s="14" t="n"/>
      <c r="K171" s="17" t="n"/>
      <c r="L171" s="15" t="n"/>
      <c r="M171" s="14" t="n"/>
      <c r="N171" s="17" t="n"/>
      <c r="O171" s="17" t="n"/>
      <c r="P171" s="18" t="n"/>
      <c r="Q171" s="11">
        <f>IF($A171="","",IF($H171="Stock",IF($I171="Buy",-$M171*$N171-$P171,IF($I171="Sell",IF($N171="", $M171*$O171-$P171,($O171-$N171)*$M171-$P171),"")),IF($I171="Sell",($N171-IF($O171="",0,$O171))*$M171*100-$P171,IF($I171="Buy",(IF($O171="",0,$O171)-$N171)*$M171*100-$P171,""))))</f>
        <v/>
      </c>
      <c r="R171" s="11">
        <f>IF($A171="","",IF($C171="Open","",$Q171))</f>
        <v/>
      </c>
      <c r="S171" s="12">
        <f>IF($A171="","",IFS($B171="Covered Call","Covered Call Premium",$B171="Cash Secured Put","Cash Secured Put Premium",$B171="Long Call/Put","Long Call/Put P/L",$B171="Debit Spread","Long Call/Put P/L",$B171="Stock Sale","Stock Sales",TRUE,"Other"))</f>
        <v/>
      </c>
      <c r="T171" s="11">
        <f>IF($A171="","",IF($B171="Cash Secured Put",$K171*$M171*100,IF($B171="Covered Call",$K171*$M171*100,IF($H171="Stock",$M171*$N171,""))))</f>
        <v/>
      </c>
      <c r="U171" s="19">
        <f>IF(OR($A171="",$C171&lt;&gt;"Closed",$D171="",$E171="",$T171=0),"",$R171/$T171*365/MAX(1,$E171-$D171))</f>
        <v/>
      </c>
      <c r="V171" s="14" t="n"/>
      <c r="W171" s="12" t="n"/>
    </row>
    <row r="172">
      <c r="A172" s="12" t="n"/>
      <c r="B172" s="14" t="n"/>
      <c r="C172" s="14" t="n"/>
      <c r="D172" s="15" t="n"/>
      <c r="E172" s="15" t="n"/>
      <c r="F172" s="16">
        <f>IF($E172="","",DATE(YEAR($E172),MONTH($E172),1))</f>
        <v/>
      </c>
      <c r="G172" s="14" t="n"/>
      <c r="H172" s="14" t="n"/>
      <c r="I172" s="14" t="n"/>
      <c r="J172" s="14" t="n"/>
      <c r="K172" s="17" t="n"/>
      <c r="L172" s="15" t="n"/>
      <c r="M172" s="14" t="n"/>
      <c r="N172" s="17" t="n"/>
      <c r="O172" s="17" t="n"/>
      <c r="P172" s="18" t="n"/>
      <c r="Q172" s="11">
        <f>IF($A172="","",IF($H172="Stock",IF($I172="Buy",-$M172*$N172-$P172,IF($I172="Sell",IF($N172="", $M172*$O172-$P172,($O172-$N172)*$M172-$P172),"")),IF($I172="Sell",($N172-IF($O172="",0,$O172))*$M172*100-$P172,IF($I172="Buy",(IF($O172="",0,$O172)-$N172)*$M172*100-$P172,""))))</f>
        <v/>
      </c>
      <c r="R172" s="11">
        <f>IF($A172="","",IF($C172="Open","",$Q172))</f>
        <v/>
      </c>
      <c r="S172" s="12">
        <f>IF($A172="","",IFS($B172="Covered Call","Covered Call Premium",$B172="Cash Secured Put","Cash Secured Put Premium",$B172="Long Call/Put","Long Call/Put P/L",$B172="Debit Spread","Long Call/Put P/L",$B172="Stock Sale","Stock Sales",TRUE,"Other"))</f>
        <v/>
      </c>
      <c r="T172" s="11">
        <f>IF($A172="","",IF($B172="Cash Secured Put",$K172*$M172*100,IF($B172="Covered Call",$K172*$M172*100,IF($H172="Stock",$M172*$N172,""))))</f>
        <v/>
      </c>
      <c r="U172" s="19">
        <f>IF(OR($A172="",$C172&lt;&gt;"Closed",$D172="",$E172="",$T172=0),"",$R172/$T172*365/MAX(1,$E172-$D172))</f>
        <v/>
      </c>
      <c r="V172" s="14" t="n"/>
      <c r="W172" s="12" t="n"/>
    </row>
    <row r="173">
      <c r="A173" s="12" t="n"/>
      <c r="B173" s="14" t="n"/>
      <c r="C173" s="14" t="n"/>
      <c r="D173" s="15" t="n"/>
      <c r="E173" s="15" t="n"/>
      <c r="F173" s="16">
        <f>IF($E173="","",DATE(YEAR($E173),MONTH($E173),1))</f>
        <v/>
      </c>
      <c r="G173" s="14" t="n"/>
      <c r="H173" s="14" t="n"/>
      <c r="I173" s="14" t="n"/>
      <c r="J173" s="14" t="n"/>
      <c r="K173" s="17" t="n"/>
      <c r="L173" s="15" t="n"/>
      <c r="M173" s="14" t="n"/>
      <c r="N173" s="17" t="n"/>
      <c r="O173" s="17" t="n"/>
      <c r="P173" s="18" t="n"/>
      <c r="Q173" s="11">
        <f>IF($A173="","",IF($H173="Stock",IF($I173="Buy",-$M173*$N173-$P173,IF($I173="Sell",IF($N173="", $M173*$O173-$P173,($O173-$N173)*$M173-$P173),"")),IF($I173="Sell",($N173-IF($O173="",0,$O173))*$M173*100-$P173,IF($I173="Buy",(IF($O173="",0,$O173)-$N173)*$M173*100-$P173,""))))</f>
        <v/>
      </c>
      <c r="R173" s="11">
        <f>IF($A173="","",IF($C173="Open","",$Q173))</f>
        <v/>
      </c>
      <c r="S173" s="12">
        <f>IF($A173="","",IFS($B173="Covered Call","Covered Call Premium",$B173="Cash Secured Put","Cash Secured Put Premium",$B173="Long Call/Put","Long Call/Put P/L",$B173="Debit Spread","Long Call/Put P/L",$B173="Stock Sale","Stock Sales",TRUE,"Other"))</f>
        <v/>
      </c>
      <c r="T173" s="11">
        <f>IF($A173="","",IF($B173="Cash Secured Put",$K173*$M173*100,IF($B173="Covered Call",$K173*$M173*100,IF($H173="Stock",$M173*$N173,""))))</f>
        <v/>
      </c>
      <c r="U173" s="19">
        <f>IF(OR($A173="",$C173&lt;&gt;"Closed",$D173="",$E173="",$T173=0),"",$R173/$T173*365/MAX(1,$E173-$D173))</f>
        <v/>
      </c>
      <c r="V173" s="14" t="n"/>
      <c r="W173" s="12" t="n"/>
    </row>
    <row r="174">
      <c r="A174" s="12" t="n"/>
      <c r="B174" s="14" t="n"/>
      <c r="C174" s="14" t="n"/>
      <c r="D174" s="15" t="n"/>
      <c r="E174" s="15" t="n"/>
      <c r="F174" s="16">
        <f>IF($E174="","",DATE(YEAR($E174),MONTH($E174),1))</f>
        <v/>
      </c>
      <c r="G174" s="14" t="n"/>
      <c r="H174" s="14" t="n"/>
      <c r="I174" s="14" t="n"/>
      <c r="J174" s="14" t="n"/>
      <c r="K174" s="17" t="n"/>
      <c r="L174" s="15" t="n"/>
      <c r="M174" s="14" t="n"/>
      <c r="N174" s="17" t="n"/>
      <c r="O174" s="17" t="n"/>
      <c r="P174" s="18" t="n"/>
      <c r="Q174" s="11">
        <f>IF($A174="","",IF($H174="Stock",IF($I174="Buy",-$M174*$N174-$P174,IF($I174="Sell",IF($N174="", $M174*$O174-$P174,($O174-$N174)*$M174-$P174),"")),IF($I174="Sell",($N174-IF($O174="",0,$O174))*$M174*100-$P174,IF($I174="Buy",(IF($O174="",0,$O174)-$N174)*$M174*100-$P174,""))))</f>
        <v/>
      </c>
      <c r="R174" s="11">
        <f>IF($A174="","",IF($C174="Open","",$Q174))</f>
        <v/>
      </c>
      <c r="S174" s="12">
        <f>IF($A174="","",IFS($B174="Covered Call","Covered Call Premium",$B174="Cash Secured Put","Cash Secured Put Premium",$B174="Long Call/Put","Long Call/Put P/L",$B174="Debit Spread","Long Call/Put P/L",$B174="Stock Sale","Stock Sales",TRUE,"Other"))</f>
        <v/>
      </c>
      <c r="T174" s="11">
        <f>IF($A174="","",IF($B174="Cash Secured Put",$K174*$M174*100,IF($B174="Covered Call",$K174*$M174*100,IF($H174="Stock",$M174*$N174,""))))</f>
        <v/>
      </c>
      <c r="U174" s="19">
        <f>IF(OR($A174="",$C174&lt;&gt;"Closed",$D174="",$E174="",$T174=0),"",$R174/$T174*365/MAX(1,$E174-$D174))</f>
        <v/>
      </c>
      <c r="V174" s="14" t="n"/>
      <c r="W174" s="12" t="n"/>
    </row>
    <row r="175">
      <c r="A175" s="12" t="n"/>
      <c r="B175" s="14" t="n"/>
      <c r="C175" s="14" t="n"/>
      <c r="D175" s="15" t="n"/>
      <c r="E175" s="15" t="n"/>
      <c r="F175" s="16">
        <f>IF($E175="","",DATE(YEAR($E175),MONTH($E175),1))</f>
        <v/>
      </c>
      <c r="G175" s="14" t="n"/>
      <c r="H175" s="14" t="n"/>
      <c r="I175" s="14" t="n"/>
      <c r="J175" s="14" t="n"/>
      <c r="K175" s="17" t="n"/>
      <c r="L175" s="15" t="n"/>
      <c r="M175" s="14" t="n"/>
      <c r="N175" s="17" t="n"/>
      <c r="O175" s="17" t="n"/>
      <c r="P175" s="18" t="n"/>
      <c r="Q175" s="11">
        <f>IF($A175="","",IF($H175="Stock",IF($I175="Buy",-$M175*$N175-$P175,IF($I175="Sell",IF($N175="", $M175*$O175-$P175,($O175-$N175)*$M175-$P175),"")),IF($I175="Sell",($N175-IF($O175="",0,$O175))*$M175*100-$P175,IF($I175="Buy",(IF($O175="",0,$O175)-$N175)*$M175*100-$P175,""))))</f>
        <v/>
      </c>
      <c r="R175" s="11">
        <f>IF($A175="","",IF($C175="Open","",$Q175))</f>
        <v/>
      </c>
      <c r="S175" s="12">
        <f>IF($A175="","",IFS($B175="Covered Call","Covered Call Premium",$B175="Cash Secured Put","Cash Secured Put Premium",$B175="Long Call/Put","Long Call/Put P/L",$B175="Debit Spread","Long Call/Put P/L",$B175="Stock Sale","Stock Sales",TRUE,"Other"))</f>
        <v/>
      </c>
      <c r="T175" s="11">
        <f>IF($A175="","",IF($B175="Cash Secured Put",$K175*$M175*100,IF($B175="Covered Call",$K175*$M175*100,IF($H175="Stock",$M175*$N175,""))))</f>
        <v/>
      </c>
      <c r="U175" s="19">
        <f>IF(OR($A175="",$C175&lt;&gt;"Closed",$D175="",$E175="",$T175=0),"",$R175/$T175*365/MAX(1,$E175-$D175))</f>
        <v/>
      </c>
      <c r="V175" s="14" t="n"/>
      <c r="W175" s="12" t="n"/>
    </row>
    <row r="176">
      <c r="A176" s="12" t="n"/>
      <c r="B176" s="14" t="n"/>
      <c r="C176" s="14" t="n"/>
      <c r="D176" s="15" t="n"/>
      <c r="E176" s="15" t="n"/>
      <c r="F176" s="16">
        <f>IF($E176="","",DATE(YEAR($E176),MONTH($E176),1))</f>
        <v/>
      </c>
      <c r="G176" s="14" t="n"/>
      <c r="H176" s="14" t="n"/>
      <c r="I176" s="14" t="n"/>
      <c r="J176" s="14" t="n"/>
      <c r="K176" s="17" t="n"/>
      <c r="L176" s="15" t="n"/>
      <c r="M176" s="14" t="n"/>
      <c r="N176" s="17" t="n"/>
      <c r="O176" s="17" t="n"/>
      <c r="P176" s="18" t="n"/>
      <c r="Q176" s="11">
        <f>IF($A176="","",IF($H176="Stock",IF($I176="Buy",-$M176*$N176-$P176,IF($I176="Sell",IF($N176="", $M176*$O176-$P176,($O176-$N176)*$M176-$P176),"")),IF($I176="Sell",($N176-IF($O176="",0,$O176))*$M176*100-$P176,IF($I176="Buy",(IF($O176="",0,$O176)-$N176)*$M176*100-$P176,""))))</f>
        <v/>
      </c>
      <c r="R176" s="11">
        <f>IF($A176="","",IF($C176="Open","",$Q176))</f>
        <v/>
      </c>
      <c r="S176" s="12">
        <f>IF($A176="","",IFS($B176="Covered Call","Covered Call Premium",$B176="Cash Secured Put","Cash Secured Put Premium",$B176="Long Call/Put","Long Call/Put P/L",$B176="Debit Spread","Long Call/Put P/L",$B176="Stock Sale","Stock Sales",TRUE,"Other"))</f>
        <v/>
      </c>
      <c r="T176" s="11">
        <f>IF($A176="","",IF($B176="Cash Secured Put",$K176*$M176*100,IF($B176="Covered Call",$K176*$M176*100,IF($H176="Stock",$M176*$N176,""))))</f>
        <v/>
      </c>
      <c r="U176" s="19">
        <f>IF(OR($A176="",$C176&lt;&gt;"Closed",$D176="",$E176="",$T176=0),"",$R176/$T176*365/MAX(1,$E176-$D176))</f>
        <v/>
      </c>
      <c r="V176" s="14" t="n"/>
      <c r="W176" s="12" t="n"/>
    </row>
    <row r="177">
      <c r="A177" s="12" t="n"/>
      <c r="B177" s="14" t="n"/>
      <c r="C177" s="14" t="n"/>
      <c r="D177" s="15" t="n"/>
      <c r="E177" s="15" t="n"/>
      <c r="F177" s="16">
        <f>IF($E177="","",DATE(YEAR($E177),MONTH($E177),1))</f>
        <v/>
      </c>
      <c r="G177" s="14" t="n"/>
      <c r="H177" s="14" t="n"/>
      <c r="I177" s="14" t="n"/>
      <c r="J177" s="14" t="n"/>
      <c r="K177" s="17" t="n"/>
      <c r="L177" s="15" t="n"/>
      <c r="M177" s="14" t="n"/>
      <c r="N177" s="17" t="n"/>
      <c r="O177" s="17" t="n"/>
      <c r="P177" s="18" t="n"/>
      <c r="Q177" s="11">
        <f>IF($A177="","",IF($H177="Stock",IF($I177="Buy",-$M177*$N177-$P177,IF($I177="Sell",IF($N177="", $M177*$O177-$P177,($O177-$N177)*$M177-$P177),"")),IF($I177="Sell",($N177-IF($O177="",0,$O177))*$M177*100-$P177,IF($I177="Buy",(IF($O177="",0,$O177)-$N177)*$M177*100-$P177,""))))</f>
        <v/>
      </c>
      <c r="R177" s="11">
        <f>IF($A177="","",IF($C177="Open","",$Q177))</f>
        <v/>
      </c>
      <c r="S177" s="12">
        <f>IF($A177="","",IFS($B177="Covered Call","Covered Call Premium",$B177="Cash Secured Put","Cash Secured Put Premium",$B177="Long Call/Put","Long Call/Put P/L",$B177="Debit Spread","Long Call/Put P/L",$B177="Stock Sale","Stock Sales",TRUE,"Other"))</f>
        <v/>
      </c>
      <c r="T177" s="11">
        <f>IF($A177="","",IF($B177="Cash Secured Put",$K177*$M177*100,IF($B177="Covered Call",$K177*$M177*100,IF($H177="Stock",$M177*$N177,""))))</f>
        <v/>
      </c>
      <c r="U177" s="19">
        <f>IF(OR($A177="",$C177&lt;&gt;"Closed",$D177="",$E177="",$T177=0),"",$R177/$T177*365/MAX(1,$E177-$D177))</f>
        <v/>
      </c>
      <c r="V177" s="14" t="n"/>
      <c r="W177" s="12" t="n"/>
    </row>
    <row r="178">
      <c r="A178" s="12" t="n"/>
      <c r="B178" s="14" t="n"/>
      <c r="C178" s="14" t="n"/>
      <c r="D178" s="15" t="n"/>
      <c r="E178" s="15" t="n"/>
      <c r="F178" s="16">
        <f>IF($E178="","",DATE(YEAR($E178),MONTH($E178),1))</f>
        <v/>
      </c>
      <c r="G178" s="14" t="n"/>
      <c r="H178" s="14" t="n"/>
      <c r="I178" s="14" t="n"/>
      <c r="J178" s="14" t="n"/>
      <c r="K178" s="17" t="n"/>
      <c r="L178" s="15" t="n"/>
      <c r="M178" s="14" t="n"/>
      <c r="N178" s="17" t="n"/>
      <c r="O178" s="17" t="n"/>
      <c r="P178" s="18" t="n"/>
      <c r="Q178" s="11">
        <f>IF($A178="","",IF($H178="Stock",IF($I178="Buy",-$M178*$N178-$P178,IF($I178="Sell",IF($N178="", $M178*$O178-$P178,($O178-$N178)*$M178-$P178),"")),IF($I178="Sell",($N178-IF($O178="",0,$O178))*$M178*100-$P178,IF($I178="Buy",(IF($O178="",0,$O178)-$N178)*$M178*100-$P178,""))))</f>
        <v/>
      </c>
      <c r="R178" s="11">
        <f>IF($A178="","",IF($C178="Open","",$Q178))</f>
        <v/>
      </c>
      <c r="S178" s="12">
        <f>IF($A178="","",IFS($B178="Covered Call","Covered Call Premium",$B178="Cash Secured Put","Cash Secured Put Premium",$B178="Long Call/Put","Long Call/Put P/L",$B178="Debit Spread","Long Call/Put P/L",$B178="Stock Sale","Stock Sales",TRUE,"Other"))</f>
        <v/>
      </c>
      <c r="T178" s="11">
        <f>IF($A178="","",IF($B178="Cash Secured Put",$K178*$M178*100,IF($B178="Covered Call",$K178*$M178*100,IF($H178="Stock",$M178*$N178,""))))</f>
        <v/>
      </c>
      <c r="U178" s="19">
        <f>IF(OR($A178="",$C178&lt;&gt;"Closed",$D178="",$E178="",$T178=0),"",$R178/$T178*365/MAX(1,$E178-$D178))</f>
        <v/>
      </c>
      <c r="V178" s="14" t="n"/>
      <c r="W178" s="12" t="n"/>
    </row>
    <row r="179">
      <c r="A179" s="12" t="n"/>
      <c r="B179" s="14" t="n"/>
      <c r="C179" s="14" t="n"/>
      <c r="D179" s="15" t="n"/>
      <c r="E179" s="15" t="n"/>
      <c r="F179" s="16">
        <f>IF($E179="","",DATE(YEAR($E179),MONTH($E179),1))</f>
        <v/>
      </c>
      <c r="G179" s="14" t="n"/>
      <c r="H179" s="14" t="n"/>
      <c r="I179" s="14" t="n"/>
      <c r="J179" s="14" t="n"/>
      <c r="K179" s="17" t="n"/>
      <c r="L179" s="15" t="n"/>
      <c r="M179" s="14" t="n"/>
      <c r="N179" s="17" t="n"/>
      <c r="O179" s="17" t="n"/>
      <c r="P179" s="18" t="n"/>
      <c r="Q179" s="11">
        <f>IF($A179="","",IF($H179="Stock",IF($I179="Buy",-$M179*$N179-$P179,IF($I179="Sell",IF($N179="", $M179*$O179-$P179,($O179-$N179)*$M179-$P179),"")),IF($I179="Sell",($N179-IF($O179="",0,$O179))*$M179*100-$P179,IF($I179="Buy",(IF($O179="",0,$O179)-$N179)*$M179*100-$P179,""))))</f>
        <v/>
      </c>
      <c r="R179" s="11">
        <f>IF($A179="","",IF($C179="Open","",$Q179))</f>
        <v/>
      </c>
      <c r="S179" s="12">
        <f>IF($A179="","",IFS($B179="Covered Call","Covered Call Premium",$B179="Cash Secured Put","Cash Secured Put Premium",$B179="Long Call/Put","Long Call/Put P/L",$B179="Debit Spread","Long Call/Put P/L",$B179="Stock Sale","Stock Sales",TRUE,"Other"))</f>
        <v/>
      </c>
      <c r="T179" s="11">
        <f>IF($A179="","",IF($B179="Cash Secured Put",$K179*$M179*100,IF($B179="Covered Call",$K179*$M179*100,IF($H179="Stock",$M179*$N179,""))))</f>
        <v/>
      </c>
      <c r="U179" s="19">
        <f>IF(OR($A179="",$C179&lt;&gt;"Closed",$D179="",$E179="",$T179=0),"",$R179/$T179*365/MAX(1,$E179-$D179))</f>
        <v/>
      </c>
      <c r="V179" s="14" t="n"/>
      <c r="W179" s="12" t="n"/>
    </row>
    <row r="180">
      <c r="A180" s="12" t="n"/>
      <c r="B180" s="14" t="n"/>
      <c r="C180" s="14" t="n"/>
      <c r="D180" s="15" t="n"/>
      <c r="E180" s="15" t="n"/>
      <c r="F180" s="16">
        <f>IF($E180="","",DATE(YEAR($E180),MONTH($E180),1))</f>
        <v/>
      </c>
      <c r="G180" s="14" t="n"/>
      <c r="H180" s="14" t="n"/>
      <c r="I180" s="14" t="n"/>
      <c r="J180" s="14" t="n"/>
      <c r="K180" s="17" t="n"/>
      <c r="L180" s="15" t="n"/>
      <c r="M180" s="14" t="n"/>
      <c r="N180" s="17" t="n"/>
      <c r="O180" s="17" t="n"/>
      <c r="P180" s="18" t="n"/>
      <c r="Q180" s="11">
        <f>IF($A180="","",IF($H180="Stock",IF($I180="Buy",-$M180*$N180-$P180,IF($I180="Sell",IF($N180="", $M180*$O180-$P180,($O180-$N180)*$M180-$P180),"")),IF($I180="Sell",($N180-IF($O180="",0,$O180))*$M180*100-$P180,IF($I180="Buy",(IF($O180="",0,$O180)-$N180)*$M180*100-$P180,""))))</f>
        <v/>
      </c>
      <c r="R180" s="11">
        <f>IF($A180="","",IF($C180="Open","",$Q180))</f>
        <v/>
      </c>
      <c r="S180" s="12">
        <f>IF($A180="","",IFS($B180="Covered Call","Covered Call Premium",$B180="Cash Secured Put","Cash Secured Put Premium",$B180="Long Call/Put","Long Call/Put P/L",$B180="Debit Spread","Long Call/Put P/L",$B180="Stock Sale","Stock Sales",TRUE,"Other"))</f>
        <v/>
      </c>
      <c r="T180" s="11">
        <f>IF($A180="","",IF($B180="Cash Secured Put",$K180*$M180*100,IF($B180="Covered Call",$K180*$M180*100,IF($H180="Stock",$M180*$N180,""))))</f>
        <v/>
      </c>
      <c r="U180" s="19">
        <f>IF(OR($A180="",$C180&lt;&gt;"Closed",$D180="",$E180="",$T180=0),"",$R180/$T180*365/MAX(1,$E180-$D180))</f>
        <v/>
      </c>
      <c r="V180" s="14" t="n"/>
      <c r="W180" s="12" t="n"/>
    </row>
    <row r="181">
      <c r="A181" s="12" t="n"/>
      <c r="B181" s="14" t="n"/>
      <c r="C181" s="14" t="n"/>
      <c r="D181" s="15" t="n"/>
      <c r="E181" s="15" t="n"/>
      <c r="F181" s="16">
        <f>IF($E181="","",DATE(YEAR($E181),MONTH($E181),1))</f>
        <v/>
      </c>
      <c r="G181" s="14" t="n"/>
      <c r="H181" s="14" t="n"/>
      <c r="I181" s="14" t="n"/>
      <c r="J181" s="14" t="n"/>
      <c r="K181" s="17" t="n"/>
      <c r="L181" s="15" t="n"/>
      <c r="M181" s="14" t="n"/>
      <c r="N181" s="17" t="n"/>
      <c r="O181" s="17" t="n"/>
      <c r="P181" s="18" t="n"/>
      <c r="Q181" s="11">
        <f>IF($A181="","",IF($H181="Stock",IF($I181="Buy",-$M181*$N181-$P181,IF($I181="Sell",IF($N181="", $M181*$O181-$P181,($O181-$N181)*$M181-$P181),"")),IF($I181="Sell",($N181-IF($O181="",0,$O181))*$M181*100-$P181,IF($I181="Buy",(IF($O181="",0,$O181)-$N181)*$M181*100-$P181,""))))</f>
        <v/>
      </c>
      <c r="R181" s="11">
        <f>IF($A181="","",IF($C181="Open","",$Q181))</f>
        <v/>
      </c>
      <c r="S181" s="12">
        <f>IF($A181="","",IFS($B181="Covered Call","Covered Call Premium",$B181="Cash Secured Put","Cash Secured Put Premium",$B181="Long Call/Put","Long Call/Put P/L",$B181="Debit Spread","Long Call/Put P/L",$B181="Stock Sale","Stock Sales",TRUE,"Other"))</f>
        <v/>
      </c>
      <c r="T181" s="11">
        <f>IF($A181="","",IF($B181="Cash Secured Put",$K181*$M181*100,IF($B181="Covered Call",$K181*$M181*100,IF($H181="Stock",$M181*$N181,""))))</f>
        <v/>
      </c>
      <c r="U181" s="19">
        <f>IF(OR($A181="",$C181&lt;&gt;"Closed",$D181="",$E181="",$T181=0),"",$R181/$T181*365/MAX(1,$E181-$D181))</f>
        <v/>
      </c>
      <c r="V181" s="14" t="n"/>
      <c r="W181" s="12" t="n"/>
    </row>
    <row r="182">
      <c r="A182" s="12" t="n"/>
      <c r="B182" s="14" t="n"/>
      <c r="C182" s="14" t="n"/>
      <c r="D182" s="15" t="n"/>
      <c r="E182" s="15" t="n"/>
      <c r="F182" s="16">
        <f>IF($E182="","",DATE(YEAR($E182),MONTH($E182),1))</f>
        <v/>
      </c>
      <c r="G182" s="14" t="n"/>
      <c r="H182" s="14" t="n"/>
      <c r="I182" s="14" t="n"/>
      <c r="J182" s="14" t="n"/>
      <c r="K182" s="17" t="n"/>
      <c r="L182" s="15" t="n"/>
      <c r="M182" s="14" t="n"/>
      <c r="N182" s="17" t="n"/>
      <c r="O182" s="17" t="n"/>
      <c r="P182" s="18" t="n"/>
      <c r="Q182" s="11">
        <f>IF($A182="","",IF($H182="Stock",IF($I182="Buy",-$M182*$N182-$P182,IF($I182="Sell",IF($N182="", $M182*$O182-$P182,($O182-$N182)*$M182-$P182),"")),IF($I182="Sell",($N182-IF($O182="",0,$O182))*$M182*100-$P182,IF($I182="Buy",(IF($O182="",0,$O182)-$N182)*$M182*100-$P182,""))))</f>
        <v/>
      </c>
      <c r="R182" s="11">
        <f>IF($A182="","",IF($C182="Open","",$Q182))</f>
        <v/>
      </c>
      <c r="S182" s="12">
        <f>IF($A182="","",IFS($B182="Covered Call","Covered Call Premium",$B182="Cash Secured Put","Cash Secured Put Premium",$B182="Long Call/Put","Long Call/Put P/L",$B182="Debit Spread","Long Call/Put P/L",$B182="Stock Sale","Stock Sales",TRUE,"Other"))</f>
        <v/>
      </c>
      <c r="T182" s="11">
        <f>IF($A182="","",IF($B182="Cash Secured Put",$K182*$M182*100,IF($B182="Covered Call",$K182*$M182*100,IF($H182="Stock",$M182*$N182,""))))</f>
        <v/>
      </c>
      <c r="U182" s="19">
        <f>IF(OR($A182="",$C182&lt;&gt;"Closed",$D182="",$E182="",$T182=0),"",$R182/$T182*365/MAX(1,$E182-$D182))</f>
        <v/>
      </c>
      <c r="V182" s="14" t="n"/>
      <c r="W182" s="12" t="n"/>
    </row>
    <row r="183">
      <c r="A183" s="12" t="n"/>
      <c r="B183" s="14" t="n"/>
      <c r="C183" s="14" t="n"/>
      <c r="D183" s="15" t="n"/>
      <c r="E183" s="15" t="n"/>
      <c r="F183" s="16">
        <f>IF($E183="","",DATE(YEAR($E183),MONTH($E183),1))</f>
        <v/>
      </c>
      <c r="G183" s="14" t="n"/>
      <c r="H183" s="14" t="n"/>
      <c r="I183" s="14" t="n"/>
      <c r="J183" s="14" t="n"/>
      <c r="K183" s="17" t="n"/>
      <c r="L183" s="15" t="n"/>
      <c r="M183" s="14" t="n"/>
      <c r="N183" s="17" t="n"/>
      <c r="O183" s="17" t="n"/>
      <c r="P183" s="18" t="n"/>
      <c r="Q183" s="11">
        <f>IF($A183="","",IF($H183="Stock",IF($I183="Buy",-$M183*$N183-$P183,IF($I183="Sell",IF($N183="", $M183*$O183-$P183,($O183-$N183)*$M183-$P183),"")),IF($I183="Sell",($N183-IF($O183="",0,$O183))*$M183*100-$P183,IF($I183="Buy",(IF($O183="",0,$O183)-$N183)*$M183*100-$P183,""))))</f>
        <v/>
      </c>
      <c r="R183" s="11">
        <f>IF($A183="","",IF($C183="Open","",$Q183))</f>
        <v/>
      </c>
      <c r="S183" s="12">
        <f>IF($A183="","",IFS($B183="Covered Call","Covered Call Premium",$B183="Cash Secured Put","Cash Secured Put Premium",$B183="Long Call/Put","Long Call/Put P/L",$B183="Debit Spread","Long Call/Put P/L",$B183="Stock Sale","Stock Sales",TRUE,"Other"))</f>
        <v/>
      </c>
      <c r="T183" s="11">
        <f>IF($A183="","",IF($B183="Cash Secured Put",$K183*$M183*100,IF($B183="Covered Call",$K183*$M183*100,IF($H183="Stock",$M183*$N183,""))))</f>
        <v/>
      </c>
      <c r="U183" s="19">
        <f>IF(OR($A183="",$C183&lt;&gt;"Closed",$D183="",$E183="",$T183=0),"",$R183/$T183*365/MAX(1,$E183-$D183))</f>
        <v/>
      </c>
      <c r="V183" s="14" t="n"/>
      <c r="W183" s="12" t="n"/>
    </row>
    <row r="184">
      <c r="A184" s="12" t="n"/>
      <c r="B184" s="14" t="n"/>
      <c r="C184" s="14" t="n"/>
      <c r="D184" s="15" t="n"/>
      <c r="E184" s="15" t="n"/>
      <c r="F184" s="16">
        <f>IF($E184="","",DATE(YEAR($E184),MONTH($E184),1))</f>
        <v/>
      </c>
      <c r="G184" s="14" t="n"/>
      <c r="H184" s="14" t="n"/>
      <c r="I184" s="14" t="n"/>
      <c r="J184" s="14" t="n"/>
      <c r="K184" s="17" t="n"/>
      <c r="L184" s="15" t="n"/>
      <c r="M184" s="14" t="n"/>
      <c r="N184" s="17" t="n"/>
      <c r="O184" s="17" t="n"/>
      <c r="P184" s="18" t="n"/>
      <c r="Q184" s="11">
        <f>IF($A184="","",IF($H184="Stock",IF($I184="Buy",-$M184*$N184-$P184,IF($I184="Sell",IF($N184="", $M184*$O184-$P184,($O184-$N184)*$M184-$P184),"")),IF($I184="Sell",($N184-IF($O184="",0,$O184))*$M184*100-$P184,IF($I184="Buy",(IF($O184="",0,$O184)-$N184)*$M184*100-$P184,""))))</f>
        <v/>
      </c>
      <c r="R184" s="11">
        <f>IF($A184="","",IF($C184="Open","",$Q184))</f>
        <v/>
      </c>
      <c r="S184" s="12">
        <f>IF($A184="","",IFS($B184="Covered Call","Covered Call Premium",$B184="Cash Secured Put","Cash Secured Put Premium",$B184="Long Call/Put","Long Call/Put P/L",$B184="Debit Spread","Long Call/Put P/L",$B184="Stock Sale","Stock Sales",TRUE,"Other"))</f>
        <v/>
      </c>
      <c r="T184" s="11">
        <f>IF($A184="","",IF($B184="Cash Secured Put",$K184*$M184*100,IF($B184="Covered Call",$K184*$M184*100,IF($H184="Stock",$M184*$N184,""))))</f>
        <v/>
      </c>
      <c r="U184" s="19">
        <f>IF(OR($A184="",$C184&lt;&gt;"Closed",$D184="",$E184="",$T184=0),"",$R184/$T184*365/MAX(1,$E184-$D184))</f>
        <v/>
      </c>
      <c r="V184" s="14" t="n"/>
      <c r="W184" s="12" t="n"/>
    </row>
    <row r="185">
      <c r="A185" s="12" t="n"/>
      <c r="B185" s="14" t="n"/>
      <c r="C185" s="14" t="n"/>
      <c r="D185" s="15" t="n"/>
      <c r="E185" s="15" t="n"/>
      <c r="F185" s="16">
        <f>IF($E185="","",DATE(YEAR($E185),MONTH($E185),1))</f>
        <v/>
      </c>
      <c r="G185" s="14" t="n"/>
      <c r="H185" s="14" t="n"/>
      <c r="I185" s="14" t="n"/>
      <c r="J185" s="14" t="n"/>
      <c r="K185" s="17" t="n"/>
      <c r="L185" s="15" t="n"/>
      <c r="M185" s="14" t="n"/>
      <c r="N185" s="17" t="n"/>
      <c r="O185" s="17" t="n"/>
      <c r="P185" s="18" t="n"/>
      <c r="Q185" s="11">
        <f>IF($A185="","",IF($H185="Stock",IF($I185="Buy",-$M185*$N185-$P185,IF($I185="Sell",IF($N185="", $M185*$O185-$P185,($O185-$N185)*$M185-$P185),"")),IF($I185="Sell",($N185-IF($O185="",0,$O185))*$M185*100-$P185,IF($I185="Buy",(IF($O185="",0,$O185)-$N185)*$M185*100-$P185,""))))</f>
        <v/>
      </c>
      <c r="R185" s="11">
        <f>IF($A185="","",IF($C185="Open","",$Q185))</f>
        <v/>
      </c>
      <c r="S185" s="12">
        <f>IF($A185="","",IFS($B185="Covered Call","Covered Call Premium",$B185="Cash Secured Put","Cash Secured Put Premium",$B185="Long Call/Put","Long Call/Put P/L",$B185="Debit Spread","Long Call/Put P/L",$B185="Stock Sale","Stock Sales",TRUE,"Other"))</f>
        <v/>
      </c>
      <c r="T185" s="11">
        <f>IF($A185="","",IF($B185="Cash Secured Put",$K185*$M185*100,IF($B185="Covered Call",$K185*$M185*100,IF($H185="Stock",$M185*$N185,""))))</f>
        <v/>
      </c>
      <c r="U185" s="19">
        <f>IF(OR($A185="",$C185&lt;&gt;"Closed",$D185="",$E185="",$T185=0),"",$R185/$T185*365/MAX(1,$E185-$D185))</f>
        <v/>
      </c>
      <c r="V185" s="14" t="n"/>
      <c r="W185" s="12" t="n"/>
    </row>
    <row r="186">
      <c r="A186" s="12" t="n"/>
      <c r="B186" s="14" t="n"/>
      <c r="C186" s="14" t="n"/>
      <c r="D186" s="15" t="n"/>
      <c r="E186" s="15" t="n"/>
      <c r="F186" s="16">
        <f>IF($E186="","",DATE(YEAR($E186),MONTH($E186),1))</f>
        <v/>
      </c>
      <c r="G186" s="14" t="n"/>
      <c r="H186" s="14" t="n"/>
      <c r="I186" s="14" t="n"/>
      <c r="J186" s="14" t="n"/>
      <c r="K186" s="17" t="n"/>
      <c r="L186" s="15" t="n"/>
      <c r="M186" s="14" t="n"/>
      <c r="N186" s="17" t="n"/>
      <c r="O186" s="17" t="n"/>
      <c r="P186" s="18" t="n"/>
      <c r="Q186" s="11">
        <f>IF($A186="","",IF($H186="Stock",IF($I186="Buy",-$M186*$N186-$P186,IF($I186="Sell",IF($N186="", $M186*$O186-$P186,($O186-$N186)*$M186-$P186),"")),IF($I186="Sell",($N186-IF($O186="",0,$O186))*$M186*100-$P186,IF($I186="Buy",(IF($O186="",0,$O186)-$N186)*$M186*100-$P186,""))))</f>
        <v/>
      </c>
      <c r="R186" s="11">
        <f>IF($A186="","",IF($C186="Open","",$Q186))</f>
        <v/>
      </c>
      <c r="S186" s="12">
        <f>IF($A186="","",IFS($B186="Covered Call","Covered Call Premium",$B186="Cash Secured Put","Cash Secured Put Premium",$B186="Long Call/Put","Long Call/Put P/L",$B186="Debit Spread","Long Call/Put P/L",$B186="Stock Sale","Stock Sales",TRUE,"Other"))</f>
        <v/>
      </c>
      <c r="T186" s="11">
        <f>IF($A186="","",IF($B186="Cash Secured Put",$K186*$M186*100,IF($B186="Covered Call",$K186*$M186*100,IF($H186="Stock",$M186*$N186,""))))</f>
        <v/>
      </c>
      <c r="U186" s="19">
        <f>IF(OR($A186="",$C186&lt;&gt;"Closed",$D186="",$E186="",$T186=0),"",$R186/$T186*365/MAX(1,$E186-$D186))</f>
        <v/>
      </c>
      <c r="V186" s="14" t="n"/>
      <c r="W186" s="12" t="n"/>
    </row>
    <row r="187">
      <c r="A187" s="12" t="n"/>
      <c r="B187" s="14" t="n"/>
      <c r="C187" s="14" t="n"/>
      <c r="D187" s="15" t="n"/>
      <c r="E187" s="15" t="n"/>
      <c r="F187" s="16">
        <f>IF($E187="","",DATE(YEAR($E187),MONTH($E187),1))</f>
        <v/>
      </c>
      <c r="G187" s="14" t="n"/>
      <c r="H187" s="14" t="n"/>
      <c r="I187" s="14" t="n"/>
      <c r="J187" s="14" t="n"/>
      <c r="K187" s="17" t="n"/>
      <c r="L187" s="15" t="n"/>
      <c r="M187" s="14" t="n"/>
      <c r="N187" s="17" t="n"/>
      <c r="O187" s="17" t="n"/>
      <c r="P187" s="18" t="n"/>
      <c r="Q187" s="11">
        <f>IF($A187="","",IF($H187="Stock",IF($I187="Buy",-$M187*$N187-$P187,IF($I187="Sell",IF($N187="", $M187*$O187-$P187,($O187-$N187)*$M187-$P187),"")),IF($I187="Sell",($N187-IF($O187="",0,$O187))*$M187*100-$P187,IF($I187="Buy",(IF($O187="",0,$O187)-$N187)*$M187*100-$P187,""))))</f>
        <v/>
      </c>
      <c r="R187" s="11">
        <f>IF($A187="","",IF($C187="Open","",$Q187))</f>
        <v/>
      </c>
      <c r="S187" s="12">
        <f>IF($A187="","",IFS($B187="Covered Call","Covered Call Premium",$B187="Cash Secured Put","Cash Secured Put Premium",$B187="Long Call/Put","Long Call/Put P/L",$B187="Debit Spread","Long Call/Put P/L",$B187="Stock Sale","Stock Sales",TRUE,"Other"))</f>
        <v/>
      </c>
      <c r="T187" s="11">
        <f>IF($A187="","",IF($B187="Cash Secured Put",$K187*$M187*100,IF($B187="Covered Call",$K187*$M187*100,IF($H187="Stock",$M187*$N187,""))))</f>
        <v/>
      </c>
      <c r="U187" s="19">
        <f>IF(OR($A187="",$C187&lt;&gt;"Closed",$D187="",$E187="",$T187=0),"",$R187/$T187*365/MAX(1,$E187-$D187))</f>
        <v/>
      </c>
      <c r="V187" s="14" t="n"/>
      <c r="W187" s="12" t="n"/>
    </row>
    <row r="188">
      <c r="A188" s="12" t="n"/>
      <c r="B188" s="14" t="n"/>
      <c r="C188" s="14" t="n"/>
      <c r="D188" s="15" t="n"/>
      <c r="E188" s="15" t="n"/>
      <c r="F188" s="16">
        <f>IF($E188="","",DATE(YEAR($E188),MONTH($E188),1))</f>
        <v/>
      </c>
      <c r="G188" s="14" t="n"/>
      <c r="H188" s="14" t="n"/>
      <c r="I188" s="14" t="n"/>
      <c r="J188" s="14" t="n"/>
      <c r="K188" s="17" t="n"/>
      <c r="L188" s="15" t="n"/>
      <c r="M188" s="14" t="n"/>
      <c r="N188" s="17" t="n"/>
      <c r="O188" s="17" t="n"/>
      <c r="P188" s="18" t="n"/>
      <c r="Q188" s="11">
        <f>IF($A188="","",IF($H188="Stock",IF($I188="Buy",-$M188*$N188-$P188,IF($I188="Sell",IF($N188="", $M188*$O188-$P188,($O188-$N188)*$M188-$P188),"")),IF($I188="Sell",($N188-IF($O188="",0,$O188))*$M188*100-$P188,IF($I188="Buy",(IF($O188="",0,$O188)-$N188)*$M188*100-$P188,""))))</f>
        <v/>
      </c>
      <c r="R188" s="11">
        <f>IF($A188="","",IF($C188="Open","",$Q188))</f>
        <v/>
      </c>
      <c r="S188" s="12">
        <f>IF($A188="","",IFS($B188="Covered Call","Covered Call Premium",$B188="Cash Secured Put","Cash Secured Put Premium",$B188="Long Call/Put","Long Call/Put P/L",$B188="Debit Spread","Long Call/Put P/L",$B188="Stock Sale","Stock Sales",TRUE,"Other"))</f>
        <v/>
      </c>
      <c r="T188" s="11">
        <f>IF($A188="","",IF($B188="Cash Secured Put",$K188*$M188*100,IF($B188="Covered Call",$K188*$M188*100,IF($H188="Stock",$M188*$N188,""))))</f>
        <v/>
      </c>
      <c r="U188" s="19">
        <f>IF(OR($A188="",$C188&lt;&gt;"Closed",$D188="",$E188="",$T188=0),"",$R188/$T188*365/MAX(1,$E188-$D188))</f>
        <v/>
      </c>
      <c r="V188" s="14" t="n"/>
      <c r="W188" s="12" t="n"/>
    </row>
    <row r="189">
      <c r="A189" s="12" t="n"/>
      <c r="B189" s="14" t="n"/>
      <c r="C189" s="14" t="n"/>
      <c r="D189" s="15" t="n"/>
      <c r="E189" s="15" t="n"/>
      <c r="F189" s="16">
        <f>IF($E189="","",DATE(YEAR($E189),MONTH($E189),1))</f>
        <v/>
      </c>
      <c r="G189" s="14" t="n"/>
      <c r="H189" s="14" t="n"/>
      <c r="I189" s="14" t="n"/>
      <c r="J189" s="14" t="n"/>
      <c r="K189" s="17" t="n"/>
      <c r="L189" s="15" t="n"/>
      <c r="M189" s="14" t="n"/>
      <c r="N189" s="17" t="n"/>
      <c r="O189" s="17" t="n"/>
      <c r="P189" s="18" t="n"/>
      <c r="Q189" s="11">
        <f>IF($A189="","",IF($H189="Stock",IF($I189="Buy",-$M189*$N189-$P189,IF($I189="Sell",IF($N189="", $M189*$O189-$P189,($O189-$N189)*$M189-$P189),"")),IF($I189="Sell",($N189-IF($O189="",0,$O189))*$M189*100-$P189,IF($I189="Buy",(IF($O189="",0,$O189)-$N189)*$M189*100-$P189,""))))</f>
        <v/>
      </c>
      <c r="R189" s="11">
        <f>IF($A189="","",IF($C189="Open","",$Q189))</f>
        <v/>
      </c>
      <c r="S189" s="12">
        <f>IF($A189="","",IFS($B189="Covered Call","Covered Call Premium",$B189="Cash Secured Put","Cash Secured Put Premium",$B189="Long Call/Put","Long Call/Put P/L",$B189="Debit Spread","Long Call/Put P/L",$B189="Stock Sale","Stock Sales",TRUE,"Other"))</f>
        <v/>
      </c>
      <c r="T189" s="11">
        <f>IF($A189="","",IF($B189="Cash Secured Put",$K189*$M189*100,IF($B189="Covered Call",$K189*$M189*100,IF($H189="Stock",$M189*$N189,""))))</f>
        <v/>
      </c>
      <c r="U189" s="19">
        <f>IF(OR($A189="",$C189&lt;&gt;"Closed",$D189="",$E189="",$T189=0),"",$R189/$T189*365/MAX(1,$E189-$D189))</f>
        <v/>
      </c>
      <c r="V189" s="14" t="n"/>
      <c r="W189" s="12" t="n"/>
    </row>
    <row r="190">
      <c r="A190" s="12" t="n"/>
      <c r="B190" s="14" t="n"/>
      <c r="C190" s="14" t="n"/>
      <c r="D190" s="15" t="n"/>
      <c r="E190" s="15" t="n"/>
      <c r="F190" s="16">
        <f>IF($E190="","",DATE(YEAR($E190),MONTH($E190),1))</f>
        <v/>
      </c>
      <c r="G190" s="14" t="n"/>
      <c r="H190" s="14" t="n"/>
      <c r="I190" s="14" t="n"/>
      <c r="J190" s="14" t="n"/>
      <c r="K190" s="17" t="n"/>
      <c r="L190" s="15" t="n"/>
      <c r="M190" s="14" t="n"/>
      <c r="N190" s="17" t="n"/>
      <c r="O190" s="17" t="n"/>
      <c r="P190" s="18" t="n"/>
      <c r="Q190" s="11">
        <f>IF($A190="","",IF($H190="Stock",IF($I190="Buy",-$M190*$N190-$P190,IF($I190="Sell",IF($N190="", $M190*$O190-$P190,($O190-$N190)*$M190-$P190),"")),IF($I190="Sell",($N190-IF($O190="",0,$O190))*$M190*100-$P190,IF($I190="Buy",(IF($O190="",0,$O190)-$N190)*$M190*100-$P190,""))))</f>
        <v/>
      </c>
      <c r="R190" s="11">
        <f>IF($A190="","",IF($C190="Open","",$Q190))</f>
        <v/>
      </c>
      <c r="S190" s="12">
        <f>IF($A190="","",IFS($B190="Covered Call","Covered Call Premium",$B190="Cash Secured Put","Cash Secured Put Premium",$B190="Long Call/Put","Long Call/Put P/L",$B190="Debit Spread","Long Call/Put P/L",$B190="Stock Sale","Stock Sales",TRUE,"Other"))</f>
        <v/>
      </c>
      <c r="T190" s="11">
        <f>IF($A190="","",IF($B190="Cash Secured Put",$K190*$M190*100,IF($B190="Covered Call",$K190*$M190*100,IF($H190="Stock",$M190*$N190,""))))</f>
        <v/>
      </c>
      <c r="U190" s="19">
        <f>IF(OR($A190="",$C190&lt;&gt;"Closed",$D190="",$E190="",$T190=0),"",$R190/$T190*365/MAX(1,$E190-$D190))</f>
        <v/>
      </c>
      <c r="V190" s="14" t="n"/>
      <c r="W190" s="12" t="n"/>
    </row>
    <row r="191">
      <c r="A191" s="12" t="n"/>
      <c r="B191" s="14" t="n"/>
      <c r="C191" s="14" t="n"/>
      <c r="D191" s="15" t="n"/>
      <c r="E191" s="15" t="n"/>
      <c r="F191" s="16">
        <f>IF($E191="","",DATE(YEAR($E191),MONTH($E191),1))</f>
        <v/>
      </c>
      <c r="G191" s="14" t="n"/>
      <c r="H191" s="14" t="n"/>
      <c r="I191" s="14" t="n"/>
      <c r="J191" s="14" t="n"/>
      <c r="K191" s="17" t="n"/>
      <c r="L191" s="15" t="n"/>
      <c r="M191" s="14" t="n"/>
      <c r="N191" s="17" t="n"/>
      <c r="O191" s="17" t="n"/>
      <c r="P191" s="18" t="n"/>
      <c r="Q191" s="11">
        <f>IF($A191="","",IF($H191="Stock",IF($I191="Buy",-$M191*$N191-$P191,IF($I191="Sell",IF($N191="", $M191*$O191-$P191,($O191-$N191)*$M191-$P191),"")),IF($I191="Sell",($N191-IF($O191="",0,$O191))*$M191*100-$P191,IF($I191="Buy",(IF($O191="",0,$O191)-$N191)*$M191*100-$P191,""))))</f>
        <v/>
      </c>
      <c r="R191" s="11">
        <f>IF($A191="","",IF($C191="Open","",$Q191))</f>
        <v/>
      </c>
      <c r="S191" s="12">
        <f>IF($A191="","",IFS($B191="Covered Call","Covered Call Premium",$B191="Cash Secured Put","Cash Secured Put Premium",$B191="Long Call/Put","Long Call/Put P/L",$B191="Debit Spread","Long Call/Put P/L",$B191="Stock Sale","Stock Sales",TRUE,"Other"))</f>
        <v/>
      </c>
      <c r="T191" s="11">
        <f>IF($A191="","",IF($B191="Cash Secured Put",$K191*$M191*100,IF($B191="Covered Call",$K191*$M191*100,IF($H191="Stock",$M191*$N191,""))))</f>
        <v/>
      </c>
      <c r="U191" s="19">
        <f>IF(OR($A191="",$C191&lt;&gt;"Closed",$D191="",$E191="",$T191=0),"",$R191/$T191*365/MAX(1,$E191-$D191))</f>
        <v/>
      </c>
      <c r="V191" s="14" t="n"/>
      <c r="W191" s="12" t="n"/>
    </row>
    <row r="192">
      <c r="A192" s="12" t="n"/>
      <c r="B192" s="14" t="n"/>
      <c r="C192" s="14" t="n"/>
      <c r="D192" s="15" t="n"/>
      <c r="E192" s="15" t="n"/>
      <c r="F192" s="16">
        <f>IF($E192="","",DATE(YEAR($E192),MONTH($E192),1))</f>
        <v/>
      </c>
      <c r="G192" s="14" t="n"/>
      <c r="H192" s="14" t="n"/>
      <c r="I192" s="14" t="n"/>
      <c r="J192" s="14" t="n"/>
      <c r="K192" s="17" t="n"/>
      <c r="L192" s="15" t="n"/>
      <c r="M192" s="14" t="n"/>
      <c r="N192" s="17" t="n"/>
      <c r="O192" s="17" t="n"/>
      <c r="P192" s="18" t="n"/>
      <c r="Q192" s="11">
        <f>IF($A192="","",IF($H192="Stock",IF($I192="Buy",-$M192*$N192-$P192,IF($I192="Sell",IF($N192="", $M192*$O192-$P192,($O192-$N192)*$M192-$P192),"")),IF($I192="Sell",($N192-IF($O192="",0,$O192))*$M192*100-$P192,IF($I192="Buy",(IF($O192="",0,$O192)-$N192)*$M192*100-$P192,""))))</f>
        <v/>
      </c>
      <c r="R192" s="11">
        <f>IF($A192="","",IF($C192="Open","",$Q192))</f>
        <v/>
      </c>
      <c r="S192" s="12">
        <f>IF($A192="","",IFS($B192="Covered Call","Covered Call Premium",$B192="Cash Secured Put","Cash Secured Put Premium",$B192="Long Call/Put","Long Call/Put P/L",$B192="Debit Spread","Long Call/Put P/L",$B192="Stock Sale","Stock Sales",TRUE,"Other"))</f>
        <v/>
      </c>
      <c r="T192" s="11">
        <f>IF($A192="","",IF($B192="Cash Secured Put",$K192*$M192*100,IF($B192="Covered Call",$K192*$M192*100,IF($H192="Stock",$M192*$N192,""))))</f>
        <v/>
      </c>
      <c r="U192" s="19">
        <f>IF(OR($A192="",$C192&lt;&gt;"Closed",$D192="",$E192="",$T192=0),"",$R192/$T192*365/MAX(1,$E192-$D192))</f>
        <v/>
      </c>
      <c r="V192" s="14" t="n"/>
      <c r="W192" s="12" t="n"/>
    </row>
    <row r="193">
      <c r="A193" s="12" t="n"/>
      <c r="B193" s="14" t="n"/>
      <c r="C193" s="14" t="n"/>
      <c r="D193" s="15" t="n"/>
      <c r="E193" s="15" t="n"/>
      <c r="F193" s="16">
        <f>IF($E193="","",DATE(YEAR($E193),MONTH($E193),1))</f>
        <v/>
      </c>
      <c r="G193" s="14" t="n"/>
      <c r="H193" s="14" t="n"/>
      <c r="I193" s="14" t="n"/>
      <c r="J193" s="14" t="n"/>
      <c r="K193" s="17" t="n"/>
      <c r="L193" s="15" t="n"/>
      <c r="M193" s="14" t="n"/>
      <c r="N193" s="17" t="n"/>
      <c r="O193" s="17" t="n"/>
      <c r="P193" s="18" t="n"/>
      <c r="Q193" s="11">
        <f>IF($A193="","",IF($H193="Stock",IF($I193="Buy",-$M193*$N193-$P193,IF($I193="Sell",IF($N193="", $M193*$O193-$P193,($O193-$N193)*$M193-$P193),"")),IF($I193="Sell",($N193-IF($O193="",0,$O193))*$M193*100-$P193,IF($I193="Buy",(IF($O193="",0,$O193)-$N193)*$M193*100-$P193,""))))</f>
        <v/>
      </c>
      <c r="R193" s="11">
        <f>IF($A193="","",IF($C193="Open","",$Q193))</f>
        <v/>
      </c>
      <c r="S193" s="12">
        <f>IF($A193="","",IFS($B193="Covered Call","Covered Call Premium",$B193="Cash Secured Put","Cash Secured Put Premium",$B193="Long Call/Put","Long Call/Put P/L",$B193="Debit Spread","Long Call/Put P/L",$B193="Stock Sale","Stock Sales",TRUE,"Other"))</f>
        <v/>
      </c>
      <c r="T193" s="11">
        <f>IF($A193="","",IF($B193="Cash Secured Put",$K193*$M193*100,IF($B193="Covered Call",$K193*$M193*100,IF($H193="Stock",$M193*$N193,""))))</f>
        <v/>
      </c>
      <c r="U193" s="19">
        <f>IF(OR($A193="",$C193&lt;&gt;"Closed",$D193="",$E193="",$T193=0),"",$R193/$T193*365/MAX(1,$E193-$D193))</f>
        <v/>
      </c>
      <c r="V193" s="14" t="n"/>
      <c r="W193" s="12" t="n"/>
    </row>
    <row r="194">
      <c r="A194" s="12" t="n"/>
      <c r="B194" s="14" t="n"/>
      <c r="C194" s="14" t="n"/>
      <c r="D194" s="15" t="n"/>
      <c r="E194" s="15" t="n"/>
      <c r="F194" s="16">
        <f>IF($E194="","",DATE(YEAR($E194),MONTH($E194),1))</f>
        <v/>
      </c>
      <c r="G194" s="14" t="n"/>
      <c r="H194" s="14" t="n"/>
      <c r="I194" s="14" t="n"/>
      <c r="J194" s="14" t="n"/>
      <c r="K194" s="17" t="n"/>
      <c r="L194" s="15" t="n"/>
      <c r="M194" s="14" t="n"/>
      <c r="N194" s="17" t="n"/>
      <c r="O194" s="17" t="n"/>
      <c r="P194" s="18" t="n"/>
      <c r="Q194" s="11">
        <f>IF($A194="","",IF($H194="Stock",IF($I194="Buy",-$M194*$N194-$P194,IF($I194="Sell",IF($N194="", $M194*$O194-$P194,($O194-$N194)*$M194-$P194),"")),IF($I194="Sell",($N194-IF($O194="",0,$O194))*$M194*100-$P194,IF($I194="Buy",(IF($O194="",0,$O194)-$N194)*$M194*100-$P194,""))))</f>
        <v/>
      </c>
      <c r="R194" s="11">
        <f>IF($A194="","",IF($C194="Open","",$Q194))</f>
        <v/>
      </c>
      <c r="S194" s="12">
        <f>IF($A194="","",IFS($B194="Covered Call","Covered Call Premium",$B194="Cash Secured Put","Cash Secured Put Premium",$B194="Long Call/Put","Long Call/Put P/L",$B194="Debit Spread","Long Call/Put P/L",$B194="Stock Sale","Stock Sales",TRUE,"Other"))</f>
        <v/>
      </c>
      <c r="T194" s="11">
        <f>IF($A194="","",IF($B194="Cash Secured Put",$K194*$M194*100,IF($B194="Covered Call",$K194*$M194*100,IF($H194="Stock",$M194*$N194,""))))</f>
        <v/>
      </c>
      <c r="U194" s="19">
        <f>IF(OR($A194="",$C194&lt;&gt;"Closed",$D194="",$E194="",$T194=0),"",$R194/$T194*365/MAX(1,$E194-$D194))</f>
        <v/>
      </c>
      <c r="V194" s="14" t="n"/>
      <c r="W194" s="12" t="n"/>
    </row>
    <row r="195">
      <c r="A195" s="12" t="n"/>
      <c r="B195" s="14" t="n"/>
      <c r="C195" s="14" t="n"/>
      <c r="D195" s="15" t="n"/>
      <c r="E195" s="15" t="n"/>
      <c r="F195" s="16">
        <f>IF($E195="","",DATE(YEAR($E195),MONTH($E195),1))</f>
        <v/>
      </c>
      <c r="G195" s="14" t="n"/>
      <c r="H195" s="14" t="n"/>
      <c r="I195" s="14" t="n"/>
      <c r="J195" s="14" t="n"/>
      <c r="K195" s="17" t="n"/>
      <c r="L195" s="15" t="n"/>
      <c r="M195" s="14" t="n"/>
      <c r="N195" s="17" t="n"/>
      <c r="O195" s="17" t="n"/>
      <c r="P195" s="18" t="n"/>
      <c r="Q195" s="11">
        <f>IF($A195="","",IF($H195="Stock",IF($I195="Buy",-$M195*$N195-$P195,IF($I195="Sell",IF($N195="", $M195*$O195-$P195,($O195-$N195)*$M195-$P195),"")),IF($I195="Sell",($N195-IF($O195="",0,$O195))*$M195*100-$P195,IF($I195="Buy",(IF($O195="",0,$O195)-$N195)*$M195*100-$P195,""))))</f>
        <v/>
      </c>
      <c r="R195" s="11">
        <f>IF($A195="","",IF($C195="Open","",$Q195))</f>
        <v/>
      </c>
      <c r="S195" s="12">
        <f>IF($A195="","",IFS($B195="Covered Call","Covered Call Premium",$B195="Cash Secured Put","Cash Secured Put Premium",$B195="Long Call/Put","Long Call/Put P/L",$B195="Debit Spread","Long Call/Put P/L",$B195="Stock Sale","Stock Sales",TRUE,"Other"))</f>
        <v/>
      </c>
      <c r="T195" s="11">
        <f>IF($A195="","",IF($B195="Cash Secured Put",$K195*$M195*100,IF($B195="Covered Call",$K195*$M195*100,IF($H195="Stock",$M195*$N195,""))))</f>
        <v/>
      </c>
      <c r="U195" s="19">
        <f>IF(OR($A195="",$C195&lt;&gt;"Closed",$D195="",$E195="",$T195=0),"",$R195/$T195*365/MAX(1,$E195-$D195))</f>
        <v/>
      </c>
      <c r="V195" s="14" t="n"/>
      <c r="W195" s="12" t="n"/>
    </row>
    <row r="196">
      <c r="A196" s="12" t="n"/>
      <c r="B196" s="14" t="n"/>
      <c r="C196" s="14" t="n"/>
      <c r="D196" s="15" t="n"/>
      <c r="E196" s="15" t="n"/>
      <c r="F196" s="16">
        <f>IF($E196="","",DATE(YEAR($E196),MONTH($E196),1))</f>
        <v/>
      </c>
      <c r="G196" s="14" t="n"/>
      <c r="H196" s="14" t="n"/>
      <c r="I196" s="14" t="n"/>
      <c r="J196" s="14" t="n"/>
      <c r="K196" s="17" t="n"/>
      <c r="L196" s="15" t="n"/>
      <c r="M196" s="14" t="n"/>
      <c r="N196" s="17" t="n"/>
      <c r="O196" s="17" t="n"/>
      <c r="P196" s="18" t="n"/>
      <c r="Q196" s="11">
        <f>IF($A196="","",IF($H196="Stock",IF($I196="Buy",-$M196*$N196-$P196,IF($I196="Sell",IF($N196="", $M196*$O196-$P196,($O196-$N196)*$M196-$P196),"")),IF($I196="Sell",($N196-IF($O196="",0,$O196))*$M196*100-$P196,IF($I196="Buy",(IF($O196="",0,$O196)-$N196)*$M196*100-$P196,""))))</f>
        <v/>
      </c>
      <c r="R196" s="11">
        <f>IF($A196="","",IF($C196="Open","",$Q196))</f>
        <v/>
      </c>
      <c r="S196" s="12">
        <f>IF($A196="","",IFS($B196="Covered Call","Covered Call Premium",$B196="Cash Secured Put","Cash Secured Put Premium",$B196="Long Call/Put","Long Call/Put P/L",$B196="Debit Spread","Long Call/Put P/L",$B196="Stock Sale","Stock Sales",TRUE,"Other"))</f>
        <v/>
      </c>
      <c r="T196" s="11">
        <f>IF($A196="","",IF($B196="Cash Secured Put",$K196*$M196*100,IF($B196="Covered Call",$K196*$M196*100,IF($H196="Stock",$M196*$N196,""))))</f>
        <v/>
      </c>
      <c r="U196" s="19">
        <f>IF(OR($A196="",$C196&lt;&gt;"Closed",$D196="",$E196="",$T196=0),"",$R196/$T196*365/MAX(1,$E196-$D196))</f>
        <v/>
      </c>
      <c r="V196" s="14" t="n"/>
      <c r="W196" s="12" t="n"/>
    </row>
    <row r="197">
      <c r="A197" s="12" t="n"/>
      <c r="B197" s="14" t="n"/>
      <c r="C197" s="14" t="n"/>
      <c r="D197" s="15" t="n"/>
      <c r="E197" s="15" t="n"/>
      <c r="F197" s="16">
        <f>IF($E197="","",DATE(YEAR($E197),MONTH($E197),1))</f>
        <v/>
      </c>
      <c r="G197" s="14" t="n"/>
      <c r="H197" s="14" t="n"/>
      <c r="I197" s="14" t="n"/>
      <c r="J197" s="14" t="n"/>
      <c r="K197" s="17" t="n"/>
      <c r="L197" s="15" t="n"/>
      <c r="M197" s="14" t="n"/>
      <c r="N197" s="17" t="n"/>
      <c r="O197" s="17" t="n"/>
      <c r="P197" s="18" t="n"/>
      <c r="Q197" s="11">
        <f>IF($A197="","",IF($H197="Stock",IF($I197="Buy",-$M197*$N197-$P197,IF($I197="Sell",IF($N197="", $M197*$O197-$P197,($O197-$N197)*$M197-$P197),"")),IF($I197="Sell",($N197-IF($O197="",0,$O197))*$M197*100-$P197,IF($I197="Buy",(IF($O197="",0,$O197)-$N197)*$M197*100-$P197,""))))</f>
        <v/>
      </c>
      <c r="R197" s="11">
        <f>IF($A197="","",IF($C197="Open","",$Q197))</f>
        <v/>
      </c>
      <c r="S197" s="12">
        <f>IF($A197="","",IFS($B197="Covered Call","Covered Call Premium",$B197="Cash Secured Put","Cash Secured Put Premium",$B197="Long Call/Put","Long Call/Put P/L",$B197="Debit Spread","Long Call/Put P/L",$B197="Stock Sale","Stock Sales",TRUE,"Other"))</f>
        <v/>
      </c>
      <c r="T197" s="11">
        <f>IF($A197="","",IF($B197="Cash Secured Put",$K197*$M197*100,IF($B197="Covered Call",$K197*$M197*100,IF($H197="Stock",$M197*$N197,""))))</f>
        <v/>
      </c>
      <c r="U197" s="19">
        <f>IF(OR($A197="",$C197&lt;&gt;"Closed",$D197="",$E197="",$T197=0),"",$R197/$T197*365/MAX(1,$E197-$D197))</f>
        <v/>
      </c>
      <c r="V197" s="14" t="n"/>
      <c r="W197" s="12" t="n"/>
    </row>
    <row r="198">
      <c r="A198" s="12" t="n"/>
      <c r="B198" s="14" t="n"/>
      <c r="C198" s="14" t="n"/>
      <c r="D198" s="15" t="n"/>
      <c r="E198" s="15" t="n"/>
      <c r="F198" s="16">
        <f>IF($E198="","",DATE(YEAR($E198),MONTH($E198),1))</f>
        <v/>
      </c>
      <c r="G198" s="14" t="n"/>
      <c r="H198" s="14" t="n"/>
      <c r="I198" s="14" t="n"/>
      <c r="J198" s="14" t="n"/>
      <c r="K198" s="17" t="n"/>
      <c r="L198" s="15" t="n"/>
      <c r="M198" s="14" t="n"/>
      <c r="N198" s="17" t="n"/>
      <c r="O198" s="17" t="n"/>
      <c r="P198" s="18" t="n"/>
      <c r="Q198" s="11">
        <f>IF($A198="","",IF($H198="Stock",IF($I198="Buy",-$M198*$N198-$P198,IF($I198="Sell",IF($N198="", $M198*$O198-$P198,($O198-$N198)*$M198-$P198),"")),IF($I198="Sell",($N198-IF($O198="",0,$O198))*$M198*100-$P198,IF($I198="Buy",(IF($O198="",0,$O198)-$N198)*$M198*100-$P198,""))))</f>
        <v/>
      </c>
      <c r="R198" s="11">
        <f>IF($A198="","",IF($C198="Open","",$Q198))</f>
        <v/>
      </c>
      <c r="S198" s="12">
        <f>IF($A198="","",IFS($B198="Covered Call","Covered Call Premium",$B198="Cash Secured Put","Cash Secured Put Premium",$B198="Long Call/Put","Long Call/Put P/L",$B198="Debit Spread","Long Call/Put P/L",$B198="Stock Sale","Stock Sales",TRUE,"Other"))</f>
        <v/>
      </c>
      <c r="T198" s="11">
        <f>IF($A198="","",IF($B198="Cash Secured Put",$K198*$M198*100,IF($B198="Covered Call",$K198*$M198*100,IF($H198="Stock",$M198*$N198,""))))</f>
        <v/>
      </c>
      <c r="U198" s="19">
        <f>IF(OR($A198="",$C198&lt;&gt;"Closed",$D198="",$E198="",$T198=0),"",$R198/$T198*365/MAX(1,$E198-$D198))</f>
        <v/>
      </c>
      <c r="V198" s="14" t="n"/>
      <c r="W198" s="12" t="n"/>
    </row>
    <row r="199">
      <c r="A199" s="12" t="n"/>
      <c r="B199" s="14" t="n"/>
      <c r="C199" s="14" t="n"/>
      <c r="D199" s="15" t="n"/>
      <c r="E199" s="15" t="n"/>
      <c r="F199" s="16">
        <f>IF($E199="","",DATE(YEAR($E199),MONTH($E199),1))</f>
        <v/>
      </c>
      <c r="G199" s="14" t="n"/>
      <c r="H199" s="14" t="n"/>
      <c r="I199" s="14" t="n"/>
      <c r="J199" s="14" t="n"/>
      <c r="K199" s="17" t="n"/>
      <c r="L199" s="15" t="n"/>
      <c r="M199" s="14" t="n"/>
      <c r="N199" s="17" t="n"/>
      <c r="O199" s="17" t="n"/>
      <c r="P199" s="18" t="n"/>
      <c r="Q199" s="11">
        <f>IF($A199="","",IF($H199="Stock",IF($I199="Buy",-$M199*$N199-$P199,IF($I199="Sell",IF($N199="", $M199*$O199-$P199,($O199-$N199)*$M199-$P199),"")),IF($I199="Sell",($N199-IF($O199="",0,$O199))*$M199*100-$P199,IF($I199="Buy",(IF($O199="",0,$O199)-$N199)*$M199*100-$P199,""))))</f>
        <v/>
      </c>
      <c r="R199" s="11">
        <f>IF($A199="","",IF($C199="Open","",$Q199))</f>
        <v/>
      </c>
      <c r="S199" s="12">
        <f>IF($A199="","",IFS($B199="Covered Call","Covered Call Premium",$B199="Cash Secured Put","Cash Secured Put Premium",$B199="Long Call/Put","Long Call/Put P/L",$B199="Debit Spread","Long Call/Put P/L",$B199="Stock Sale","Stock Sales",TRUE,"Other"))</f>
        <v/>
      </c>
      <c r="T199" s="11">
        <f>IF($A199="","",IF($B199="Cash Secured Put",$K199*$M199*100,IF($B199="Covered Call",$K199*$M199*100,IF($H199="Stock",$M199*$N199,""))))</f>
        <v/>
      </c>
      <c r="U199" s="19">
        <f>IF(OR($A199="",$C199&lt;&gt;"Closed",$D199="",$E199="",$T199=0),"",$R199/$T199*365/MAX(1,$E199-$D199))</f>
        <v/>
      </c>
      <c r="V199" s="14" t="n"/>
      <c r="W199" s="12" t="n"/>
    </row>
    <row r="200">
      <c r="A200" s="12" t="n"/>
      <c r="B200" s="14" t="n"/>
      <c r="C200" s="14" t="n"/>
      <c r="D200" s="15" t="n"/>
      <c r="E200" s="15" t="n"/>
      <c r="F200" s="16">
        <f>IF($E200="","",DATE(YEAR($E200),MONTH($E200),1))</f>
        <v/>
      </c>
      <c r="G200" s="14" t="n"/>
      <c r="H200" s="14" t="n"/>
      <c r="I200" s="14" t="n"/>
      <c r="J200" s="14" t="n"/>
      <c r="K200" s="17" t="n"/>
      <c r="L200" s="15" t="n"/>
      <c r="M200" s="14" t="n"/>
      <c r="N200" s="17" t="n"/>
      <c r="O200" s="17" t="n"/>
      <c r="P200" s="18" t="n"/>
      <c r="Q200" s="11">
        <f>IF($A200="","",IF($H200="Stock",IF($I200="Buy",-$M200*$N200-$P200,IF($I200="Sell",IF($N200="", $M200*$O200-$P200,($O200-$N200)*$M200-$P200),"")),IF($I200="Sell",($N200-IF($O200="",0,$O200))*$M200*100-$P200,IF($I200="Buy",(IF($O200="",0,$O200)-$N200)*$M200*100-$P200,""))))</f>
        <v/>
      </c>
      <c r="R200" s="11">
        <f>IF($A200="","",IF($C200="Open","",$Q200))</f>
        <v/>
      </c>
      <c r="S200" s="12">
        <f>IF($A200="","",IFS($B200="Covered Call","Covered Call Premium",$B200="Cash Secured Put","Cash Secured Put Premium",$B200="Long Call/Put","Long Call/Put P/L",$B200="Debit Spread","Long Call/Put P/L",$B200="Stock Sale","Stock Sales",TRUE,"Other"))</f>
        <v/>
      </c>
      <c r="T200" s="11">
        <f>IF($A200="","",IF($B200="Cash Secured Put",$K200*$M200*100,IF($B200="Covered Call",$K200*$M200*100,IF($H200="Stock",$M200*$N200,""))))</f>
        <v/>
      </c>
      <c r="U200" s="19">
        <f>IF(OR($A200="",$C200&lt;&gt;"Closed",$D200="",$E200="",$T200=0),"",$R200/$T200*365/MAX(1,$E200-$D200))</f>
        <v/>
      </c>
      <c r="V200" s="14" t="n"/>
      <c r="W200" s="12" t="n"/>
    </row>
    <row r="201">
      <c r="A201" s="12" t="n"/>
      <c r="B201" s="14" t="n"/>
      <c r="C201" s="14" t="n"/>
      <c r="D201" s="15" t="n"/>
      <c r="E201" s="15" t="n"/>
      <c r="F201" s="16">
        <f>IF($E201="","",DATE(YEAR($E201),MONTH($E201),1))</f>
        <v/>
      </c>
      <c r="G201" s="14" t="n"/>
      <c r="H201" s="14" t="n"/>
      <c r="I201" s="14" t="n"/>
      <c r="J201" s="14" t="n"/>
      <c r="K201" s="17" t="n"/>
      <c r="L201" s="15" t="n"/>
      <c r="M201" s="14" t="n"/>
      <c r="N201" s="17" t="n"/>
      <c r="O201" s="17" t="n"/>
      <c r="P201" s="18" t="n"/>
      <c r="Q201" s="11">
        <f>IF($A201="","",IF($H201="Stock",IF($I201="Buy",-$M201*$N201-$P201,IF($I201="Sell",IF($N201="", $M201*$O201-$P201,($O201-$N201)*$M201-$P201),"")),IF($I201="Sell",($N201-IF($O201="",0,$O201))*$M201*100-$P201,IF($I201="Buy",(IF($O201="",0,$O201)-$N201)*$M201*100-$P201,""))))</f>
        <v/>
      </c>
      <c r="R201" s="11">
        <f>IF($A201="","",IF($C201="Open","",$Q201))</f>
        <v/>
      </c>
      <c r="S201" s="12">
        <f>IF($A201="","",IFS($B201="Covered Call","Covered Call Premium",$B201="Cash Secured Put","Cash Secured Put Premium",$B201="Long Call/Put","Long Call/Put P/L",$B201="Debit Spread","Long Call/Put P/L",$B201="Stock Sale","Stock Sales",TRUE,"Other"))</f>
        <v/>
      </c>
      <c r="T201" s="11">
        <f>IF($A201="","",IF($B201="Cash Secured Put",$K201*$M201*100,IF($B201="Covered Call",$K201*$M201*100,IF($H201="Stock",$M201*$N201,""))))</f>
        <v/>
      </c>
      <c r="U201" s="19">
        <f>IF(OR($A201="",$C201&lt;&gt;"Closed",$D201="",$E201="",$T201=0),"",$R201/$T201*365/MAX(1,$E201-$D201))</f>
        <v/>
      </c>
      <c r="V201" s="14" t="n"/>
      <c r="W201" s="12" t="n"/>
    </row>
    <row r="202">
      <c r="A202" s="12" t="n"/>
      <c r="B202" s="14" t="n"/>
      <c r="C202" s="14" t="n"/>
      <c r="D202" s="15" t="n"/>
      <c r="E202" s="15" t="n"/>
      <c r="F202" s="16">
        <f>IF($E202="","",DATE(YEAR($E202),MONTH($E202),1))</f>
        <v/>
      </c>
      <c r="G202" s="14" t="n"/>
      <c r="H202" s="14" t="n"/>
      <c r="I202" s="14" t="n"/>
      <c r="J202" s="14" t="n"/>
      <c r="K202" s="17" t="n"/>
      <c r="L202" s="15" t="n"/>
      <c r="M202" s="14" t="n"/>
      <c r="N202" s="17" t="n"/>
      <c r="O202" s="17" t="n"/>
      <c r="P202" s="18" t="n"/>
      <c r="Q202" s="11">
        <f>IF($A202="","",IF($H202="Stock",IF($I202="Buy",-$M202*$N202-$P202,IF($I202="Sell",IF($N202="", $M202*$O202-$P202,($O202-$N202)*$M202-$P202),"")),IF($I202="Sell",($N202-IF($O202="",0,$O202))*$M202*100-$P202,IF($I202="Buy",(IF($O202="",0,$O202)-$N202)*$M202*100-$P202,""))))</f>
        <v/>
      </c>
      <c r="R202" s="11">
        <f>IF($A202="","",IF($C202="Open","",$Q202))</f>
        <v/>
      </c>
      <c r="S202" s="12">
        <f>IF($A202="","",IFS($B202="Covered Call","Covered Call Premium",$B202="Cash Secured Put","Cash Secured Put Premium",$B202="Long Call/Put","Long Call/Put P/L",$B202="Debit Spread","Long Call/Put P/L",$B202="Stock Sale","Stock Sales",TRUE,"Other"))</f>
        <v/>
      </c>
      <c r="T202" s="11">
        <f>IF($A202="","",IF($B202="Cash Secured Put",$K202*$M202*100,IF($B202="Covered Call",$K202*$M202*100,IF($H202="Stock",$M202*$N202,""))))</f>
        <v/>
      </c>
      <c r="U202" s="19">
        <f>IF(OR($A202="",$C202&lt;&gt;"Closed",$D202="",$E202="",$T202=0),"",$R202/$T202*365/MAX(1,$E202-$D202))</f>
        <v/>
      </c>
      <c r="V202" s="14" t="n"/>
      <c r="W202" s="12" t="n"/>
    </row>
    <row r="203">
      <c r="A203" s="12" t="n"/>
      <c r="B203" s="14" t="n"/>
      <c r="C203" s="14" t="n"/>
      <c r="D203" s="15" t="n"/>
      <c r="E203" s="15" t="n"/>
      <c r="F203" s="16">
        <f>IF($E203="","",DATE(YEAR($E203),MONTH($E203),1))</f>
        <v/>
      </c>
      <c r="G203" s="14" t="n"/>
      <c r="H203" s="14" t="n"/>
      <c r="I203" s="14" t="n"/>
      <c r="J203" s="14" t="n"/>
      <c r="K203" s="17" t="n"/>
      <c r="L203" s="15" t="n"/>
      <c r="M203" s="14" t="n"/>
      <c r="N203" s="17" t="n"/>
      <c r="O203" s="17" t="n"/>
      <c r="P203" s="18" t="n"/>
      <c r="Q203" s="11">
        <f>IF($A203="","",IF($H203="Stock",IF($I203="Buy",-$M203*$N203-$P203,IF($I203="Sell",IF($N203="", $M203*$O203-$P203,($O203-$N203)*$M203-$P203),"")),IF($I203="Sell",($N203-IF($O203="",0,$O203))*$M203*100-$P203,IF($I203="Buy",(IF($O203="",0,$O203)-$N203)*$M203*100-$P203,""))))</f>
        <v/>
      </c>
      <c r="R203" s="11">
        <f>IF($A203="","",IF($C203="Open","",$Q203))</f>
        <v/>
      </c>
      <c r="S203" s="12">
        <f>IF($A203="","",IFS($B203="Covered Call","Covered Call Premium",$B203="Cash Secured Put","Cash Secured Put Premium",$B203="Long Call/Put","Long Call/Put P/L",$B203="Debit Spread","Long Call/Put P/L",$B203="Stock Sale","Stock Sales",TRUE,"Other"))</f>
        <v/>
      </c>
      <c r="T203" s="11">
        <f>IF($A203="","",IF($B203="Cash Secured Put",$K203*$M203*100,IF($B203="Covered Call",$K203*$M203*100,IF($H203="Stock",$M203*$N203,""))))</f>
        <v/>
      </c>
      <c r="U203" s="19">
        <f>IF(OR($A203="",$C203&lt;&gt;"Closed",$D203="",$E203="",$T203=0),"",$R203/$T203*365/MAX(1,$E203-$D203))</f>
        <v/>
      </c>
      <c r="V203" s="14" t="n"/>
      <c r="W203" s="12" t="n"/>
    </row>
    <row r="204">
      <c r="A204" s="12" t="n"/>
      <c r="B204" s="14" t="n"/>
      <c r="C204" s="14" t="n"/>
      <c r="D204" s="15" t="n"/>
      <c r="E204" s="15" t="n"/>
      <c r="F204" s="16">
        <f>IF($E204="","",DATE(YEAR($E204),MONTH($E204),1))</f>
        <v/>
      </c>
      <c r="G204" s="14" t="n"/>
      <c r="H204" s="14" t="n"/>
      <c r="I204" s="14" t="n"/>
      <c r="J204" s="14" t="n"/>
      <c r="K204" s="17" t="n"/>
      <c r="L204" s="15" t="n"/>
      <c r="M204" s="14" t="n"/>
      <c r="N204" s="17" t="n"/>
      <c r="O204" s="17" t="n"/>
      <c r="P204" s="18" t="n"/>
      <c r="Q204" s="11">
        <f>IF($A204="","",IF($H204="Stock",IF($I204="Buy",-$M204*$N204-$P204,IF($I204="Sell",IF($N204="", $M204*$O204-$P204,($O204-$N204)*$M204-$P204),"")),IF($I204="Sell",($N204-IF($O204="",0,$O204))*$M204*100-$P204,IF($I204="Buy",(IF($O204="",0,$O204)-$N204)*$M204*100-$P204,""))))</f>
        <v/>
      </c>
      <c r="R204" s="11">
        <f>IF($A204="","",IF($C204="Open","",$Q204))</f>
        <v/>
      </c>
      <c r="S204" s="12">
        <f>IF($A204="","",IFS($B204="Covered Call","Covered Call Premium",$B204="Cash Secured Put","Cash Secured Put Premium",$B204="Long Call/Put","Long Call/Put P/L",$B204="Debit Spread","Long Call/Put P/L",$B204="Stock Sale","Stock Sales",TRUE,"Other"))</f>
        <v/>
      </c>
      <c r="T204" s="11">
        <f>IF($A204="","",IF($B204="Cash Secured Put",$K204*$M204*100,IF($B204="Covered Call",$K204*$M204*100,IF($H204="Stock",$M204*$N204,""))))</f>
        <v/>
      </c>
      <c r="U204" s="19">
        <f>IF(OR($A204="",$C204&lt;&gt;"Closed",$D204="",$E204="",$T204=0),"",$R204/$T204*365/MAX(1,$E204-$D204))</f>
        <v/>
      </c>
      <c r="V204" s="14" t="n"/>
      <c r="W204" s="12" t="n"/>
    </row>
    <row r="205">
      <c r="A205" s="12" t="n"/>
      <c r="B205" s="14" t="n"/>
      <c r="C205" s="14" t="n"/>
      <c r="D205" s="15" t="n"/>
      <c r="E205" s="15" t="n"/>
      <c r="F205" s="16">
        <f>IF($E205="","",DATE(YEAR($E205),MONTH($E205),1))</f>
        <v/>
      </c>
      <c r="G205" s="14" t="n"/>
      <c r="H205" s="14" t="n"/>
      <c r="I205" s="14" t="n"/>
      <c r="J205" s="14" t="n"/>
      <c r="K205" s="17" t="n"/>
      <c r="L205" s="15" t="n"/>
      <c r="M205" s="14" t="n"/>
      <c r="N205" s="17" t="n"/>
      <c r="O205" s="17" t="n"/>
      <c r="P205" s="18" t="n"/>
      <c r="Q205" s="11">
        <f>IF($A205="","",IF($H205="Stock",IF($I205="Buy",-$M205*$N205-$P205,IF($I205="Sell",IF($N205="", $M205*$O205-$P205,($O205-$N205)*$M205-$P205),"")),IF($I205="Sell",($N205-IF($O205="",0,$O205))*$M205*100-$P205,IF($I205="Buy",(IF($O205="",0,$O205)-$N205)*$M205*100-$P205,""))))</f>
        <v/>
      </c>
      <c r="R205" s="11">
        <f>IF($A205="","",IF($C205="Open","",$Q205))</f>
        <v/>
      </c>
      <c r="S205" s="12">
        <f>IF($A205="","",IFS($B205="Covered Call","Covered Call Premium",$B205="Cash Secured Put","Cash Secured Put Premium",$B205="Long Call/Put","Long Call/Put P/L",$B205="Debit Spread","Long Call/Put P/L",$B205="Stock Sale","Stock Sales",TRUE,"Other"))</f>
        <v/>
      </c>
      <c r="T205" s="11">
        <f>IF($A205="","",IF($B205="Cash Secured Put",$K205*$M205*100,IF($B205="Covered Call",$K205*$M205*100,IF($H205="Stock",$M205*$N205,""))))</f>
        <v/>
      </c>
      <c r="U205" s="19">
        <f>IF(OR($A205="",$C205&lt;&gt;"Closed",$D205="",$E205="",$T205=0),"",$R205/$T205*365/MAX(1,$E205-$D205))</f>
        <v/>
      </c>
      <c r="V205" s="14" t="n"/>
      <c r="W205" s="12" t="n"/>
    </row>
    <row r="206">
      <c r="A206" s="12" t="n"/>
      <c r="B206" s="14" t="n"/>
      <c r="C206" s="14" t="n"/>
      <c r="D206" s="15" t="n"/>
      <c r="E206" s="15" t="n"/>
      <c r="F206" s="16">
        <f>IF($E206="","",DATE(YEAR($E206),MONTH($E206),1))</f>
        <v/>
      </c>
      <c r="G206" s="14" t="n"/>
      <c r="H206" s="14" t="n"/>
      <c r="I206" s="14" t="n"/>
      <c r="J206" s="14" t="n"/>
      <c r="K206" s="17" t="n"/>
      <c r="L206" s="15" t="n"/>
      <c r="M206" s="14" t="n"/>
      <c r="N206" s="17" t="n"/>
      <c r="O206" s="17" t="n"/>
      <c r="P206" s="18" t="n"/>
      <c r="Q206" s="11">
        <f>IF($A206="","",IF($H206="Stock",IF($I206="Buy",-$M206*$N206-$P206,IF($I206="Sell",IF($N206="", $M206*$O206-$P206,($O206-$N206)*$M206-$P206),"")),IF($I206="Sell",($N206-IF($O206="",0,$O206))*$M206*100-$P206,IF($I206="Buy",(IF($O206="",0,$O206)-$N206)*$M206*100-$P206,""))))</f>
        <v/>
      </c>
      <c r="R206" s="11">
        <f>IF($A206="","",IF($C206="Open","",$Q206))</f>
        <v/>
      </c>
      <c r="S206" s="12">
        <f>IF($A206="","",IFS($B206="Covered Call","Covered Call Premium",$B206="Cash Secured Put","Cash Secured Put Premium",$B206="Long Call/Put","Long Call/Put P/L",$B206="Debit Spread","Long Call/Put P/L",$B206="Stock Sale","Stock Sales",TRUE,"Other"))</f>
        <v/>
      </c>
      <c r="T206" s="11">
        <f>IF($A206="","",IF($B206="Cash Secured Put",$K206*$M206*100,IF($B206="Covered Call",$K206*$M206*100,IF($H206="Stock",$M206*$N206,""))))</f>
        <v/>
      </c>
      <c r="U206" s="19">
        <f>IF(OR($A206="",$C206&lt;&gt;"Closed",$D206="",$E206="",$T206=0),"",$R206/$T206*365/MAX(1,$E206-$D206))</f>
        <v/>
      </c>
      <c r="V206" s="14" t="n"/>
      <c r="W206" s="12" t="n"/>
    </row>
    <row r="207">
      <c r="A207" s="12" t="n"/>
      <c r="B207" s="14" t="n"/>
      <c r="C207" s="14" t="n"/>
      <c r="D207" s="15" t="n"/>
      <c r="E207" s="15" t="n"/>
      <c r="F207" s="16">
        <f>IF($E207="","",DATE(YEAR($E207),MONTH($E207),1))</f>
        <v/>
      </c>
      <c r="G207" s="14" t="n"/>
      <c r="H207" s="14" t="n"/>
      <c r="I207" s="14" t="n"/>
      <c r="J207" s="14" t="n"/>
      <c r="K207" s="17" t="n"/>
      <c r="L207" s="15" t="n"/>
      <c r="M207" s="14" t="n"/>
      <c r="N207" s="17" t="n"/>
      <c r="O207" s="17" t="n"/>
      <c r="P207" s="18" t="n"/>
      <c r="Q207" s="11">
        <f>IF($A207="","",IF($H207="Stock",IF($I207="Buy",-$M207*$N207-$P207,IF($I207="Sell",IF($N207="", $M207*$O207-$P207,($O207-$N207)*$M207-$P207),"")),IF($I207="Sell",($N207-IF($O207="",0,$O207))*$M207*100-$P207,IF($I207="Buy",(IF($O207="",0,$O207)-$N207)*$M207*100-$P207,""))))</f>
        <v/>
      </c>
      <c r="R207" s="11">
        <f>IF($A207="","",IF($C207="Open","",$Q207))</f>
        <v/>
      </c>
      <c r="S207" s="12">
        <f>IF($A207="","",IFS($B207="Covered Call","Covered Call Premium",$B207="Cash Secured Put","Cash Secured Put Premium",$B207="Long Call/Put","Long Call/Put P/L",$B207="Debit Spread","Long Call/Put P/L",$B207="Stock Sale","Stock Sales",TRUE,"Other"))</f>
        <v/>
      </c>
      <c r="T207" s="11">
        <f>IF($A207="","",IF($B207="Cash Secured Put",$K207*$M207*100,IF($B207="Covered Call",$K207*$M207*100,IF($H207="Stock",$M207*$N207,""))))</f>
        <v/>
      </c>
      <c r="U207" s="19">
        <f>IF(OR($A207="",$C207&lt;&gt;"Closed",$D207="",$E207="",$T207=0),"",$R207/$T207*365/MAX(1,$E207-$D207))</f>
        <v/>
      </c>
      <c r="V207" s="14" t="n"/>
      <c r="W207" s="12" t="n"/>
    </row>
    <row r="208">
      <c r="A208" s="12" t="n"/>
      <c r="B208" s="14" t="n"/>
      <c r="C208" s="14" t="n"/>
      <c r="D208" s="15" t="n"/>
      <c r="E208" s="15" t="n"/>
      <c r="F208" s="16">
        <f>IF($E208="","",DATE(YEAR($E208),MONTH($E208),1))</f>
        <v/>
      </c>
      <c r="G208" s="14" t="n"/>
      <c r="H208" s="14" t="n"/>
      <c r="I208" s="14" t="n"/>
      <c r="J208" s="14" t="n"/>
      <c r="K208" s="17" t="n"/>
      <c r="L208" s="15" t="n"/>
      <c r="M208" s="14" t="n"/>
      <c r="N208" s="17" t="n"/>
      <c r="O208" s="17" t="n"/>
      <c r="P208" s="18" t="n"/>
      <c r="Q208" s="11">
        <f>IF($A208="","",IF($H208="Stock",IF($I208="Buy",-$M208*$N208-$P208,IF($I208="Sell",IF($N208="", $M208*$O208-$P208,($O208-$N208)*$M208-$P208),"")),IF($I208="Sell",($N208-IF($O208="",0,$O208))*$M208*100-$P208,IF($I208="Buy",(IF($O208="",0,$O208)-$N208)*$M208*100-$P208,""))))</f>
        <v/>
      </c>
      <c r="R208" s="11">
        <f>IF($A208="","",IF($C208="Open","",$Q208))</f>
        <v/>
      </c>
      <c r="S208" s="12">
        <f>IF($A208="","",IFS($B208="Covered Call","Covered Call Premium",$B208="Cash Secured Put","Cash Secured Put Premium",$B208="Long Call/Put","Long Call/Put P/L",$B208="Debit Spread","Long Call/Put P/L",$B208="Stock Sale","Stock Sales",TRUE,"Other"))</f>
        <v/>
      </c>
      <c r="T208" s="11">
        <f>IF($A208="","",IF($B208="Cash Secured Put",$K208*$M208*100,IF($B208="Covered Call",$K208*$M208*100,IF($H208="Stock",$M208*$N208,""))))</f>
        <v/>
      </c>
      <c r="U208" s="19">
        <f>IF(OR($A208="",$C208&lt;&gt;"Closed",$D208="",$E208="",$T208=0),"",$R208/$T208*365/MAX(1,$E208-$D208))</f>
        <v/>
      </c>
      <c r="V208" s="14" t="n"/>
      <c r="W208" s="12" t="n"/>
    </row>
    <row r="209">
      <c r="A209" s="12" t="n"/>
      <c r="B209" s="14" t="n"/>
      <c r="C209" s="14" t="n"/>
      <c r="D209" s="15" t="n"/>
      <c r="E209" s="15" t="n"/>
      <c r="F209" s="16">
        <f>IF($E209="","",DATE(YEAR($E209),MONTH($E209),1))</f>
        <v/>
      </c>
      <c r="G209" s="14" t="n"/>
      <c r="H209" s="14" t="n"/>
      <c r="I209" s="14" t="n"/>
      <c r="J209" s="14" t="n"/>
      <c r="K209" s="17" t="n"/>
      <c r="L209" s="15" t="n"/>
      <c r="M209" s="14" t="n"/>
      <c r="N209" s="17" t="n"/>
      <c r="O209" s="17" t="n"/>
      <c r="P209" s="18" t="n"/>
      <c r="Q209" s="11">
        <f>IF($A209="","",IF($H209="Stock",IF($I209="Buy",-$M209*$N209-$P209,IF($I209="Sell",IF($N209="", $M209*$O209-$P209,($O209-$N209)*$M209-$P209),"")),IF($I209="Sell",($N209-IF($O209="",0,$O209))*$M209*100-$P209,IF($I209="Buy",(IF($O209="",0,$O209)-$N209)*$M209*100-$P209,""))))</f>
        <v/>
      </c>
      <c r="R209" s="11">
        <f>IF($A209="","",IF($C209="Open","",$Q209))</f>
        <v/>
      </c>
      <c r="S209" s="12">
        <f>IF($A209="","",IFS($B209="Covered Call","Covered Call Premium",$B209="Cash Secured Put","Cash Secured Put Premium",$B209="Long Call/Put","Long Call/Put P/L",$B209="Debit Spread","Long Call/Put P/L",$B209="Stock Sale","Stock Sales",TRUE,"Other"))</f>
        <v/>
      </c>
      <c r="T209" s="11">
        <f>IF($A209="","",IF($B209="Cash Secured Put",$K209*$M209*100,IF($B209="Covered Call",$K209*$M209*100,IF($H209="Stock",$M209*$N209,""))))</f>
        <v/>
      </c>
      <c r="U209" s="19">
        <f>IF(OR($A209="",$C209&lt;&gt;"Closed",$D209="",$E209="",$T209=0),"",$R209/$T209*365/MAX(1,$E209-$D209))</f>
        <v/>
      </c>
      <c r="V209" s="14" t="n"/>
      <c r="W209" s="12" t="n"/>
    </row>
    <row r="210">
      <c r="A210" s="12" t="n"/>
      <c r="B210" s="14" t="n"/>
      <c r="C210" s="14" t="n"/>
      <c r="D210" s="15" t="n"/>
      <c r="E210" s="15" t="n"/>
      <c r="F210" s="16">
        <f>IF($E210="","",DATE(YEAR($E210),MONTH($E210),1))</f>
        <v/>
      </c>
      <c r="G210" s="14" t="n"/>
      <c r="H210" s="14" t="n"/>
      <c r="I210" s="14" t="n"/>
      <c r="J210" s="14" t="n"/>
      <c r="K210" s="17" t="n"/>
      <c r="L210" s="15" t="n"/>
      <c r="M210" s="14" t="n"/>
      <c r="N210" s="17" t="n"/>
      <c r="O210" s="17" t="n"/>
      <c r="P210" s="18" t="n"/>
      <c r="Q210" s="11">
        <f>IF($A210="","",IF($H210="Stock",IF($I210="Buy",-$M210*$N210-$P210,IF($I210="Sell",IF($N210="", $M210*$O210-$P210,($O210-$N210)*$M210-$P210),"")),IF($I210="Sell",($N210-IF($O210="",0,$O210))*$M210*100-$P210,IF($I210="Buy",(IF($O210="",0,$O210)-$N210)*$M210*100-$P210,""))))</f>
        <v/>
      </c>
      <c r="R210" s="11">
        <f>IF($A210="","",IF($C210="Open","",$Q210))</f>
        <v/>
      </c>
      <c r="S210" s="12">
        <f>IF($A210="","",IFS($B210="Covered Call","Covered Call Premium",$B210="Cash Secured Put","Cash Secured Put Premium",$B210="Long Call/Put","Long Call/Put P/L",$B210="Debit Spread","Long Call/Put P/L",$B210="Stock Sale","Stock Sales",TRUE,"Other"))</f>
        <v/>
      </c>
      <c r="T210" s="11">
        <f>IF($A210="","",IF($B210="Cash Secured Put",$K210*$M210*100,IF($B210="Covered Call",$K210*$M210*100,IF($H210="Stock",$M210*$N210,""))))</f>
        <v/>
      </c>
      <c r="U210" s="19">
        <f>IF(OR($A210="",$C210&lt;&gt;"Closed",$D210="",$E210="",$T210=0),"",$R210/$T210*365/MAX(1,$E210-$D210))</f>
        <v/>
      </c>
      <c r="V210" s="14" t="n"/>
      <c r="W210" s="12" t="n"/>
    </row>
    <row r="211">
      <c r="A211" s="12" t="n"/>
      <c r="B211" s="14" t="n"/>
      <c r="C211" s="14" t="n"/>
      <c r="D211" s="15" t="n"/>
      <c r="E211" s="15" t="n"/>
      <c r="F211" s="16">
        <f>IF($E211="","",DATE(YEAR($E211),MONTH($E211),1))</f>
        <v/>
      </c>
      <c r="G211" s="14" t="n"/>
      <c r="H211" s="14" t="n"/>
      <c r="I211" s="14" t="n"/>
      <c r="J211" s="14" t="n"/>
      <c r="K211" s="17" t="n"/>
      <c r="L211" s="15" t="n"/>
      <c r="M211" s="14" t="n"/>
      <c r="N211" s="17" t="n"/>
      <c r="O211" s="17" t="n"/>
      <c r="P211" s="18" t="n"/>
      <c r="Q211" s="11">
        <f>IF($A211="","",IF($H211="Stock",IF($I211="Buy",-$M211*$N211-$P211,IF($I211="Sell",IF($N211="", $M211*$O211-$P211,($O211-$N211)*$M211-$P211),"")),IF($I211="Sell",($N211-IF($O211="",0,$O211))*$M211*100-$P211,IF($I211="Buy",(IF($O211="",0,$O211)-$N211)*$M211*100-$P211,""))))</f>
        <v/>
      </c>
      <c r="R211" s="11">
        <f>IF($A211="","",IF($C211="Open","",$Q211))</f>
        <v/>
      </c>
      <c r="S211" s="12">
        <f>IF($A211="","",IFS($B211="Covered Call","Covered Call Premium",$B211="Cash Secured Put","Cash Secured Put Premium",$B211="Long Call/Put","Long Call/Put P/L",$B211="Debit Spread","Long Call/Put P/L",$B211="Stock Sale","Stock Sales",TRUE,"Other"))</f>
        <v/>
      </c>
      <c r="T211" s="11">
        <f>IF($A211="","",IF($B211="Cash Secured Put",$K211*$M211*100,IF($B211="Covered Call",$K211*$M211*100,IF($H211="Stock",$M211*$N211,""))))</f>
        <v/>
      </c>
      <c r="U211" s="19">
        <f>IF(OR($A211="",$C211&lt;&gt;"Closed",$D211="",$E211="",$T211=0),"",$R211/$T211*365/MAX(1,$E211-$D211))</f>
        <v/>
      </c>
      <c r="V211" s="14" t="n"/>
      <c r="W211" s="12" t="n"/>
    </row>
    <row r="212">
      <c r="A212" s="12" t="n"/>
      <c r="B212" s="14" t="n"/>
      <c r="C212" s="14" t="n"/>
      <c r="D212" s="15" t="n"/>
      <c r="E212" s="15" t="n"/>
      <c r="F212" s="16">
        <f>IF($E212="","",DATE(YEAR($E212),MONTH($E212),1))</f>
        <v/>
      </c>
      <c r="G212" s="14" t="n"/>
      <c r="H212" s="14" t="n"/>
      <c r="I212" s="14" t="n"/>
      <c r="J212" s="14" t="n"/>
      <c r="K212" s="17" t="n"/>
      <c r="L212" s="15" t="n"/>
      <c r="M212" s="14" t="n"/>
      <c r="N212" s="17" t="n"/>
      <c r="O212" s="17" t="n"/>
      <c r="P212" s="18" t="n"/>
      <c r="Q212" s="11">
        <f>IF($A212="","",IF($H212="Stock",IF($I212="Buy",-$M212*$N212-$P212,IF($I212="Sell",IF($N212="", $M212*$O212-$P212,($O212-$N212)*$M212-$P212),"")),IF($I212="Sell",($N212-IF($O212="",0,$O212))*$M212*100-$P212,IF($I212="Buy",(IF($O212="",0,$O212)-$N212)*$M212*100-$P212,""))))</f>
        <v/>
      </c>
      <c r="R212" s="11">
        <f>IF($A212="","",IF($C212="Open","",$Q212))</f>
        <v/>
      </c>
      <c r="S212" s="12">
        <f>IF($A212="","",IFS($B212="Covered Call","Covered Call Premium",$B212="Cash Secured Put","Cash Secured Put Premium",$B212="Long Call/Put","Long Call/Put P/L",$B212="Debit Spread","Long Call/Put P/L",$B212="Stock Sale","Stock Sales",TRUE,"Other"))</f>
        <v/>
      </c>
      <c r="T212" s="11">
        <f>IF($A212="","",IF($B212="Cash Secured Put",$K212*$M212*100,IF($B212="Covered Call",$K212*$M212*100,IF($H212="Stock",$M212*$N212,""))))</f>
        <v/>
      </c>
      <c r="U212" s="19">
        <f>IF(OR($A212="",$C212&lt;&gt;"Closed",$D212="",$E212="",$T212=0),"",$R212/$T212*365/MAX(1,$E212-$D212))</f>
        <v/>
      </c>
      <c r="V212" s="14" t="n"/>
      <c r="W212" s="12" t="n"/>
    </row>
    <row r="213">
      <c r="A213" s="12" t="n"/>
      <c r="B213" s="14" t="n"/>
      <c r="C213" s="14" t="n"/>
      <c r="D213" s="15" t="n"/>
      <c r="E213" s="15" t="n"/>
      <c r="F213" s="16">
        <f>IF($E213="","",DATE(YEAR($E213),MONTH($E213),1))</f>
        <v/>
      </c>
      <c r="G213" s="14" t="n"/>
      <c r="H213" s="14" t="n"/>
      <c r="I213" s="14" t="n"/>
      <c r="J213" s="14" t="n"/>
      <c r="K213" s="17" t="n"/>
      <c r="L213" s="15" t="n"/>
      <c r="M213" s="14" t="n"/>
      <c r="N213" s="17" t="n"/>
      <c r="O213" s="17" t="n"/>
      <c r="P213" s="18" t="n"/>
      <c r="Q213" s="11">
        <f>IF($A213="","",IF($H213="Stock",IF($I213="Buy",-$M213*$N213-$P213,IF($I213="Sell",IF($N213="", $M213*$O213-$P213,($O213-$N213)*$M213-$P213),"")),IF($I213="Sell",($N213-IF($O213="",0,$O213))*$M213*100-$P213,IF($I213="Buy",(IF($O213="",0,$O213)-$N213)*$M213*100-$P213,""))))</f>
        <v/>
      </c>
      <c r="R213" s="11">
        <f>IF($A213="","",IF($C213="Open","",$Q213))</f>
        <v/>
      </c>
      <c r="S213" s="12">
        <f>IF($A213="","",IFS($B213="Covered Call","Covered Call Premium",$B213="Cash Secured Put","Cash Secured Put Premium",$B213="Long Call/Put","Long Call/Put P/L",$B213="Debit Spread","Long Call/Put P/L",$B213="Stock Sale","Stock Sales",TRUE,"Other"))</f>
        <v/>
      </c>
      <c r="T213" s="11">
        <f>IF($A213="","",IF($B213="Cash Secured Put",$K213*$M213*100,IF($B213="Covered Call",$K213*$M213*100,IF($H213="Stock",$M213*$N213,""))))</f>
        <v/>
      </c>
      <c r="U213" s="19">
        <f>IF(OR($A213="",$C213&lt;&gt;"Closed",$D213="",$E213="",$T213=0),"",$R213/$T213*365/MAX(1,$E213-$D213))</f>
        <v/>
      </c>
      <c r="V213" s="14" t="n"/>
      <c r="W213" s="12" t="n"/>
    </row>
    <row r="214">
      <c r="A214" s="12" t="n"/>
      <c r="B214" s="14" t="n"/>
      <c r="C214" s="14" t="n"/>
      <c r="D214" s="15" t="n"/>
      <c r="E214" s="15" t="n"/>
      <c r="F214" s="16">
        <f>IF($E214="","",DATE(YEAR($E214),MONTH($E214),1))</f>
        <v/>
      </c>
      <c r="G214" s="14" t="n"/>
      <c r="H214" s="14" t="n"/>
      <c r="I214" s="14" t="n"/>
      <c r="J214" s="14" t="n"/>
      <c r="K214" s="17" t="n"/>
      <c r="L214" s="15" t="n"/>
      <c r="M214" s="14" t="n"/>
      <c r="N214" s="17" t="n"/>
      <c r="O214" s="17" t="n"/>
      <c r="P214" s="18" t="n"/>
      <c r="Q214" s="11">
        <f>IF($A214="","",IF($H214="Stock",IF($I214="Buy",-$M214*$N214-$P214,IF($I214="Sell",IF($N214="", $M214*$O214-$P214,($O214-$N214)*$M214-$P214),"")),IF($I214="Sell",($N214-IF($O214="",0,$O214))*$M214*100-$P214,IF($I214="Buy",(IF($O214="",0,$O214)-$N214)*$M214*100-$P214,""))))</f>
        <v/>
      </c>
      <c r="R214" s="11">
        <f>IF($A214="","",IF($C214="Open","",$Q214))</f>
        <v/>
      </c>
      <c r="S214" s="12">
        <f>IF($A214="","",IFS($B214="Covered Call","Covered Call Premium",$B214="Cash Secured Put","Cash Secured Put Premium",$B214="Long Call/Put","Long Call/Put P/L",$B214="Debit Spread","Long Call/Put P/L",$B214="Stock Sale","Stock Sales",TRUE,"Other"))</f>
        <v/>
      </c>
      <c r="T214" s="11">
        <f>IF($A214="","",IF($B214="Cash Secured Put",$K214*$M214*100,IF($B214="Covered Call",$K214*$M214*100,IF($H214="Stock",$M214*$N214,""))))</f>
        <v/>
      </c>
      <c r="U214" s="19">
        <f>IF(OR($A214="",$C214&lt;&gt;"Closed",$D214="",$E214="",$T214=0),"",$R214/$T214*365/MAX(1,$E214-$D214))</f>
        <v/>
      </c>
      <c r="V214" s="14" t="n"/>
      <c r="W214" s="12" t="n"/>
    </row>
    <row r="215">
      <c r="A215" s="12" t="n"/>
      <c r="B215" s="14" t="n"/>
      <c r="C215" s="14" t="n"/>
      <c r="D215" s="15" t="n"/>
      <c r="E215" s="15" t="n"/>
      <c r="F215" s="16">
        <f>IF($E215="","",DATE(YEAR($E215),MONTH($E215),1))</f>
        <v/>
      </c>
      <c r="G215" s="14" t="n"/>
      <c r="H215" s="14" t="n"/>
      <c r="I215" s="14" t="n"/>
      <c r="J215" s="14" t="n"/>
      <c r="K215" s="17" t="n"/>
      <c r="L215" s="15" t="n"/>
      <c r="M215" s="14" t="n"/>
      <c r="N215" s="17" t="n"/>
      <c r="O215" s="17" t="n"/>
      <c r="P215" s="18" t="n"/>
      <c r="Q215" s="11">
        <f>IF($A215="","",IF($H215="Stock",IF($I215="Buy",-$M215*$N215-$P215,IF($I215="Sell",IF($N215="", $M215*$O215-$P215,($O215-$N215)*$M215-$P215),"")),IF($I215="Sell",($N215-IF($O215="",0,$O215))*$M215*100-$P215,IF($I215="Buy",(IF($O215="",0,$O215)-$N215)*$M215*100-$P215,""))))</f>
        <v/>
      </c>
      <c r="R215" s="11">
        <f>IF($A215="","",IF($C215="Open","",$Q215))</f>
        <v/>
      </c>
      <c r="S215" s="12">
        <f>IF($A215="","",IFS($B215="Covered Call","Covered Call Premium",$B215="Cash Secured Put","Cash Secured Put Premium",$B215="Long Call/Put","Long Call/Put P/L",$B215="Debit Spread","Long Call/Put P/L",$B215="Stock Sale","Stock Sales",TRUE,"Other"))</f>
        <v/>
      </c>
      <c r="T215" s="11">
        <f>IF($A215="","",IF($B215="Cash Secured Put",$K215*$M215*100,IF($B215="Covered Call",$K215*$M215*100,IF($H215="Stock",$M215*$N215,""))))</f>
        <v/>
      </c>
      <c r="U215" s="19">
        <f>IF(OR($A215="",$C215&lt;&gt;"Closed",$D215="",$E215="",$T215=0),"",$R215/$T215*365/MAX(1,$E215-$D215))</f>
        <v/>
      </c>
      <c r="V215" s="14" t="n"/>
      <c r="W215" s="12" t="n"/>
    </row>
    <row r="216">
      <c r="A216" s="12" t="n"/>
      <c r="B216" s="14" t="n"/>
      <c r="C216" s="14" t="n"/>
      <c r="D216" s="15" t="n"/>
      <c r="E216" s="15" t="n"/>
      <c r="F216" s="16">
        <f>IF($E216="","",DATE(YEAR($E216),MONTH($E216),1))</f>
        <v/>
      </c>
      <c r="G216" s="14" t="n"/>
      <c r="H216" s="14" t="n"/>
      <c r="I216" s="14" t="n"/>
      <c r="J216" s="14" t="n"/>
      <c r="K216" s="17" t="n"/>
      <c r="L216" s="15" t="n"/>
      <c r="M216" s="14" t="n"/>
      <c r="N216" s="17" t="n"/>
      <c r="O216" s="17" t="n"/>
      <c r="P216" s="18" t="n"/>
      <c r="Q216" s="11">
        <f>IF($A216="","",IF($H216="Stock",IF($I216="Buy",-$M216*$N216-$P216,IF($I216="Sell",IF($N216="", $M216*$O216-$P216,($O216-$N216)*$M216-$P216),"")),IF($I216="Sell",($N216-IF($O216="",0,$O216))*$M216*100-$P216,IF($I216="Buy",(IF($O216="",0,$O216)-$N216)*$M216*100-$P216,""))))</f>
        <v/>
      </c>
      <c r="R216" s="11">
        <f>IF($A216="","",IF($C216="Open","",$Q216))</f>
        <v/>
      </c>
      <c r="S216" s="12">
        <f>IF($A216="","",IFS($B216="Covered Call","Covered Call Premium",$B216="Cash Secured Put","Cash Secured Put Premium",$B216="Long Call/Put","Long Call/Put P/L",$B216="Debit Spread","Long Call/Put P/L",$B216="Stock Sale","Stock Sales",TRUE,"Other"))</f>
        <v/>
      </c>
      <c r="T216" s="11">
        <f>IF($A216="","",IF($B216="Cash Secured Put",$K216*$M216*100,IF($B216="Covered Call",$K216*$M216*100,IF($H216="Stock",$M216*$N216,""))))</f>
        <v/>
      </c>
      <c r="U216" s="19">
        <f>IF(OR($A216="",$C216&lt;&gt;"Closed",$D216="",$E216="",$T216=0),"",$R216/$T216*365/MAX(1,$E216-$D216))</f>
        <v/>
      </c>
      <c r="V216" s="14" t="n"/>
      <c r="W216" s="12" t="n"/>
    </row>
    <row r="217">
      <c r="A217" s="12" t="n"/>
      <c r="B217" s="14" t="n"/>
      <c r="C217" s="14" t="n"/>
      <c r="D217" s="15" t="n"/>
      <c r="E217" s="15" t="n"/>
      <c r="F217" s="16">
        <f>IF($E217="","",DATE(YEAR($E217),MONTH($E217),1))</f>
        <v/>
      </c>
      <c r="G217" s="14" t="n"/>
      <c r="H217" s="14" t="n"/>
      <c r="I217" s="14" t="n"/>
      <c r="J217" s="14" t="n"/>
      <c r="K217" s="17" t="n"/>
      <c r="L217" s="15" t="n"/>
      <c r="M217" s="14" t="n"/>
      <c r="N217" s="17" t="n"/>
      <c r="O217" s="17" t="n"/>
      <c r="P217" s="18" t="n"/>
      <c r="Q217" s="11">
        <f>IF($A217="","",IF($H217="Stock",IF($I217="Buy",-$M217*$N217-$P217,IF($I217="Sell",IF($N217="", $M217*$O217-$P217,($O217-$N217)*$M217-$P217),"")),IF($I217="Sell",($N217-IF($O217="",0,$O217))*$M217*100-$P217,IF($I217="Buy",(IF($O217="",0,$O217)-$N217)*$M217*100-$P217,""))))</f>
        <v/>
      </c>
      <c r="R217" s="11">
        <f>IF($A217="","",IF($C217="Open","",$Q217))</f>
        <v/>
      </c>
      <c r="S217" s="12">
        <f>IF($A217="","",IFS($B217="Covered Call","Covered Call Premium",$B217="Cash Secured Put","Cash Secured Put Premium",$B217="Long Call/Put","Long Call/Put P/L",$B217="Debit Spread","Long Call/Put P/L",$B217="Stock Sale","Stock Sales",TRUE,"Other"))</f>
        <v/>
      </c>
      <c r="T217" s="11">
        <f>IF($A217="","",IF($B217="Cash Secured Put",$K217*$M217*100,IF($B217="Covered Call",$K217*$M217*100,IF($H217="Stock",$M217*$N217,""))))</f>
        <v/>
      </c>
      <c r="U217" s="19">
        <f>IF(OR($A217="",$C217&lt;&gt;"Closed",$D217="",$E217="",$T217=0),"",$R217/$T217*365/MAX(1,$E217-$D217))</f>
        <v/>
      </c>
      <c r="V217" s="14" t="n"/>
      <c r="W217" s="12" t="n"/>
    </row>
    <row r="218">
      <c r="A218" s="12" t="n"/>
      <c r="B218" s="14" t="n"/>
      <c r="C218" s="14" t="n"/>
      <c r="D218" s="15" t="n"/>
      <c r="E218" s="15" t="n"/>
      <c r="F218" s="16">
        <f>IF($E218="","",DATE(YEAR($E218),MONTH($E218),1))</f>
        <v/>
      </c>
      <c r="G218" s="14" t="n"/>
      <c r="H218" s="14" t="n"/>
      <c r="I218" s="14" t="n"/>
      <c r="J218" s="14" t="n"/>
      <c r="K218" s="17" t="n"/>
      <c r="L218" s="15" t="n"/>
      <c r="M218" s="14" t="n"/>
      <c r="N218" s="17" t="n"/>
      <c r="O218" s="17" t="n"/>
      <c r="P218" s="18" t="n"/>
      <c r="Q218" s="11">
        <f>IF($A218="","",IF($H218="Stock",IF($I218="Buy",-$M218*$N218-$P218,IF($I218="Sell",IF($N218="", $M218*$O218-$P218,($O218-$N218)*$M218-$P218),"")),IF($I218="Sell",($N218-IF($O218="",0,$O218))*$M218*100-$P218,IF($I218="Buy",(IF($O218="",0,$O218)-$N218)*$M218*100-$P218,""))))</f>
        <v/>
      </c>
      <c r="R218" s="11">
        <f>IF($A218="","",IF($C218="Open","",$Q218))</f>
        <v/>
      </c>
      <c r="S218" s="12">
        <f>IF($A218="","",IFS($B218="Covered Call","Covered Call Premium",$B218="Cash Secured Put","Cash Secured Put Premium",$B218="Long Call/Put","Long Call/Put P/L",$B218="Debit Spread","Long Call/Put P/L",$B218="Stock Sale","Stock Sales",TRUE,"Other"))</f>
        <v/>
      </c>
      <c r="T218" s="11">
        <f>IF($A218="","",IF($B218="Cash Secured Put",$K218*$M218*100,IF($B218="Covered Call",$K218*$M218*100,IF($H218="Stock",$M218*$N218,""))))</f>
        <v/>
      </c>
      <c r="U218" s="19">
        <f>IF(OR($A218="",$C218&lt;&gt;"Closed",$D218="",$E218="",$T218=0),"",$R218/$T218*365/MAX(1,$E218-$D218))</f>
        <v/>
      </c>
      <c r="V218" s="14" t="n"/>
      <c r="W218" s="12" t="n"/>
    </row>
    <row r="219">
      <c r="A219" s="12" t="n"/>
      <c r="B219" s="14" t="n"/>
      <c r="C219" s="14" t="n"/>
      <c r="D219" s="15" t="n"/>
      <c r="E219" s="15" t="n"/>
      <c r="F219" s="16">
        <f>IF($E219="","",DATE(YEAR($E219),MONTH($E219),1))</f>
        <v/>
      </c>
      <c r="G219" s="14" t="n"/>
      <c r="H219" s="14" t="n"/>
      <c r="I219" s="14" t="n"/>
      <c r="J219" s="14" t="n"/>
      <c r="K219" s="17" t="n"/>
      <c r="L219" s="15" t="n"/>
      <c r="M219" s="14" t="n"/>
      <c r="N219" s="17" t="n"/>
      <c r="O219" s="17" t="n"/>
      <c r="P219" s="18" t="n"/>
      <c r="Q219" s="11">
        <f>IF($A219="","",IF($H219="Stock",IF($I219="Buy",-$M219*$N219-$P219,IF($I219="Sell",IF($N219="", $M219*$O219-$P219,($O219-$N219)*$M219-$P219),"")),IF($I219="Sell",($N219-IF($O219="",0,$O219))*$M219*100-$P219,IF($I219="Buy",(IF($O219="",0,$O219)-$N219)*$M219*100-$P219,""))))</f>
        <v/>
      </c>
      <c r="R219" s="11">
        <f>IF($A219="","",IF($C219="Open","",$Q219))</f>
        <v/>
      </c>
      <c r="S219" s="12">
        <f>IF($A219="","",IFS($B219="Covered Call","Covered Call Premium",$B219="Cash Secured Put","Cash Secured Put Premium",$B219="Long Call/Put","Long Call/Put P/L",$B219="Debit Spread","Long Call/Put P/L",$B219="Stock Sale","Stock Sales",TRUE,"Other"))</f>
        <v/>
      </c>
      <c r="T219" s="11">
        <f>IF($A219="","",IF($B219="Cash Secured Put",$K219*$M219*100,IF($B219="Covered Call",$K219*$M219*100,IF($H219="Stock",$M219*$N219,""))))</f>
        <v/>
      </c>
      <c r="U219" s="19">
        <f>IF(OR($A219="",$C219&lt;&gt;"Closed",$D219="",$E219="",$T219=0),"",$R219/$T219*365/MAX(1,$E219-$D219))</f>
        <v/>
      </c>
      <c r="V219" s="14" t="n"/>
      <c r="W219" s="12" t="n"/>
    </row>
    <row r="220">
      <c r="A220" s="12" t="n"/>
      <c r="B220" s="14" t="n"/>
      <c r="C220" s="14" t="n"/>
      <c r="D220" s="15" t="n"/>
      <c r="E220" s="15" t="n"/>
      <c r="F220" s="16">
        <f>IF($E220="","",DATE(YEAR($E220),MONTH($E220),1))</f>
        <v/>
      </c>
      <c r="G220" s="14" t="n"/>
      <c r="H220" s="14" t="n"/>
      <c r="I220" s="14" t="n"/>
      <c r="J220" s="14" t="n"/>
      <c r="K220" s="17" t="n"/>
      <c r="L220" s="15" t="n"/>
      <c r="M220" s="14" t="n"/>
      <c r="N220" s="17" t="n"/>
      <c r="O220" s="17" t="n"/>
      <c r="P220" s="18" t="n"/>
      <c r="Q220" s="11">
        <f>IF($A220="","",IF($H220="Stock",IF($I220="Buy",-$M220*$N220-$P220,IF($I220="Sell",IF($N220="", $M220*$O220-$P220,($O220-$N220)*$M220-$P220),"")),IF($I220="Sell",($N220-IF($O220="",0,$O220))*$M220*100-$P220,IF($I220="Buy",(IF($O220="",0,$O220)-$N220)*$M220*100-$P220,""))))</f>
        <v/>
      </c>
      <c r="R220" s="11">
        <f>IF($A220="","",IF($C220="Open","",$Q220))</f>
        <v/>
      </c>
      <c r="S220" s="12">
        <f>IF($A220="","",IFS($B220="Covered Call","Covered Call Premium",$B220="Cash Secured Put","Cash Secured Put Premium",$B220="Long Call/Put","Long Call/Put P/L",$B220="Debit Spread","Long Call/Put P/L",$B220="Stock Sale","Stock Sales",TRUE,"Other"))</f>
        <v/>
      </c>
      <c r="T220" s="11">
        <f>IF($A220="","",IF($B220="Cash Secured Put",$K220*$M220*100,IF($B220="Covered Call",$K220*$M220*100,IF($H220="Stock",$M220*$N220,""))))</f>
        <v/>
      </c>
      <c r="U220" s="19">
        <f>IF(OR($A220="",$C220&lt;&gt;"Closed",$D220="",$E220="",$T220=0),"",$R220/$T220*365/MAX(1,$E220-$D220))</f>
        <v/>
      </c>
      <c r="V220" s="14" t="n"/>
      <c r="W220" s="12" t="n"/>
    </row>
    <row r="221">
      <c r="A221" s="12" t="n"/>
      <c r="B221" s="14" t="n"/>
      <c r="C221" s="14" t="n"/>
      <c r="D221" s="15" t="n"/>
      <c r="E221" s="15" t="n"/>
      <c r="F221" s="16">
        <f>IF($E221="","",DATE(YEAR($E221),MONTH($E221),1))</f>
        <v/>
      </c>
      <c r="G221" s="14" t="n"/>
      <c r="H221" s="14" t="n"/>
      <c r="I221" s="14" t="n"/>
      <c r="J221" s="14" t="n"/>
      <c r="K221" s="17" t="n"/>
      <c r="L221" s="15" t="n"/>
      <c r="M221" s="14" t="n"/>
      <c r="N221" s="17" t="n"/>
      <c r="O221" s="17" t="n"/>
      <c r="P221" s="18" t="n"/>
      <c r="Q221" s="11">
        <f>IF($A221="","",IF($H221="Stock",IF($I221="Buy",-$M221*$N221-$P221,IF($I221="Sell",IF($N221="", $M221*$O221-$P221,($O221-$N221)*$M221-$P221),"")),IF($I221="Sell",($N221-IF($O221="",0,$O221))*$M221*100-$P221,IF($I221="Buy",(IF($O221="",0,$O221)-$N221)*$M221*100-$P221,""))))</f>
        <v/>
      </c>
      <c r="R221" s="11">
        <f>IF($A221="","",IF($C221="Open","",$Q221))</f>
        <v/>
      </c>
      <c r="S221" s="12">
        <f>IF($A221="","",IFS($B221="Covered Call","Covered Call Premium",$B221="Cash Secured Put","Cash Secured Put Premium",$B221="Long Call/Put","Long Call/Put P/L",$B221="Debit Spread","Long Call/Put P/L",$B221="Stock Sale","Stock Sales",TRUE,"Other"))</f>
        <v/>
      </c>
      <c r="T221" s="11">
        <f>IF($A221="","",IF($B221="Cash Secured Put",$K221*$M221*100,IF($B221="Covered Call",$K221*$M221*100,IF($H221="Stock",$M221*$N221,""))))</f>
        <v/>
      </c>
      <c r="U221" s="19">
        <f>IF(OR($A221="",$C221&lt;&gt;"Closed",$D221="",$E221="",$T221=0),"",$R221/$T221*365/MAX(1,$E221-$D221))</f>
        <v/>
      </c>
      <c r="V221" s="14" t="n"/>
      <c r="W221" s="12" t="n"/>
    </row>
    <row r="222">
      <c r="A222" s="12" t="n"/>
      <c r="B222" s="14" t="n"/>
      <c r="C222" s="14" t="n"/>
      <c r="D222" s="15" t="n"/>
      <c r="E222" s="15" t="n"/>
      <c r="F222" s="16">
        <f>IF($E222="","",DATE(YEAR($E222),MONTH($E222),1))</f>
        <v/>
      </c>
      <c r="G222" s="14" t="n"/>
      <c r="H222" s="14" t="n"/>
      <c r="I222" s="14" t="n"/>
      <c r="J222" s="14" t="n"/>
      <c r="K222" s="17" t="n"/>
      <c r="L222" s="15" t="n"/>
      <c r="M222" s="14" t="n"/>
      <c r="N222" s="17" t="n"/>
      <c r="O222" s="17" t="n"/>
      <c r="P222" s="18" t="n"/>
      <c r="Q222" s="11">
        <f>IF($A222="","",IF($H222="Stock",IF($I222="Buy",-$M222*$N222-$P222,IF($I222="Sell",IF($N222="", $M222*$O222-$P222,($O222-$N222)*$M222-$P222),"")),IF($I222="Sell",($N222-IF($O222="",0,$O222))*$M222*100-$P222,IF($I222="Buy",(IF($O222="",0,$O222)-$N222)*$M222*100-$P222,""))))</f>
        <v/>
      </c>
      <c r="R222" s="11">
        <f>IF($A222="","",IF($C222="Open","",$Q222))</f>
        <v/>
      </c>
      <c r="S222" s="12">
        <f>IF($A222="","",IFS($B222="Covered Call","Covered Call Premium",$B222="Cash Secured Put","Cash Secured Put Premium",$B222="Long Call/Put","Long Call/Put P/L",$B222="Debit Spread","Long Call/Put P/L",$B222="Stock Sale","Stock Sales",TRUE,"Other"))</f>
        <v/>
      </c>
      <c r="T222" s="11">
        <f>IF($A222="","",IF($B222="Cash Secured Put",$K222*$M222*100,IF($B222="Covered Call",$K222*$M222*100,IF($H222="Stock",$M222*$N222,""))))</f>
        <v/>
      </c>
      <c r="U222" s="19">
        <f>IF(OR($A222="",$C222&lt;&gt;"Closed",$D222="",$E222="",$T222=0),"",$R222/$T222*365/MAX(1,$E222-$D222))</f>
        <v/>
      </c>
      <c r="V222" s="14" t="n"/>
      <c r="W222" s="12" t="n"/>
    </row>
    <row r="223">
      <c r="A223" s="12" t="n"/>
      <c r="B223" s="14" t="n"/>
      <c r="C223" s="14" t="n"/>
      <c r="D223" s="15" t="n"/>
      <c r="E223" s="15" t="n"/>
      <c r="F223" s="16">
        <f>IF($E223="","",DATE(YEAR($E223),MONTH($E223),1))</f>
        <v/>
      </c>
      <c r="G223" s="14" t="n"/>
      <c r="H223" s="14" t="n"/>
      <c r="I223" s="14" t="n"/>
      <c r="J223" s="14" t="n"/>
      <c r="K223" s="17" t="n"/>
      <c r="L223" s="15" t="n"/>
      <c r="M223" s="14" t="n"/>
      <c r="N223" s="17" t="n"/>
      <c r="O223" s="17" t="n"/>
      <c r="P223" s="18" t="n"/>
      <c r="Q223" s="11">
        <f>IF($A223="","",IF($H223="Stock",IF($I223="Buy",-$M223*$N223-$P223,IF($I223="Sell",IF($N223="", $M223*$O223-$P223,($O223-$N223)*$M223-$P223),"")),IF($I223="Sell",($N223-IF($O223="",0,$O223))*$M223*100-$P223,IF($I223="Buy",(IF($O223="",0,$O223)-$N223)*$M223*100-$P223,""))))</f>
        <v/>
      </c>
      <c r="R223" s="11">
        <f>IF($A223="","",IF($C223="Open","",$Q223))</f>
        <v/>
      </c>
      <c r="S223" s="12">
        <f>IF($A223="","",IFS($B223="Covered Call","Covered Call Premium",$B223="Cash Secured Put","Cash Secured Put Premium",$B223="Long Call/Put","Long Call/Put P/L",$B223="Debit Spread","Long Call/Put P/L",$B223="Stock Sale","Stock Sales",TRUE,"Other"))</f>
        <v/>
      </c>
      <c r="T223" s="11">
        <f>IF($A223="","",IF($B223="Cash Secured Put",$K223*$M223*100,IF($B223="Covered Call",$K223*$M223*100,IF($H223="Stock",$M223*$N223,""))))</f>
        <v/>
      </c>
      <c r="U223" s="19">
        <f>IF(OR($A223="",$C223&lt;&gt;"Closed",$D223="",$E223="",$T223=0),"",$R223/$T223*365/MAX(1,$E223-$D223))</f>
        <v/>
      </c>
      <c r="V223" s="14" t="n"/>
      <c r="W223" s="12" t="n"/>
    </row>
    <row r="224">
      <c r="A224" s="12" t="n"/>
      <c r="B224" s="14" t="n"/>
      <c r="C224" s="14" t="n"/>
      <c r="D224" s="15" t="n"/>
      <c r="E224" s="15" t="n"/>
      <c r="F224" s="16">
        <f>IF($E224="","",DATE(YEAR($E224),MONTH($E224),1))</f>
        <v/>
      </c>
      <c r="G224" s="14" t="n"/>
      <c r="H224" s="14" t="n"/>
      <c r="I224" s="14" t="n"/>
      <c r="J224" s="14" t="n"/>
      <c r="K224" s="17" t="n"/>
      <c r="L224" s="15" t="n"/>
      <c r="M224" s="14" t="n"/>
      <c r="N224" s="17" t="n"/>
      <c r="O224" s="17" t="n"/>
      <c r="P224" s="18" t="n"/>
      <c r="Q224" s="11">
        <f>IF($A224="","",IF($H224="Stock",IF($I224="Buy",-$M224*$N224-$P224,IF($I224="Sell",IF($N224="", $M224*$O224-$P224,($O224-$N224)*$M224-$P224),"")),IF($I224="Sell",($N224-IF($O224="",0,$O224))*$M224*100-$P224,IF($I224="Buy",(IF($O224="",0,$O224)-$N224)*$M224*100-$P224,""))))</f>
        <v/>
      </c>
      <c r="R224" s="11">
        <f>IF($A224="","",IF($C224="Open","",$Q224))</f>
        <v/>
      </c>
      <c r="S224" s="12">
        <f>IF($A224="","",IFS($B224="Covered Call","Covered Call Premium",$B224="Cash Secured Put","Cash Secured Put Premium",$B224="Long Call/Put","Long Call/Put P/L",$B224="Debit Spread","Long Call/Put P/L",$B224="Stock Sale","Stock Sales",TRUE,"Other"))</f>
        <v/>
      </c>
      <c r="T224" s="11">
        <f>IF($A224="","",IF($B224="Cash Secured Put",$K224*$M224*100,IF($B224="Covered Call",$K224*$M224*100,IF($H224="Stock",$M224*$N224,""))))</f>
        <v/>
      </c>
      <c r="U224" s="19">
        <f>IF(OR($A224="",$C224&lt;&gt;"Closed",$D224="",$E224="",$T224=0),"",$R224/$T224*365/MAX(1,$E224-$D224))</f>
        <v/>
      </c>
      <c r="V224" s="14" t="n"/>
      <c r="W224" s="12" t="n"/>
    </row>
    <row r="225">
      <c r="A225" s="12" t="n"/>
      <c r="B225" s="14" t="n"/>
      <c r="C225" s="14" t="n"/>
      <c r="D225" s="15" t="n"/>
      <c r="E225" s="15" t="n"/>
      <c r="F225" s="16">
        <f>IF($E225="","",DATE(YEAR($E225),MONTH($E225),1))</f>
        <v/>
      </c>
      <c r="G225" s="14" t="n"/>
      <c r="H225" s="14" t="n"/>
      <c r="I225" s="14" t="n"/>
      <c r="J225" s="14" t="n"/>
      <c r="K225" s="17" t="n"/>
      <c r="L225" s="15" t="n"/>
      <c r="M225" s="14" t="n"/>
      <c r="N225" s="17" t="n"/>
      <c r="O225" s="17" t="n"/>
      <c r="P225" s="18" t="n"/>
      <c r="Q225" s="11">
        <f>IF($A225="","",IF($H225="Stock",IF($I225="Buy",-$M225*$N225-$P225,IF($I225="Sell",IF($N225="", $M225*$O225-$P225,($O225-$N225)*$M225-$P225),"")),IF($I225="Sell",($N225-IF($O225="",0,$O225))*$M225*100-$P225,IF($I225="Buy",(IF($O225="",0,$O225)-$N225)*$M225*100-$P225,""))))</f>
        <v/>
      </c>
      <c r="R225" s="11">
        <f>IF($A225="","",IF($C225="Open","",$Q225))</f>
        <v/>
      </c>
      <c r="S225" s="12">
        <f>IF($A225="","",IFS($B225="Covered Call","Covered Call Premium",$B225="Cash Secured Put","Cash Secured Put Premium",$B225="Long Call/Put","Long Call/Put P/L",$B225="Debit Spread","Long Call/Put P/L",$B225="Stock Sale","Stock Sales",TRUE,"Other"))</f>
        <v/>
      </c>
      <c r="T225" s="11">
        <f>IF($A225="","",IF($B225="Cash Secured Put",$K225*$M225*100,IF($B225="Covered Call",$K225*$M225*100,IF($H225="Stock",$M225*$N225,""))))</f>
        <v/>
      </c>
      <c r="U225" s="19">
        <f>IF(OR($A225="",$C225&lt;&gt;"Closed",$D225="",$E225="",$T225=0),"",$R225/$T225*365/MAX(1,$E225-$D225))</f>
        <v/>
      </c>
      <c r="V225" s="14" t="n"/>
      <c r="W225" s="12" t="n"/>
    </row>
    <row r="226">
      <c r="A226" s="12" t="n"/>
      <c r="B226" s="14" t="n"/>
      <c r="C226" s="14" t="n"/>
      <c r="D226" s="15" t="n"/>
      <c r="E226" s="15" t="n"/>
      <c r="F226" s="16">
        <f>IF($E226="","",DATE(YEAR($E226),MONTH($E226),1))</f>
        <v/>
      </c>
      <c r="G226" s="14" t="n"/>
      <c r="H226" s="14" t="n"/>
      <c r="I226" s="14" t="n"/>
      <c r="J226" s="14" t="n"/>
      <c r="K226" s="17" t="n"/>
      <c r="L226" s="15" t="n"/>
      <c r="M226" s="14" t="n"/>
      <c r="N226" s="17" t="n"/>
      <c r="O226" s="17" t="n"/>
      <c r="P226" s="18" t="n"/>
      <c r="Q226" s="11">
        <f>IF($A226="","",IF($H226="Stock",IF($I226="Buy",-$M226*$N226-$P226,IF($I226="Sell",IF($N226="", $M226*$O226-$P226,($O226-$N226)*$M226-$P226),"")),IF($I226="Sell",($N226-IF($O226="",0,$O226))*$M226*100-$P226,IF($I226="Buy",(IF($O226="",0,$O226)-$N226)*$M226*100-$P226,""))))</f>
        <v/>
      </c>
      <c r="R226" s="11">
        <f>IF($A226="","",IF($C226="Open","",$Q226))</f>
        <v/>
      </c>
      <c r="S226" s="12">
        <f>IF($A226="","",IFS($B226="Covered Call","Covered Call Premium",$B226="Cash Secured Put","Cash Secured Put Premium",$B226="Long Call/Put","Long Call/Put P/L",$B226="Debit Spread","Long Call/Put P/L",$B226="Stock Sale","Stock Sales",TRUE,"Other"))</f>
        <v/>
      </c>
      <c r="T226" s="11">
        <f>IF($A226="","",IF($B226="Cash Secured Put",$K226*$M226*100,IF($B226="Covered Call",$K226*$M226*100,IF($H226="Stock",$M226*$N226,""))))</f>
        <v/>
      </c>
      <c r="U226" s="19">
        <f>IF(OR($A226="",$C226&lt;&gt;"Closed",$D226="",$E226="",$T226=0),"",$R226/$T226*365/MAX(1,$E226-$D226))</f>
        <v/>
      </c>
      <c r="V226" s="14" t="n"/>
      <c r="W226" s="12" t="n"/>
    </row>
    <row r="227">
      <c r="A227" s="12" t="n"/>
      <c r="B227" s="14" t="n"/>
      <c r="C227" s="14" t="n"/>
      <c r="D227" s="15" t="n"/>
      <c r="E227" s="15" t="n"/>
      <c r="F227" s="16">
        <f>IF($E227="","",DATE(YEAR($E227),MONTH($E227),1))</f>
        <v/>
      </c>
      <c r="G227" s="14" t="n"/>
      <c r="H227" s="14" t="n"/>
      <c r="I227" s="14" t="n"/>
      <c r="J227" s="14" t="n"/>
      <c r="K227" s="17" t="n"/>
      <c r="L227" s="15" t="n"/>
      <c r="M227" s="14" t="n"/>
      <c r="N227" s="17" t="n"/>
      <c r="O227" s="17" t="n"/>
      <c r="P227" s="18" t="n"/>
      <c r="Q227" s="11">
        <f>IF($A227="","",IF($H227="Stock",IF($I227="Buy",-$M227*$N227-$P227,IF($I227="Sell",IF($N227="", $M227*$O227-$P227,($O227-$N227)*$M227-$P227),"")),IF($I227="Sell",($N227-IF($O227="",0,$O227))*$M227*100-$P227,IF($I227="Buy",(IF($O227="",0,$O227)-$N227)*$M227*100-$P227,""))))</f>
        <v/>
      </c>
      <c r="R227" s="11">
        <f>IF($A227="","",IF($C227="Open","",$Q227))</f>
        <v/>
      </c>
      <c r="S227" s="12">
        <f>IF($A227="","",IFS($B227="Covered Call","Covered Call Premium",$B227="Cash Secured Put","Cash Secured Put Premium",$B227="Long Call/Put","Long Call/Put P/L",$B227="Debit Spread","Long Call/Put P/L",$B227="Stock Sale","Stock Sales",TRUE,"Other"))</f>
        <v/>
      </c>
      <c r="T227" s="11">
        <f>IF($A227="","",IF($B227="Cash Secured Put",$K227*$M227*100,IF($B227="Covered Call",$K227*$M227*100,IF($H227="Stock",$M227*$N227,""))))</f>
        <v/>
      </c>
      <c r="U227" s="19">
        <f>IF(OR($A227="",$C227&lt;&gt;"Closed",$D227="",$E227="",$T227=0),"",$R227/$T227*365/MAX(1,$E227-$D227))</f>
        <v/>
      </c>
      <c r="V227" s="14" t="n"/>
      <c r="W227" s="12" t="n"/>
    </row>
    <row r="228">
      <c r="A228" s="12" t="n"/>
      <c r="B228" s="14" t="n"/>
      <c r="C228" s="14" t="n"/>
      <c r="D228" s="15" t="n"/>
      <c r="E228" s="15" t="n"/>
      <c r="F228" s="16">
        <f>IF($E228="","",DATE(YEAR($E228),MONTH($E228),1))</f>
        <v/>
      </c>
      <c r="G228" s="14" t="n"/>
      <c r="H228" s="14" t="n"/>
      <c r="I228" s="14" t="n"/>
      <c r="J228" s="14" t="n"/>
      <c r="K228" s="17" t="n"/>
      <c r="L228" s="15" t="n"/>
      <c r="M228" s="14" t="n"/>
      <c r="N228" s="17" t="n"/>
      <c r="O228" s="17" t="n"/>
      <c r="P228" s="18" t="n"/>
      <c r="Q228" s="11">
        <f>IF($A228="","",IF($H228="Stock",IF($I228="Buy",-$M228*$N228-$P228,IF($I228="Sell",IF($N228="", $M228*$O228-$P228,($O228-$N228)*$M228-$P228),"")),IF($I228="Sell",($N228-IF($O228="",0,$O228))*$M228*100-$P228,IF($I228="Buy",(IF($O228="",0,$O228)-$N228)*$M228*100-$P228,""))))</f>
        <v/>
      </c>
      <c r="R228" s="11">
        <f>IF($A228="","",IF($C228="Open","",$Q228))</f>
        <v/>
      </c>
      <c r="S228" s="12">
        <f>IF($A228="","",IFS($B228="Covered Call","Covered Call Premium",$B228="Cash Secured Put","Cash Secured Put Premium",$B228="Long Call/Put","Long Call/Put P/L",$B228="Debit Spread","Long Call/Put P/L",$B228="Stock Sale","Stock Sales",TRUE,"Other"))</f>
        <v/>
      </c>
      <c r="T228" s="11">
        <f>IF($A228="","",IF($B228="Cash Secured Put",$K228*$M228*100,IF($B228="Covered Call",$K228*$M228*100,IF($H228="Stock",$M228*$N228,""))))</f>
        <v/>
      </c>
      <c r="U228" s="19">
        <f>IF(OR($A228="",$C228&lt;&gt;"Closed",$D228="",$E228="",$T228=0),"",$R228/$T228*365/MAX(1,$E228-$D228))</f>
        <v/>
      </c>
      <c r="V228" s="14" t="n"/>
      <c r="W228" s="12" t="n"/>
    </row>
    <row r="229">
      <c r="A229" s="12" t="n"/>
      <c r="B229" s="14" t="n"/>
      <c r="C229" s="14" t="n"/>
      <c r="D229" s="15" t="n"/>
      <c r="E229" s="15" t="n"/>
      <c r="F229" s="16">
        <f>IF($E229="","",DATE(YEAR($E229),MONTH($E229),1))</f>
        <v/>
      </c>
      <c r="G229" s="14" t="n"/>
      <c r="H229" s="14" t="n"/>
      <c r="I229" s="14" t="n"/>
      <c r="J229" s="14" t="n"/>
      <c r="K229" s="17" t="n"/>
      <c r="L229" s="15" t="n"/>
      <c r="M229" s="14" t="n"/>
      <c r="N229" s="17" t="n"/>
      <c r="O229" s="17" t="n"/>
      <c r="P229" s="18" t="n"/>
      <c r="Q229" s="11">
        <f>IF($A229="","",IF($H229="Stock",IF($I229="Buy",-$M229*$N229-$P229,IF($I229="Sell",IF($N229="", $M229*$O229-$P229,($O229-$N229)*$M229-$P229),"")),IF($I229="Sell",($N229-IF($O229="",0,$O229))*$M229*100-$P229,IF($I229="Buy",(IF($O229="",0,$O229)-$N229)*$M229*100-$P229,""))))</f>
        <v/>
      </c>
      <c r="R229" s="11">
        <f>IF($A229="","",IF($C229="Open","",$Q229))</f>
        <v/>
      </c>
      <c r="S229" s="12">
        <f>IF($A229="","",IFS($B229="Covered Call","Covered Call Premium",$B229="Cash Secured Put","Cash Secured Put Premium",$B229="Long Call/Put","Long Call/Put P/L",$B229="Debit Spread","Long Call/Put P/L",$B229="Stock Sale","Stock Sales",TRUE,"Other"))</f>
        <v/>
      </c>
      <c r="T229" s="11">
        <f>IF($A229="","",IF($B229="Cash Secured Put",$K229*$M229*100,IF($B229="Covered Call",$K229*$M229*100,IF($H229="Stock",$M229*$N229,""))))</f>
        <v/>
      </c>
      <c r="U229" s="19">
        <f>IF(OR($A229="",$C229&lt;&gt;"Closed",$D229="",$E229="",$T229=0),"",$R229/$T229*365/MAX(1,$E229-$D229))</f>
        <v/>
      </c>
      <c r="V229" s="14" t="n"/>
      <c r="W229" s="12" t="n"/>
    </row>
    <row r="230">
      <c r="A230" s="12" t="n"/>
      <c r="B230" s="14" t="n"/>
      <c r="C230" s="14" t="n"/>
      <c r="D230" s="15" t="n"/>
      <c r="E230" s="15" t="n"/>
      <c r="F230" s="16">
        <f>IF($E230="","",DATE(YEAR($E230),MONTH($E230),1))</f>
        <v/>
      </c>
      <c r="G230" s="14" t="n"/>
      <c r="H230" s="14" t="n"/>
      <c r="I230" s="14" t="n"/>
      <c r="J230" s="14" t="n"/>
      <c r="K230" s="17" t="n"/>
      <c r="L230" s="15" t="n"/>
      <c r="M230" s="14" t="n"/>
      <c r="N230" s="17" t="n"/>
      <c r="O230" s="17" t="n"/>
      <c r="P230" s="18" t="n"/>
      <c r="Q230" s="11">
        <f>IF($A230="","",IF($H230="Stock",IF($I230="Buy",-$M230*$N230-$P230,IF($I230="Sell",IF($N230="", $M230*$O230-$P230,($O230-$N230)*$M230-$P230),"")),IF($I230="Sell",($N230-IF($O230="",0,$O230))*$M230*100-$P230,IF($I230="Buy",(IF($O230="",0,$O230)-$N230)*$M230*100-$P230,""))))</f>
        <v/>
      </c>
      <c r="R230" s="11">
        <f>IF($A230="","",IF($C230="Open","",$Q230))</f>
        <v/>
      </c>
      <c r="S230" s="12">
        <f>IF($A230="","",IFS($B230="Covered Call","Covered Call Premium",$B230="Cash Secured Put","Cash Secured Put Premium",$B230="Long Call/Put","Long Call/Put P/L",$B230="Debit Spread","Long Call/Put P/L",$B230="Stock Sale","Stock Sales",TRUE,"Other"))</f>
        <v/>
      </c>
      <c r="T230" s="11">
        <f>IF($A230="","",IF($B230="Cash Secured Put",$K230*$M230*100,IF($B230="Covered Call",$K230*$M230*100,IF($H230="Stock",$M230*$N230,""))))</f>
        <v/>
      </c>
      <c r="U230" s="19">
        <f>IF(OR($A230="",$C230&lt;&gt;"Closed",$D230="",$E230="",$T230=0),"",$R230/$T230*365/MAX(1,$E230-$D230))</f>
        <v/>
      </c>
      <c r="V230" s="14" t="n"/>
      <c r="W230" s="12" t="n"/>
    </row>
    <row r="231">
      <c r="A231" s="12" t="n"/>
      <c r="B231" s="14" t="n"/>
      <c r="C231" s="14" t="n"/>
      <c r="D231" s="15" t="n"/>
      <c r="E231" s="15" t="n"/>
      <c r="F231" s="16">
        <f>IF($E231="","",DATE(YEAR($E231),MONTH($E231),1))</f>
        <v/>
      </c>
      <c r="G231" s="14" t="n"/>
      <c r="H231" s="14" t="n"/>
      <c r="I231" s="14" t="n"/>
      <c r="J231" s="14" t="n"/>
      <c r="K231" s="17" t="n"/>
      <c r="L231" s="15" t="n"/>
      <c r="M231" s="14" t="n"/>
      <c r="N231" s="17" t="n"/>
      <c r="O231" s="17" t="n"/>
      <c r="P231" s="18" t="n"/>
      <c r="Q231" s="11">
        <f>IF($A231="","",IF($H231="Stock",IF($I231="Buy",-$M231*$N231-$P231,IF($I231="Sell",IF($N231="", $M231*$O231-$P231,($O231-$N231)*$M231-$P231),"")),IF($I231="Sell",($N231-IF($O231="",0,$O231))*$M231*100-$P231,IF($I231="Buy",(IF($O231="",0,$O231)-$N231)*$M231*100-$P231,""))))</f>
        <v/>
      </c>
      <c r="R231" s="11">
        <f>IF($A231="","",IF($C231="Open","",$Q231))</f>
        <v/>
      </c>
      <c r="S231" s="12">
        <f>IF($A231="","",IFS($B231="Covered Call","Covered Call Premium",$B231="Cash Secured Put","Cash Secured Put Premium",$B231="Long Call/Put","Long Call/Put P/L",$B231="Debit Spread","Long Call/Put P/L",$B231="Stock Sale","Stock Sales",TRUE,"Other"))</f>
        <v/>
      </c>
      <c r="T231" s="11">
        <f>IF($A231="","",IF($B231="Cash Secured Put",$K231*$M231*100,IF($B231="Covered Call",$K231*$M231*100,IF($H231="Stock",$M231*$N231,""))))</f>
        <v/>
      </c>
      <c r="U231" s="19">
        <f>IF(OR($A231="",$C231&lt;&gt;"Closed",$D231="",$E231="",$T231=0),"",$R231/$T231*365/MAX(1,$E231-$D231))</f>
        <v/>
      </c>
      <c r="V231" s="14" t="n"/>
      <c r="W231" s="12" t="n"/>
    </row>
    <row r="232">
      <c r="A232" s="12" t="n"/>
      <c r="B232" s="14" t="n"/>
      <c r="C232" s="14" t="n"/>
      <c r="D232" s="15" t="n"/>
      <c r="E232" s="15" t="n"/>
      <c r="F232" s="16">
        <f>IF($E232="","",DATE(YEAR($E232),MONTH($E232),1))</f>
        <v/>
      </c>
      <c r="G232" s="14" t="n"/>
      <c r="H232" s="14" t="n"/>
      <c r="I232" s="14" t="n"/>
      <c r="J232" s="14" t="n"/>
      <c r="K232" s="17" t="n"/>
      <c r="L232" s="15" t="n"/>
      <c r="M232" s="14" t="n"/>
      <c r="N232" s="17" t="n"/>
      <c r="O232" s="17" t="n"/>
      <c r="P232" s="18" t="n"/>
      <c r="Q232" s="11">
        <f>IF($A232="","",IF($H232="Stock",IF($I232="Buy",-$M232*$N232-$P232,IF($I232="Sell",IF($N232="", $M232*$O232-$P232,($O232-$N232)*$M232-$P232),"")),IF($I232="Sell",($N232-IF($O232="",0,$O232))*$M232*100-$P232,IF($I232="Buy",(IF($O232="",0,$O232)-$N232)*$M232*100-$P232,""))))</f>
        <v/>
      </c>
      <c r="R232" s="11">
        <f>IF($A232="","",IF($C232="Open","",$Q232))</f>
        <v/>
      </c>
      <c r="S232" s="12">
        <f>IF($A232="","",IFS($B232="Covered Call","Covered Call Premium",$B232="Cash Secured Put","Cash Secured Put Premium",$B232="Long Call/Put","Long Call/Put P/L",$B232="Debit Spread","Long Call/Put P/L",$B232="Stock Sale","Stock Sales",TRUE,"Other"))</f>
        <v/>
      </c>
      <c r="T232" s="11">
        <f>IF($A232="","",IF($B232="Cash Secured Put",$K232*$M232*100,IF($B232="Covered Call",$K232*$M232*100,IF($H232="Stock",$M232*$N232,""))))</f>
        <v/>
      </c>
      <c r="U232" s="19">
        <f>IF(OR($A232="",$C232&lt;&gt;"Closed",$D232="",$E232="",$T232=0),"",$R232/$T232*365/MAX(1,$E232-$D232))</f>
        <v/>
      </c>
      <c r="V232" s="14" t="n"/>
      <c r="W232" s="12" t="n"/>
    </row>
    <row r="233">
      <c r="A233" s="12" t="n"/>
      <c r="B233" s="14" t="n"/>
      <c r="C233" s="14" t="n"/>
      <c r="D233" s="15" t="n"/>
      <c r="E233" s="15" t="n"/>
      <c r="F233" s="16">
        <f>IF($E233="","",DATE(YEAR($E233),MONTH($E233),1))</f>
        <v/>
      </c>
      <c r="G233" s="14" t="n"/>
      <c r="H233" s="14" t="n"/>
      <c r="I233" s="14" t="n"/>
      <c r="J233" s="14" t="n"/>
      <c r="K233" s="17" t="n"/>
      <c r="L233" s="15" t="n"/>
      <c r="M233" s="14" t="n"/>
      <c r="N233" s="17" t="n"/>
      <c r="O233" s="17" t="n"/>
      <c r="P233" s="18" t="n"/>
      <c r="Q233" s="11">
        <f>IF($A233="","",IF($H233="Stock",IF($I233="Buy",-$M233*$N233-$P233,IF($I233="Sell",IF($N233="", $M233*$O233-$P233,($O233-$N233)*$M233-$P233),"")),IF($I233="Sell",($N233-IF($O233="",0,$O233))*$M233*100-$P233,IF($I233="Buy",(IF($O233="",0,$O233)-$N233)*$M233*100-$P233,""))))</f>
        <v/>
      </c>
      <c r="R233" s="11">
        <f>IF($A233="","",IF($C233="Open","",$Q233))</f>
        <v/>
      </c>
      <c r="S233" s="12">
        <f>IF($A233="","",IFS($B233="Covered Call","Covered Call Premium",$B233="Cash Secured Put","Cash Secured Put Premium",$B233="Long Call/Put","Long Call/Put P/L",$B233="Debit Spread","Long Call/Put P/L",$B233="Stock Sale","Stock Sales",TRUE,"Other"))</f>
        <v/>
      </c>
      <c r="T233" s="11">
        <f>IF($A233="","",IF($B233="Cash Secured Put",$K233*$M233*100,IF($B233="Covered Call",$K233*$M233*100,IF($H233="Stock",$M233*$N233,""))))</f>
        <v/>
      </c>
      <c r="U233" s="19">
        <f>IF(OR($A233="",$C233&lt;&gt;"Closed",$D233="",$E233="",$T233=0),"",$R233/$T233*365/MAX(1,$E233-$D233))</f>
        <v/>
      </c>
      <c r="V233" s="14" t="n"/>
      <c r="W233" s="12" t="n"/>
    </row>
    <row r="234">
      <c r="A234" s="12" t="n"/>
      <c r="B234" s="14" t="n"/>
      <c r="C234" s="14" t="n"/>
      <c r="D234" s="15" t="n"/>
      <c r="E234" s="15" t="n"/>
      <c r="F234" s="16">
        <f>IF($E234="","",DATE(YEAR($E234),MONTH($E234),1))</f>
        <v/>
      </c>
      <c r="G234" s="14" t="n"/>
      <c r="H234" s="14" t="n"/>
      <c r="I234" s="14" t="n"/>
      <c r="J234" s="14" t="n"/>
      <c r="K234" s="17" t="n"/>
      <c r="L234" s="15" t="n"/>
      <c r="M234" s="14" t="n"/>
      <c r="N234" s="17" t="n"/>
      <c r="O234" s="17" t="n"/>
      <c r="P234" s="18" t="n"/>
      <c r="Q234" s="11">
        <f>IF($A234="","",IF($H234="Stock",IF($I234="Buy",-$M234*$N234-$P234,IF($I234="Sell",IF($N234="", $M234*$O234-$P234,($O234-$N234)*$M234-$P234),"")),IF($I234="Sell",($N234-IF($O234="",0,$O234))*$M234*100-$P234,IF($I234="Buy",(IF($O234="",0,$O234)-$N234)*$M234*100-$P234,""))))</f>
        <v/>
      </c>
      <c r="R234" s="11">
        <f>IF($A234="","",IF($C234="Open","",$Q234))</f>
        <v/>
      </c>
      <c r="S234" s="12">
        <f>IF($A234="","",IFS($B234="Covered Call","Covered Call Premium",$B234="Cash Secured Put","Cash Secured Put Premium",$B234="Long Call/Put","Long Call/Put P/L",$B234="Debit Spread","Long Call/Put P/L",$B234="Stock Sale","Stock Sales",TRUE,"Other"))</f>
        <v/>
      </c>
      <c r="T234" s="11">
        <f>IF($A234="","",IF($B234="Cash Secured Put",$K234*$M234*100,IF($B234="Covered Call",$K234*$M234*100,IF($H234="Stock",$M234*$N234,""))))</f>
        <v/>
      </c>
      <c r="U234" s="19">
        <f>IF(OR($A234="",$C234&lt;&gt;"Closed",$D234="",$E234="",$T234=0),"",$R234/$T234*365/MAX(1,$E234-$D234))</f>
        <v/>
      </c>
      <c r="V234" s="14" t="n"/>
      <c r="W234" s="12" t="n"/>
    </row>
    <row r="235">
      <c r="A235" s="12" t="n"/>
      <c r="B235" s="14" t="n"/>
      <c r="C235" s="14" t="n"/>
      <c r="D235" s="15" t="n"/>
      <c r="E235" s="15" t="n"/>
      <c r="F235" s="16">
        <f>IF($E235="","",DATE(YEAR($E235),MONTH($E235),1))</f>
        <v/>
      </c>
      <c r="G235" s="14" t="n"/>
      <c r="H235" s="14" t="n"/>
      <c r="I235" s="14" t="n"/>
      <c r="J235" s="14" t="n"/>
      <c r="K235" s="17" t="n"/>
      <c r="L235" s="15" t="n"/>
      <c r="M235" s="14" t="n"/>
      <c r="N235" s="17" t="n"/>
      <c r="O235" s="17" t="n"/>
      <c r="P235" s="18" t="n"/>
      <c r="Q235" s="11">
        <f>IF($A235="","",IF($H235="Stock",IF($I235="Buy",-$M235*$N235-$P235,IF($I235="Sell",IF($N235="", $M235*$O235-$P235,($O235-$N235)*$M235-$P235),"")),IF($I235="Sell",($N235-IF($O235="",0,$O235))*$M235*100-$P235,IF($I235="Buy",(IF($O235="",0,$O235)-$N235)*$M235*100-$P235,""))))</f>
        <v/>
      </c>
      <c r="R235" s="11">
        <f>IF($A235="","",IF($C235="Open","",$Q235))</f>
        <v/>
      </c>
      <c r="S235" s="12">
        <f>IF($A235="","",IFS($B235="Covered Call","Covered Call Premium",$B235="Cash Secured Put","Cash Secured Put Premium",$B235="Long Call/Put","Long Call/Put P/L",$B235="Debit Spread","Long Call/Put P/L",$B235="Stock Sale","Stock Sales",TRUE,"Other"))</f>
        <v/>
      </c>
      <c r="T235" s="11">
        <f>IF($A235="","",IF($B235="Cash Secured Put",$K235*$M235*100,IF($B235="Covered Call",$K235*$M235*100,IF($H235="Stock",$M235*$N235,""))))</f>
        <v/>
      </c>
      <c r="U235" s="19">
        <f>IF(OR($A235="",$C235&lt;&gt;"Closed",$D235="",$E235="",$T235=0),"",$R235/$T235*365/MAX(1,$E235-$D235))</f>
        <v/>
      </c>
      <c r="V235" s="14" t="n"/>
      <c r="W235" s="12" t="n"/>
    </row>
    <row r="236">
      <c r="A236" s="12" t="n"/>
      <c r="B236" s="14" t="n"/>
      <c r="C236" s="14" t="n"/>
      <c r="D236" s="15" t="n"/>
      <c r="E236" s="15" t="n"/>
      <c r="F236" s="16">
        <f>IF($E236="","",DATE(YEAR($E236),MONTH($E236),1))</f>
        <v/>
      </c>
      <c r="G236" s="14" t="n"/>
      <c r="H236" s="14" t="n"/>
      <c r="I236" s="14" t="n"/>
      <c r="J236" s="14" t="n"/>
      <c r="K236" s="17" t="n"/>
      <c r="L236" s="15" t="n"/>
      <c r="M236" s="14" t="n"/>
      <c r="N236" s="17" t="n"/>
      <c r="O236" s="17" t="n"/>
      <c r="P236" s="18" t="n"/>
      <c r="Q236" s="11">
        <f>IF($A236="","",IF($H236="Stock",IF($I236="Buy",-$M236*$N236-$P236,IF($I236="Sell",IF($N236="", $M236*$O236-$P236,($O236-$N236)*$M236-$P236),"")),IF($I236="Sell",($N236-IF($O236="",0,$O236))*$M236*100-$P236,IF($I236="Buy",(IF($O236="",0,$O236)-$N236)*$M236*100-$P236,""))))</f>
        <v/>
      </c>
      <c r="R236" s="11">
        <f>IF($A236="","",IF($C236="Open","",$Q236))</f>
        <v/>
      </c>
      <c r="S236" s="12">
        <f>IF($A236="","",IFS($B236="Covered Call","Covered Call Premium",$B236="Cash Secured Put","Cash Secured Put Premium",$B236="Long Call/Put","Long Call/Put P/L",$B236="Debit Spread","Long Call/Put P/L",$B236="Stock Sale","Stock Sales",TRUE,"Other"))</f>
        <v/>
      </c>
      <c r="T236" s="11">
        <f>IF($A236="","",IF($B236="Cash Secured Put",$K236*$M236*100,IF($B236="Covered Call",$K236*$M236*100,IF($H236="Stock",$M236*$N236,""))))</f>
        <v/>
      </c>
      <c r="U236" s="19">
        <f>IF(OR($A236="",$C236&lt;&gt;"Closed",$D236="",$E236="",$T236=0),"",$R236/$T236*365/MAX(1,$E236-$D236))</f>
        <v/>
      </c>
      <c r="V236" s="14" t="n"/>
      <c r="W236" s="12" t="n"/>
    </row>
    <row r="237">
      <c r="A237" s="12" t="n"/>
      <c r="B237" s="14" t="n"/>
      <c r="C237" s="14" t="n"/>
      <c r="D237" s="15" t="n"/>
      <c r="E237" s="15" t="n"/>
      <c r="F237" s="16">
        <f>IF($E237="","",DATE(YEAR($E237),MONTH($E237),1))</f>
        <v/>
      </c>
      <c r="G237" s="14" t="n"/>
      <c r="H237" s="14" t="n"/>
      <c r="I237" s="14" t="n"/>
      <c r="J237" s="14" t="n"/>
      <c r="K237" s="17" t="n"/>
      <c r="L237" s="15" t="n"/>
      <c r="M237" s="14" t="n"/>
      <c r="N237" s="17" t="n"/>
      <c r="O237" s="17" t="n"/>
      <c r="P237" s="18" t="n"/>
      <c r="Q237" s="11">
        <f>IF($A237="","",IF($H237="Stock",IF($I237="Buy",-$M237*$N237-$P237,IF($I237="Sell",IF($N237="", $M237*$O237-$P237,($O237-$N237)*$M237-$P237),"")),IF($I237="Sell",($N237-IF($O237="",0,$O237))*$M237*100-$P237,IF($I237="Buy",(IF($O237="",0,$O237)-$N237)*$M237*100-$P237,""))))</f>
        <v/>
      </c>
      <c r="R237" s="11">
        <f>IF($A237="","",IF($C237="Open","",$Q237))</f>
        <v/>
      </c>
      <c r="S237" s="12">
        <f>IF($A237="","",IFS($B237="Covered Call","Covered Call Premium",$B237="Cash Secured Put","Cash Secured Put Premium",$B237="Long Call/Put","Long Call/Put P/L",$B237="Debit Spread","Long Call/Put P/L",$B237="Stock Sale","Stock Sales",TRUE,"Other"))</f>
        <v/>
      </c>
      <c r="T237" s="11">
        <f>IF($A237="","",IF($B237="Cash Secured Put",$K237*$M237*100,IF($B237="Covered Call",$K237*$M237*100,IF($H237="Stock",$M237*$N237,""))))</f>
        <v/>
      </c>
      <c r="U237" s="19">
        <f>IF(OR($A237="",$C237&lt;&gt;"Closed",$D237="",$E237="",$T237=0),"",$R237/$T237*365/MAX(1,$E237-$D237))</f>
        <v/>
      </c>
      <c r="V237" s="14" t="n"/>
      <c r="W237" s="12" t="n"/>
    </row>
    <row r="238">
      <c r="A238" s="12" t="n"/>
      <c r="B238" s="14" t="n"/>
      <c r="C238" s="14" t="n"/>
      <c r="D238" s="15" t="n"/>
      <c r="E238" s="15" t="n"/>
      <c r="F238" s="16">
        <f>IF($E238="","",DATE(YEAR($E238),MONTH($E238),1))</f>
        <v/>
      </c>
      <c r="G238" s="14" t="n"/>
      <c r="H238" s="14" t="n"/>
      <c r="I238" s="14" t="n"/>
      <c r="J238" s="14" t="n"/>
      <c r="K238" s="17" t="n"/>
      <c r="L238" s="15" t="n"/>
      <c r="M238" s="14" t="n"/>
      <c r="N238" s="17" t="n"/>
      <c r="O238" s="17" t="n"/>
      <c r="P238" s="18" t="n"/>
      <c r="Q238" s="11">
        <f>IF($A238="","",IF($H238="Stock",IF($I238="Buy",-$M238*$N238-$P238,IF($I238="Sell",IF($N238="", $M238*$O238-$P238,($O238-$N238)*$M238-$P238),"")),IF($I238="Sell",($N238-IF($O238="",0,$O238))*$M238*100-$P238,IF($I238="Buy",(IF($O238="",0,$O238)-$N238)*$M238*100-$P238,""))))</f>
        <v/>
      </c>
      <c r="R238" s="11">
        <f>IF($A238="","",IF($C238="Open","",$Q238))</f>
        <v/>
      </c>
      <c r="S238" s="12">
        <f>IF($A238="","",IFS($B238="Covered Call","Covered Call Premium",$B238="Cash Secured Put","Cash Secured Put Premium",$B238="Long Call/Put","Long Call/Put P/L",$B238="Debit Spread","Long Call/Put P/L",$B238="Stock Sale","Stock Sales",TRUE,"Other"))</f>
        <v/>
      </c>
      <c r="T238" s="11">
        <f>IF($A238="","",IF($B238="Cash Secured Put",$K238*$M238*100,IF($B238="Covered Call",$K238*$M238*100,IF($H238="Stock",$M238*$N238,""))))</f>
        <v/>
      </c>
      <c r="U238" s="19">
        <f>IF(OR($A238="",$C238&lt;&gt;"Closed",$D238="",$E238="",$T238=0),"",$R238/$T238*365/MAX(1,$E238-$D238))</f>
        <v/>
      </c>
      <c r="V238" s="14" t="n"/>
      <c r="W238" s="12" t="n"/>
    </row>
    <row r="239">
      <c r="A239" s="12" t="n"/>
      <c r="B239" s="14" t="n"/>
      <c r="C239" s="14" t="n"/>
      <c r="D239" s="15" t="n"/>
      <c r="E239" s="15" t="n"/>
      <c r="F239" s="16">
        <f>IF($E239="","",DATE(YEAR($E239),MONTH($E239),1))</f>
        <v/>
      </c>
      <c r="G239" s="14" t="n"/>
      <c r="H239" s="14" t="n"/>
      <c r="I239" s="14" t="n"/>
      <c r="J239" s="14" t="n"/>
      <c r="K239" s="17" t="n"/>
      <c r="L239" s="15" t="n"/>
      <c r="M239" s="14" t="n"/>
      <c r="N239" s="17" t="n"/>
      <c r="O239" s="17" t="n"/>
      <c r="P239" s="18" t="n"/>
      <c r="Q239" s="11">
        <f>IF($A239="","",IF($H239="Stock",IF($I239="Buy",-$M239*$N239-$P239,IF($I239="Sell",IF($N239="", $M239*$O239-$P239,($O239-$N239)*$M239-$P239),"")),IF($I239="Sell",($N239-IF($O239="",0,$O239))*$M239*100-$P239,IF($I239="Buy",(IF($O239="",0,$O239)-$N239)*$M239*100-$P239,""))))</f>
        <v/>
      </c>
      <c r="R239" s="11">
        <f>IF($A239="","",IF($C239="Open","",$Q239))</f>
        <v/>
      </c>
      <c r="S239" s="12">
        <f>IF($A239="","",IFS($B239="Covered Call","Covered Call Premium",$B239="Cash Secured Put","Cash Secured Put Premium",$B239="Long Call/Put","Long Call/Put P/L",$B239="Debit Spread","Long Call/Put P/L",$B239="Stock Sale","Stock Sales",TRUE,"Other"))</f>
        <v/>
      </c>
      <c r="T239" s="11">
        <f>IF($A239="","",IF($B239="Cash Secured Put",$K239*$M239*100,IF($B239="Covered Call",$K239*$M239*100,IF($H239="Stock",$M239*$N239,""))))</f>
        <v/>
      </c>
      <c r="U239" s="19">
        <f>IF(OR($A239="",$C239&lt;&gt;"Closed",$D239="",$E239="",$T239=0),"",$R239/$T239*365/MAX(1,$E239-$D239))</f>
        <v/>
      </c>
      <c r="V239" s="14" t="n"/>
      <c r="W239" s="12" t="n"/>
    </row>
    <row r="240">
      <c r="A240" s="12" t="n"/>
      <c r="B240" s="14" t="n"/>
      <c r="C240" s="14" t="n"/>
      <c r="D240" s="15" t="n"/>
      <c r="E240" s="15" t="n"/>
      <c r="F240" s="16">
        <f>IF($E240="","",DATE(YEAR($E240),MONTH($E240),1))</f>
        <v/>
      </c>
      <c r="G240" s="14" t="n"/>
      <c r="H240" s="14" t="n"/>
      <c r="I240" s="14" t="n"/>
      <c r="J240" s="14" t="n"/>
      <c r="K240" s="17" t="n"/>
      <c r="L240" s="15" t="n"/>
      <c r="M240" s="14" t="n"/>
      <c r="N240" s="17" t="n"/>
      <c r="O240" s="17" t="n"/>
      <c r="P240" s="18" t="n"/>
      <c r="Q240" s="11">
        <f>IF($A240="","",IF($H240="Stock",IF($I240="Buy",-$M240*$N240-$P240,IF($I240="Sell",IF($N240="", $M240*$O240-$P240,($O240-$N240)*$M240-$P240),"")),IF($I240="Sell",($N240-IF($O240="",0,$O240))*$M240*100-$P240,IF($I240="Buy",(IF($O240="",0,$O240)-$N240)*$M240*100-$P240,""))))</f>
        <v/>
      </c>
      <c r="R240" s="11">
        <f>IF($A240="","",IF($C240="Open","",$Q240))</f>
        <v/>
      </c>
      <c r="S240" s="12">
        <f>IF($A240="","",IFS($B240="Covered Call","Covered Call Premium",$B240="Cash Secured Put","Cash Secured Put Premium",$B240="Long Call/Put","Long Call/Put P/L",$B240="Debit Spread","Long Call/Put P/L",$B240="Stock Sale","Stock Sales",TRUE,"Other"))</f>
        <v/>
      </c>
      <c r="T240" s="11">
        <f>IF($A240="","",IF($B240="Cash Secured Put",$K240*$M240*100,IF($B240="Covered Call",$K240*$M240*100,IF($H240="Stock",$M240*$N240,""))))</f>
        <v/>
      </c>
      <c r="U240" s="19">
        <f>IF(OR($A240="",$C240&lt;&gt;"Closed",$D240="",$E240="",$T240=0),"",$R240/$T240*365/MAX(1,$E240-$D240))</f>
        <v/>
      </c>
      <c r="V240" s="14" t="n"/>
      <c r="W240" s="12" t="n"/>
    </row>
    <row r="241">
      <c r="A241" s="12" t="n"/>
      <c r="B241" s="14" t="n"/>
      <c r="C241" s="14" t="n"/>
      <c r="D241" s="15" t="n"/>
      <c r="E241" s="15" t="n"/>
      <c r="F241" s="16">
        <f>IF($E241="","",DATE(YEAR($E241),MONTH($E241),1))</f>
        <v/>
      </c>
      <c r="G241" s="14" t="n"/>
      <c r="H241" s="14" t="n"/>
      <c r="I241" s="14" t="n"/>
      <c r="J241" s="14" t="n"/>
      <c r="K241" s="17" t="n"/>
      <c r="L241" s="15" t="n"/>
      <c r="M241" s="14" t="n"/>
      <c r="N241" s="17" t="n"/>
      <c r="O241" s="17" t="n"/>
      <c r="P241" s="18" t="n"/>
      <c r="Q241" s="11">
        <f>IF($A241="","",IF($H241="Stock",IF($I241="Buy",-$M241*$N241-$P241,IF($I241="Sell",IF($N241="", $M241*$O241-$P241,($O241-$N241)*$M241-$P241),"")),IF($I241="Sell",($N241-IF($O241="",0,$O241))*$M241*100-$P241,IF($I241="Buy",(IF($O241="",0,$O241)-$N241)*$M241*100-$P241,""))))</f>
        <v/>
      </c>
      <c r="R241" s="11">
        <f>IF($A241="","",IF($C241="Open","",$Q241))</f>
        <v/>
      </c>
      <c r="S241" s="12">
        <f>IF($A241="","",IFS($B241="Covered Call","Covered Call Premium",$B241="Cash Secured Put","Cash Secured Put Premium",$B241="Long Call/Put","Long Call/Put P/L",$B241="Debit Spread","Long Call/Put P/L",$B241="Stock Sale","Stock Sales",TRUE,"Other"))</f>
        <v/>
      </c>
      <c r="T241" s="11">
        <f>IF($A241="","",IF($B241="Cash Secured Put",$K241*$M241*100,IF($B241="Covered Call",$K241*$M241*100,IF($H241="Stock",$M241*$N241,""))))</f>
        <v/>
      </c>
      <c r="U241" s="19">
        <f>IF(OR($A241="",$C241&lt;&gt;"Closed",$D241="",$E241="",$T241=0),"",$R241/$T241*365/MAX(1,$E241-$D241))</f>
        <v/>
      </c>
      <c r="V241" s="14" t="n"/>
      <c r="W241" s="12" t="n"/>
    </row>
    <row r="242">
      <c r="A242" s="12" t="n"/>
      <c r="B242" s="14" t="n"/>
      <c r="C242" s="14" t="n"/>
      <c r="D242" s="15" t="n"/>
      <c r="E242" s="15" t="n"/>
      <c r="F242" s="16">
        <f>IF($E242="","",DATE(YEAR($E242),MONTH($E242),1))</f>
        <v/>
      </c>
      <c r="G242" s="14" t="n"/>
      <c r="H242" s="14" t="n"/>
      <c r="I242" s="14" t="n"/>
      <c r="J242" s="14" t="n"/>
      <c r="K242" s="17" t="n"/>
      <c r="L242" s="15" t="n"/>
      <c r="M242" s="14" t="n"/>
      <c r="N242" s="17" t="n"/>
      <c r="O242" s="17" t="n"/>
      <c r="P242" s="18" t="n"/>
      <c r="Q242" s="11">
        <f>IF($A242="","",IF($H242="Stock",IF($I242="Buy",-$M242*$N242-$P242,IF($I242="Sell",IF($N242="", $M242*$O242-$P242,($O242-$N242)*$M242-$P242),"")),IF($I242="Sell",($N242-IF($O242="",0,$O242))*$M242*100-$P242,IF($I242="Buy",(IF($O242="",0,$O242)-$N242)*$M242*100-$P242,""))))</f>
        <v/>
      </c>
      <c r="R242" s="11">
        <f>IF($A242="","",IF($C242="Open","",$Q242))</f>
        <v/>
      </c>
      <c r="S242" s="12">
        <f>IF($A242="","",IFS($B242="Covered Call","Covered Call Premium",$B242="Cash Secured Put","Cash Secured Put Premium",$B242="Long Call/Put","Long Call/Put P/L",$B242="Debit Spread","Long Call/Put P/L",$B242="Stock Sale","Stock Sales",TRUE,"Other"))</f>
        <v/>
      </c>
      <c r="T242" s="11">
        <f>IF($A242="","",IF($B242="Cash Secured Put",$K242*$M242*100,IF($B242="Covered Call",$K242*$M242*100,IF($H242="Stock",$M242*$N242,""))))</f>
        <v/>
      </c>
      <c r="U242" s="19">
        <f>IF(OR($A242="",$C242&lt;&gt;"Closed",$D242="",$E242="",$T242=0),"",$R242/$T242*365/MAX(1,$E242-$D242))</f>
        <v/>
      </c>
      <c r="V242" s="14" t="n"/>
      <c r="W242" s="12" t="n"/>
    </row>
    <row r="243">
      <c r="A243" s="12" t="n"/>
      <c r="B243" s="14" t="n"/>
      <c r="C243" s="14" t="n"/>
      <c r="D243" s="15" t="n"/>
      <c r="E243" s="15" t="n"/>
      <c r="F243" s="16">
        <f>IF($E243="","",DATE(YEAR($E243),MONTH($E243),1))</f>
        <v/>
      </c>
      <c r="G243" s="14" t="n"/>
      <c r="H243" s="14" t="n"/>
      <c r="I243" s="14" t="n"/>
      <c r="J243" s="14" t="n"/>
      <c r="K243" s="17" t="n"/>
      <c r="L243" s="15" t="n"/>
      <c r="M243" s="14" t="n"/>
      <c r="N243" s="17" t="n"/>
      <c r="O243" s="17" t="n"/>
      <c r="P243" s="18" t="n"/>
      <c r="Q243" s="11">
        <f>IF($A243="","",IF($H243="Stock",IF($I243="Buy",-$M243*$N243-$P243,IF($I243="Sell",IF($N243="", $M243*$O243-$P243,($O243-$N243)*$M243-$P243),"")),IF($I243="Sell",($N243-IF($O243="",0,$O243))*$M243*100-$P243,IF($I243="Buy",(IF($O243="",0,$O243)-$N243)*$M243*100-$P243,""))))</f>
        <v/>
      </c>
      <c r="R243" s="11">
        <f>IF($A243="","",IF($C243="Open","",$Q243))</f>
        <v/>
      </c>
      <c r="S243" s="12">
        <f>IF($A243="","",IFS($B243="Covered Call","Covered Call Premium",$B243="Cash Secured Put","Cash Secured Put Premium",$B243="Long Call/Put","Long Call/Put P/L",$B243="Debit Spread","Long Call/Put P/L",$B243="Stock Sale","Stock Sales",TRUE,"Other"))</f>
        <v/>
      </c>
      <c r="T243" s="11">
        <f>IF($A243="","",IF($B243="Cash Secured Put",$K243*$M243*100,IF($B243="Covered Call",$K243*$M243*100,IF($H243="Stock",$M243*$N243,""))))</f>
        <v/>
      </c>
      <c r="U243" s="19">
        <f>IF(OR($A243="",$C243&lt;&gt;"Closed",$D243="",$E243="",$T243=0),"",$R243/$T243*365/MAX(1,$E243-$D243))</f>
        <v/>
      </c>
      <c r="V243" s="14" t="n"/>
      <c r="W243" s="12" t="n"/>
    </row>
    <row r="244">
      <c r="A244" s="12" t="n"/>
      <c r="B244" s="14" t="n"/>
      <c r="C244" s="14" t="n"/>
      <c r="D244" s="15" t="n"/>
      <c r="E244" s="15" t="n"/>
      <c r="F244" s="16">
        <f>IF($E244="","",DATE(YEAR($E244),MONTH($E244),1))</f>
        <v/>
      </c>
      <c r="G244" s="14" t="n"/>
      <c r="H244" s="14" t="n"/>
      <c r="I244" s="14" t="n"/>
      <c r="J244" s="14" t="n"/>
      <c r="K244" s="17" t="n"/>
      <c r="L244" s="15" t="n"/>
      <c r="M244" s="14" t="n"/>
      <c r="N244" s="17" t="n"/>
      <c r="O244" s="17" t="n"/>
      <c r="P244" s="18" t="n"/>
      <c r="Q244" s="11">
        <f>IF($A244="","",IF($H244="Stock",IF($I244="Buy",-$M244*$N244-$P244,IF($I244="Sell",IF($N244="", $M244*$O244-$P244,($O244-$N244)*$M244-$P244),"")),IF($I244="Sell",($N244-IF($O244="",0,$O244))*$M244*100-$P244,IF($I244="Buy",(IF($O244="",0,$O244)-$N244)*$M244*100-$P244,""))))</f>
        <v/>
      </c>
      <c r="R244" s="11">
        <f>IF($A244="","",IF($C244="Open","",$Q244))</f>
        <v/>
      </c>
      <c r="S244" s="12">
        <f>IF($A244="","",IFS($B244="Covered Call","Covered Call Premium",$B244="Cash Secured Put","Cash Secured Put Premium",$B244="Long Call/Put","Long Call/Put P/L",$B244="Debit Spread","Long Call/Put P/L",$B244="Stock Sale","Stock Sales",TRUE,"Other"))</f>
        <v/>
      </c>
      <c r="T244" s="11">
        <f>IF($A244="","",IF($B244="Cash Secured Put",$K244*$M244*100,IF($B244="Covered Call",$K244*$M244*100,IF($H244="Stock",$M244*$N244,""))))</f>
        <v/>
      </c>
      <c r="U244" s="19">
        <f>IF(OR($A244="",$C244&lt;&gt;"Closed",$D244="",$E244="",$T244=0),"",$R244/$T244*365/MAX(1,$E244-$D244))</f>
        <v/>
      </c>
      <c r="V244" s="14" t="n"/>
      <c r="W244" s="12" t="n"/>
    </row>
    <row r="245">
      <c r="A245" s="12" t="n"/>
      <c r="B245" s="14" t="n"/>
      <c r="C245" s="14" t="n"/>
      <c r="D245" s="15" t="n"/>
      <c r="E245" s="15" t="n"/>
      <c r="F245" s="16">
        <f>IF($E245="","",DATE(YEAR($E245),MONTH($E245),1))</f>
        <v/>
      </c>
      <c r="G245" s="14" t="n"/>
      <c r="H245" s="14" t="n"/>
      <c r="I245" s="14" t="n"/>
      <c r="J245" s="14" t="n"/>
      <c r="K245" s="17" t="n"/>
      <c r="L245" s="15" t="n"/>
      <c r="M245" s="14" t="n"/>
      <c r="N245" s="17" t="n"/>
      <c r="O245" s="17" t="n"/>
      <c r="P245" s="18" t="n"/>
      <c r="Q245" s="11">
        <f>IF($A245="","",IF($H245="Stock",IF($I245="Buy",-$M245*$N245-$P245,IF($I245="Sell",IF($N245="", $M245*$O245-$P245,($O245-$N245)*$M245-$P245),"")),IF($I245="Sell",($N245-IF($O245="",0,$O245))*$M245*100-$P245,IF($I245="Buy",(IF($O245="",0,$O245)-$N245)*$M245*100-$P245,""))))</f>
        <v/>
      </c>
      <c r="R245" s="11">
        <f>IF($A245="","",IF($C245="Open","",$Q245))</f>
        <v/>
      </c>
      <c r="S245" s="12">
        <f>IF($A245="","",IFS($B245="Covered Call","Covered Call Premium",$B245="Cash Secured Put","Cash Secured Put Premium",$B245="Long Call/Put","Long Call/Put P/L",$B245="Debit Spread","Long Call/Put P/L",$B245="Stock Sale","Stock Sales",TRUE,"Other"))</f>
        <v/>
      </c>
      <c r="T245" s="11">
        <f>IF($A245="","",IF($B245="Cash Secured Put",$K245*$M245*100,IF($B245="Covered Call",$K245*$M245*100,IF($H245="Stock",$M245*$N245,""))))</f>
        <v/>
      </c>
      <c r="U245" s="19">
        <f>IF(OR($A245="",$C245&lt;&gt;"Closed",$D245="",$E245="",$T245=0),"",$R245/$T245*365/MAX(1,$E245-$D245))</f>
        <v/>
      </c>
      <c r="V245" s="14" t="n"/>
      <c r="W245" s="12" t="n"/>
    </row>
    <row r="246">
      <c r="A246" s="12" t="n"/>
      <c r="B246" s="14" t="n"/>
      <c r="C246" s="14" t="n"/>
      <c r="D246" s="15" t="n"/>
      <c r="E246" s="15" t="n"/>
      <c r="F246" s="16">
        <f>IF($E246="","",DATE(YEAR($E246),MONTH($E246),1))</f>
        <v/>
      </c>
      <c r="G246" s="14" t="n"/>
      <c r="H246" s="14" t="n"/>
      <c r="I246" s="14" t="n"/>
      <c r="J246" s="14" t="n"/>
      <c r="K246" s="17" t="n"/>
      <c r="L246" s="15" t="n"/>
      <c r="M246" s="14" t="n"/>
      <c r="N246" s="17" t="n"/>
      <c r="O246" s="17" t="n"/>
      <c r="P246" s="18" t="n"/>
      <c r="Q246" s="11">
        <f>IF($A246="","",IF($H246="Stock",IF($I246="Buy",-$M246*$N246-$P246,IF($I246="Sell",IF($N246="", $M246*$O246-$P246,($O246-$N246)*$M246-$P246),"")),IF($I246="Sell",($N246-IF($O246="",0,$O246))*$M246*100-$P246,IF($I246="Buy",(IF($O246="",0,$O246)-$N246)*$M246*100-$P246,""))))</f>
        <v/>
      </c>
      <c r="R246" s="11">
        <f>IF($A246="","",IF($C246="Open","",$Q246))</f>
        <v/>
      </c>
      <c r="S246" s="12">
        <f>IF($A246="","",IFS($B246="Covered Call","Covered Call Premium",$B246="Cash Secured Put","Cash Secured Put Premium",$B246="Long Call/Put","Long Call/Put P/L",$B246="Debit Spread","Long Call/Put P/L",$B246="Stock Sale","Stock Sales",TRUE,"Other"))</f>
        <v/>
      </c>
      <c r="T246" s="11">
        <f>IF($A246="","",IF($B246="Cash Secured Put",$K246*$M246*100,IF($B246="Covered Call",$K246*$M246*100,IF($H246="Stock",$M246*$N246,""))))</f>
        <v/>
      </c>
      <c r="U246" s="19">
        <f>IF(OR($A246="",$C246&lt;&gt;"Closed",$D246="",$E246="",$T246=0),"",$R246/$T246*365/MAX(1,$E246-$D246))</f>
        <v/>
      </c>
      <c r="V246" s="14" t="n"/>
      <c r="W246" s="12" t="n"/>
    </row>
    <row r="247">
      <c r="A247" s="12" t="n"/>
      <c r="B247" s="14" t="n"/>
      <c r="C247" s="14" t="n"/>
      <c r="D247" s="15" t="n"/>
      <c r="E247" s="15" t="n"/>
      <c r="F247" s="16">
        <f>IF($E247="","",DATE(YEAR($E247),MONTH($E247),1))</f>
        <v/>
      </c>
      <c r="G247" s="14" t="n"/>
      <c r="H247" s="14" t="n"/>
      <c r="I247" s="14" t="n"/>
      <c r="J247" s="14" t="n"/>
      <c r="K247" s="17" t="n"/>
      <c r="L247" s="15" t="n"/>
      <c r="M247" s="14" t="n"/>
      <c r="N247" s="17" t="n"/>
      <c r="O247" s="17" t="n"/>
      <c r="P247" s="18" t="n"/>
      <c r="Q247" s="11">
        <f>IF($A247="","",IF($H247="Stock",IF($I247="Buy",-$M247*$N247-$P247,IF($I247="Sell",IF($N247="", $M247*$O247-$P247,($O247-$N247)*$M247-$P247),"")),IF($I247="Sell",($N247-IF($O247="",0,$O247))*$M247*100-$P247,IF($I247="Buy",(IF($O247="",0,$O247)-$N247)*$M247*100-$P247,""))))</f>
        <v/>
      </c>
      <c r="R247" s="11">
        <f>IF($A247="","",IF($C247="Open","",$Q247))</f>
        <v/>
      </c>
      <c r="S247" s="12">
        <f>IF($A247="","",IFS($B247="Covered Call","Covered Call Premium",$B247="Cash Secured Put","Cash Secured Put Premium",$B247="Long Call/Put","Long Call/Put P/L",$B247="Debit Spread","Long Call/Put P/L",$B247="Stock Sale","Stock Sales",TRUE,"Other"))</f>
        <v/>
      </c>
      <c r="T247" s="11">
        <f>IF($A247="","",IF($B247="Cash Secured Put",$K247*$M247*100,IF($B247="Covered Call",$K247*$M247*100,IF($H247="Stock",$M247*$N247,""))))</f>
        <v/>
      </c>
      <c r="U247" s="19">
        <f>IF(OR($A247="",$C247&lt;&gt;"Closed",$D247="",$E247="",$T247=0),"",$R247/$T247*365/MAX(1,$E247-$D247))</f>
        <v/>
      </c>
      <c r="V247" s="14" t="n"/>
      <c r="W247" s="12" t="n"/>
    </row>
    <row r="248">
      <c r="A248" s="12" t="n"/>
      <c r="B248" s="14" t="n"/>
      <c r="C248" s="14" t="n"/>
      <c r="D248" s="15" t="n"/>
      <c r="E248" s="15" t="n"/>
      <c r="F248" s="16">
        <f>IF($E248="","",DATE(YEAR($E248),MONTH($E248),1))</f>
        <v/>
      </c>
      <c r="G248" s="14" t="n"/>
      <c r="H248" s="14" t="n"/>
      <c r="I248" s="14" t="n"/>
      <c r="J248" s="14" t="n"/>
      <c r="K248" s="17" t="n"/>
      <c r="L248" s="15" t="n"/>
      <c r="M248" s="14" t="n"/>
      <c r="N248" s="17" t="n"/>
      <c r="O248" s="17" t="n"/>
      <c r="P248" s="18" t="n"/>
      <c r="Q248" s="11">
        <f>IF($A248="","",IF($H248="Stock",IF($I248="Buy",-$M248*$N248-$P248,IF($I248="Sell",IF($N248="", $M248*$O248-$P248,($O248-$N248)*$M248-$P248),"")),IF($I248="Sell",($N248-IF($O248="",0,$O248))*$M248*100-$P248,IF($I248="Buy",(IF($O248="",0,$O248)-$N248)*$M248*100-$P248,""))))</f>
        <v/>
      </c>
      <c r="R248" s="11">
        <f>IF($A248="","",IF($C248="Open","",$Q248))</f>
        <v/>
      </c>
      <c r="S248" s="12">
        <f>IF($A248="","",IFS($B248="Covered Call","Covered Call Premium",$B248="Cash Secured Put","Cash Secured Put Premium",$B248="Long Call/Put","Long Call/Put P/L",$B248="Debit Spread","Long Call/Put P/L",$B248="Stock Sale","Stock Sales",TRUE,"Other"))</f>
        <v/>
      </c>
      <c r="T248" s="11">
        <f>IF($A248="","",IF($B248="Cash Secured Put",$K248*$M248*100,IF($B248="Covered Call",$K248*$M248*100,IF($H248="Stock",$M248*$N248,""))))</f>
        <v/>
      </c>
      <c r="U248" s="19">
        <f>IF(OR($A248="",$C248&lt;&gt;"Closed",$D248="",$E248="",$T248=0),"",$R248/$T248*365/MAX(1,$E248-$D248))</f>
        <v/>
      </c>
      <c r="V248" s="14" t="n"/>
      <c r="W248" s="12" t="n"/>
    </row>
    <row r="249">
      <c r="A249" s="12" t="n"/>
      <c r="B249" s="14" t="n"/>
      <c r="C249" s="14" t="n"/>
      <c r="D249" s="15" t="n"/>
      <c r="E249" s="15" t="n"/>
      <c r="F249" s="16">
        <f>IF($E249="","",DATE(YEAR($E249),MONTH($E249),1))</f>
        <v/>
      </c>
      <c r="G249" s="14" t="n"/>
      <c r="H249" s="14" t="n"/>
      <c r="I249" s="14" t="n"/>
      <c r="J249" s="14" t="n"/>
      <c r="K249" s="17" t="n"/>
      <c r="L249" s="15" t="n"/>
      <c r="M249" s="14" t="n"/>
      <c r="N249" s="17" t="n"/>
      <c r="O249" s="17" t="n"/>
      <c r="P249" s="18" t="n"/>
      <c r="Q249" s="11">
        <f>IF($A249="","",IF($H249="Stock",IF($I249="Buy",-$M249*$N249-$P249,IF($I249="Sell",IF($N249="", $M249*$O249-$P249,($O249-$N249)*$M249-$P249),"")),IF($I249="Sell",($N249-IF($O249="",0,$O249))*$M249*100-$P249,IF($I249="Buy",(IF($O249="",0,$O249)-$N249)*$M249*100-$P249,""))))</f>
        <v/>
      </c>
      <c r="R249" s="11">
        <f>IF($A249="","",IF($C249="Open","",$Q249))</f>
        <v/>
      </c>
      <c r="S249" s="12">
        <f>IF($A249="","",IFS($B249="Covered Call","Covered Call Premium",$B249="Cash Secured Put","Cash Secured Put Premium",$B249="Long Call/Put","Long Call/Put P/L",$B249="Debit Spread","Long Call/Put P/L",$B249="Stock Sale","Stock Sales",TRUE,"Other"))</f>
        <v/>
      </c>
      <c r="T249" s="11">
        <f>IF($A249="","",IF($B249="Cash Secured Put",$K249*$M249*100,IF($B249="Covered Call",$K249*$M249*100,IF($H249="Stock",$M249*$N249,""))))</f>
        <v/>
      </c>
      <c r="U249" s="19">
        <f>IF(OR($A249="",$C249&lt;&gt;"Closed",$D249="",$E249="",$T249=0),"",$R249/$T249*365/MAX(1,$E249-$D249))</f>
        <v/>
      </c>
      <c r="V249" s="14" t="n"/>
      <c r="W249" s="12" t="n"/>
    </row>
    <row r="250">
      <c r="A250" s="12" t="n"/>
      <c r="B250" s="14" t="n"/>
      <c r="C250" s="14" t="n"/>
      <c r="D250" s="15" t="n"/>
      <c r="E250" s="15" t="n"/>
      <c r="F250" s="16">
        <f>IF($E250="","",DATE(YEAR($E250),MONTH($E250),1))</f>
        <v/>
      </c>
      <c r="G250" s="14" t="n"/>
      <c r="H250" s="14" t="n"/>
      <c r="I250" s="14" t="n"/>
      <c r="J250" s="14" t="n"/>
      <c r="K250" s="17" t="n"/>
      <c r="L250" s="15" t="n"/>
      <c r="M250" s="14" t="n"/>
      <c r="N250" s="17" t="n"/>
      <c r="O250" s="17" t="n"/>
      <c r="P250" s="18" t="n"/>
      <c r="Q250" s="11">
        <f>IF($A250="","",IF($H250="Stock",IF($I250="Buy",-$M250*$N250-$P250,IF($I250="Sell",IF($N250="", $M250*$O250-$P250,($O250-$N250)*$M250-$P250),"")),IF($I250="Sell",($N250-IF($O250="",0,$O250))*$M250*100-$P250,IF($I250="Buy",(IF($O250="",0,$O250)-$N250)*$M250*100-$P250,""))))</f>
        <v/>
      </c>
      <c r="R250" s="11">
        <f>IF($A250="","",IF($C250="Open","",$Q250))</f>
        <v/>
      </c>
      <c r="S250" s="12">
        <f>IF($A250="","",IFS($B250="Covered Call","Covered Call Premium",$B250="Cash Secured Put","Cash Secured Put Premium",$B250="Long Call/Put","Long Call/Put P/L",$B250="Debit Spread","Long Call/Put P/L",$B250="Stock Sale","Stock Sales",TRUE,"Other"))</f>
        <v/>
      </c>
      <c r="T250" s="11">
        <f>IF($A250="","",IF($B250="Cash Secured Put",$K250*$M250*100,IF($B250="Covered Call",$K250*$M250*100,IF($H250="Stock",$M250*$N250,""))))</f>
        <v/>
      </c>
      <c r="U250" s="19">
        <f>IF(OR($A250="",$C250&lt;&gt;"Closed",$D250="",$E250="",$T250=0),"",$R250/$T250*365/MAX(1,$E250-$D250))</f>
        <v/>
      </c>
      <c r="V250" s="14" t="n"/>
      <c r="W250" s="12" t="n"/>
    </row>
    <row r="251">
      <c r="A251" s="12" t="n"/>
      <c r="B251" s="14" t="n"/>
      <c r="C251" s="14" t="n"/>
      <c r="D251" s="15" t="n"/>
      <c r="E251" s="15" t="n"/>
      <c r="F251" s="16">
        <f>IF($E251="","",DATE(YEAR($E251),MONTH($E251),1))</f>
        <v/>
      </c>
      <c r="G251" s="14" t="n"/>
      <c r="H251" s="14" t="n"/>
      <c r="I251" s="14" t="n"/>
      <c r="J251" s="14" t="n"/>
      <c r="K251" s="17" t="n"/>
      <c r="L251" s="15" t="n"/>
      <c r="M251" s="14" t="n"/>
      <c r="N251" s="17" t="n"/>
      <c r="O251" s="17" t="n"/>
      <c r="P251" s="18" t="n"/>
      <c r="Q251" s="11">
        <f>IF($A251="","",IF($H251="Stock",IF($I251="Buy",-$M251*$N251-$P251,IF($I251="Sell",IF($N251="", $M251*$O251-$P251,($O251-$N251)*$M251-$P251),"")),IF($I251="Sell",($N251-IF($O251="",0,$O251))*$M251*100-$P251,IF($I251="Buy",(IF($O251="",0,$O251)-$N251)*$M251*100-$P251,""))))</f>
        <v/>
      </c>
      <c r="R251" s="11">
        <f>IF($A251="","",IF($C251="Open","",$Q251))</f>
        <v/>
      </c>
      <c r="S251" s="12">
        <f>IF($A251="","",IFS($B251="Covered Call","Covered Call Premium",$B251="Cash Secured Put","Cash Secured Put Premium",$B251="Long Call/Put","Long Call/Put P/L",$B251="Debit Spread","Long Call/Put P/L",$B251="Stock Sale","Stock Sales",TRUE,"Other"))</f>
        <v/>
      </c>
      <c r="T251" s="11">
        <f>IF($A251="","",IF($B251="Cash Secured Put",$K251*$M251*100,IF($B251="Covered Call",$K251*$M251*100,IF($H251="Stock",$M251*$N251,""))))</f>
        <v/>
      </c>
      <c r="U251" s="19">
        <f>IF(OR($A251="",$C251&lt;&gt;"Closed",$D251="",$E251="",$T251=0),"",$R251/$T251*365/MAX(1,$E251-$D251))</f>
        <v/>
      </c>
      <c r="V251" s="14" t="n"/>
      <c r="W251" s="12" t="n"/>
    </row>
    <row r="252">
      <c r="A252" s="12" t="n"/>
      <c r="B252" s="14" t="n"/>
      <c r="C252" s="14" t="n"/>
      <c r="D252" s="15" t="n"/>
      <c r="E252" s="15" t="n"/>
      <c r="F252" s="16">
        <f>IF($E252="","",DATE(YEAR($E252),MONTH($E252),1))</f>
        <v/>
      </c>
      <c r="G252" s="14" t="n"/>
      <c r="H252" s="14" t="n"/>
      <c r="I252" s="14" t="n"/>
      <c r="J252" s="14" t="n"/>
      <c r="K252" s="17" t="n"/>
      <c r="L252" s="15" t="n"/>
      <c r="M252" s="14" t="n"/>
      <c r="N252" s="17" t="n"/>
      <c r="O252" s="17" t="n"/>
      <c r="P252" s="18" t="n"/>
      <c r="Q252" s="11">
        <f>IF($A252="","",IF($H252="Stock",IF($I252="Buy",-$M252*$N252-$P252,IF($I252="Sell",IF($N252="", $M252*$O252-$P252,($O252-$N252)*$M252-$P252),"")),IF($I252="Sell",($N252-IF($O252="",0,$O252))*$M252*100-$P252,IF($I252="Buy",(IF($O252="",0,$O252)-$N252)*$M252*100-$P252,""))))</f>
        <v/>
      </c>
      <c r="R252" s="11">
        <f>IF($A252="","",IF($C252="Open","",$Q252))</f>
        <v/>
      </c>
      <c r="S252" s="12">
        <f>IF($A252="","",IFS($B252="Covered Call","Covered Call Premium",$B252="Cash Secured Put","Cash Secured Put Premium",$B252="Long Call/Put","Long Call/Put P/L",$B252="Debit Spread","Long Call/Put P/L",$B252="Stock Sale","Stock Sales",TRUE,"Other"))</f>
        <v/>
      </c>
      <c r="T252" s="11">
        <f>IF($A252="","",IF($B252="Cash Secured Put",$K252*$M252*100,IF($B252="Covered Call",$K252*$M252*100,IF($H252="Stock",$M252*$N252,""))))</f>
        <v/>
      </c>
      <c r="U252" s="19">
        <f>IF(OR($A252="",$C252&lt;&gt;"Closed",$D252="",$E252="",$T252=0),"",$R252/$T252*365/MAX(1,$E252-$D252))</f>
        <v/>
      </c>
      <c r="V252" s="14" t="n"/>
      <c r="W252" s="12" t="n"/>
    </row>
    <row r="253">
      <c r="A253" s="12" t="n"/>
      <c r="B253" s="14" t="n"/>
      <c r="C253" s="14" t="n"/>
      <c r="D253" s="15" t="n"/>
      <c r="E253" s="15" t="n"/>
      <c r="F253" s="16">
        <f>IF($E253="","",DATE(YEAR($E253),MONTH($E253),1))</f>
        <v/>
      </c>
      <c r="G253" s="14" t="n"/>
      <c r="H253" s="14" t="n"/>
      <c r="I253" s="14" t="n"/>
      <c r="J253" s="14" t="n"/>
      <c r="K253" s="17" t="n"/>
      <c r="L253" s="15" t="n"/>
      <c r="M253" s="14" t="n"/>
      <c r="N253" s="17" t="n"/>
      <c r="O253" s="17" t="n"/>
      <c r="P253" s="18" t="n"/>
      <c r="Q253" s="11">
        <f>IF($A253="","",IF($H253="Stock",IF($I253="Buy",-$M253*$N253-$P253,IF($I253="Sell",IF($N253="", $M253*$O253-$P253,($O253-$N253)*$M253-$P253),"")),IF($I253="Sell",($N253-IF($O253="",0,$O253))*$M253*100-$P253,IF($I253="Buy",(IF($O253="",0,$O253)-$N253)*$M253*100-$P253,""))))</f>
        <v/>
      </c>
      <c r="R253" s="11">
        <f>IF($A253="","",IF($C253="Open","",$Q253))</f>
        <v/>
      </c>
      <c r="S253" s="12">
        <f>IF($A253="","",IFS($B253="Covered Call","Covered Call Premium",$B253="Cash Secured Put","Cash Secured Put Premium",$B253="Long Call/Put","Long Call/Put P/L",$B253="Debit Spread","Long Call/Put P/L",$B253="Stock Sale","Stock Sales",TRUE,"Other"))</f>
        <v/>
      </c>
      <c r="T253" s="11">
        <f>IF($A253="","",IF($B253="Cash Secured Put",$K253*$M253*100,IF($B253="Covered Call",$K253*$M253*100,IF($H253="Stock",$M253*$N253,""))))</f>
        <v/>
      </c>
      <c r="U253" s="19">
        <f>IF(OR($A253="",$C253&lt;&gt;"Closed",$D253="",$E253="",$T253=0),"",$R253/$T253*365/MAX(1,$E253-$D253))</f>
        <v/>
      </c>
      <c r="V253" s="14" t="n"/>
      <c r="W253" s="12" t="n"/>
    </row>
    <row r="254">
      <c r="A254" s="12" t="n"/>
      <c r="B254" s="14" t="n"/>
      <c r="C254" s="14" t="n"/>
      <c r="D254" s="15" t="n"/>
      <c r="E254" s="15" t="n"/>
      <c r="F254" s="16">
        <f>IF($E254="","",DATE(YEAR($E254),MONTH($E254),1))</f>
        <v/>
      </c>
      <c r="G254" s="14" t="n"/>
      <c r="H254" s="14" t="n"/>
      <c r="I254" s="14" t="n"/>
      <c r="J254" s="14" t="n"/>
      <c r="K254" s="17" t="n"/>
      <c r="L254" s="15" t="n"/>
      <c r="M254" s="14" t="n"/>
      <c r="N254" s="17" t="n"/>
      <c r="O254" s="17" t="n"/>
      <c r="P254" s="18" t="n"/>
      <c r="Q254" s="11">
        <f>IF($A254="","",IF($H254="Stock",IF($I254="Buy",-$M254*$N254-$P254,IF($I254="Sell",IF($N254="", $M254*$O254-$P254,($O254-$N254)*$M254-$P254),"")),IF($I254="Sell",($N254-IF($O254="",0,$O254))*$M254*100-$P254,IF($I254="Buy",(IF($O254="",0,$O254)-$N254)*$M254*100-$P254,""))))</f>
        <v/>
      </c>
      <c r="R254" s="11">
        <f>IF($A254="","",IF($C254="Open","",$Q254))</f>
        <v/>
      </c>
      <c r="S254" s="12">
        <f>IF($A254="","",IFS($B254="Covered Call","Covered Call Premium",$B254="Cash Secured Put","Cash Secured Put Premium",$B254="Long Call/Put","Long Call/Put P/L",$B254="Debit Spread","Long Call/Put P/L",$B254="Stock Sale","Stock Sales",TRUE,"Other"))</f>
        <v/>
      </c>
      <c r="T254" s="11">
        <f>IF($A254="","",IF($B254="Cash Secured Put",$K254*$M254*100,IF($B254="Covered Call",$K254*$M254*100,IF($H254="Stock",$M254*$N254,""))))</f>
        <v/>
      </c>
      <c r="U254" s="19">
        <f>IF(OR($A254="",$C254&lt;&gt;"Closed",$D254="",$E254="",$T254=0),"",$R254/$T254*365/MAX(1,$E254-$D254))</f>
        <v/>
      </c>
      <c r="V254" s="14" t="n"/>
      <c r="W254" s="12" t="n"/>
    </row>
    <row r="255">
      <c r="A255" s="12" t="n"/>
      <c r="B255" s="14" t="n"/>
      <c r="C255" s="14" t="n"/>
      <c r="D255" s="15" t="n"/>
      <c r="E255" s="15" t="n"/>
      <c r="F255" s="16">
        <f>IF($E255="","",DATE(YEAR($E255),MONTH($E255),1))</f>
        <v/>
      </c>
      <c r="G255" s="14" t="n"/>
      <c r="H255" s="14" t="n"/>
      <c r="I255" s="14" t="n"/>
      <c r="J255" s="14" t="n"/>
      <c r="K255" s="17" t="n"/>
      <c r="L255" s="15" t="n"/>
      <c r="M255" s="14" t="n"/>
      <c r="N255" s="17" t="n"/>
      <c r="O255" s="17" t="n"/>
      <c r="P255" s="18" t="n"/>
      <c r="Q255" s="11">
        <f>IF($A255="","",IF($H255="Stock",IF($I255="Buy",-$M255*$N255-$P255,IF($I255="Sell",IF($N255="", $M255*$O255-$P255,($O255-$N255)*$M255-$P255),"")),IF($I255="Sell",($N255-IF($O255="",0,$O255))*$M255*100-$P255,IF($I255="Buy",(IF($O255="",0,$O255)-$N255)*$M255*100-$P255,""))))</f>
        <v/>
      </c>
      <c r="R255" s="11">
        <f>IF($A255="","",IF($C255="Open","",$Q255))</f>
        <v/>
      </c>
      <c r="S255" s="12">
        <f>IF($A255="","",IFS($B255="Covered Call","Covered Call Premium",$B255="Cash Secured Put","Cash Secured Put Premium",$B255="Long Call/Put","Long Call/Put P/L",$B255="Debit Spread","Long Call/Put P/L",$B255="Stock Sale","Stock Sales",TRUE,"Other"))</f>
        <v/>
      </c>
      <c r="T255" s="11">
        <f>IF($A255="","",IF($B255="Cash Secured Put",$K255*$M255*100,IF($B255="Covered Call",$K255*$M255*100,IF($H255="Stock",$M255*$N255,""))))</f>
        <v/>
      </c>
      <c r="U255" s="19">
        <f>IF(OR($A255="",$C255&lt;&gt;"Closed",$D255="",$E255="",$T255=0),"",$R255/$T255*365/MAX(1,$E255-$D255))</f>
        <v/>
      </c>
      <c r="V255" s="14" t="n"/>
      <c r="W255" s="12" t="n"/>
    </row>
    <row r="256">
      <c r="A256" s="12" t="n"/>
      <c r="B256" s="14" t="n"/>
      <c r="C256" s="14" t="n"/>
      <c r="D256" s="15" t="n"/>
      <c r="E256" s="15" t="n"/>
      <c r="F256" s="16">
        <f>IF($E256="","",DATE(YEAR($E256),MONTH($E256),1))</f>
        <v/>
      </c>
      <c r="G256" s="14" t="n"/>
      <c r="H256" s="14" t="n"/>
      <c r="I256" s="14" t="n"/>
      <c r="J256" s="14" t="n"/>
      <c r="K256" s="17" t="n"/>
      <c r="L256" s="15" t="n"/>
      <c r="M256" s="14" t="n"/>
      <c r="N256" s="17" t="n"/>
      <c r="O256" s="17" t="n"/>
      <c r="P256" s="18" t="n"/>
      <c r="Q256" s="11">
        <f>IF($A256="","",IF($H256="Stock",IF($I256="Buy",-$M256*$N256-$P256,IF($I256="Sell",IF($N256="", $M256*$O256-$P256,($O256-$N256)*$M256-$P256),"")),IF($I256="Sell",($N256-IF($O256="",0,$O256))*$M256*100-$P256,IF($I256="Buy",(IF($O256="",0,$O256)-$N256)*$M256*100-$P256,""))))</f>
        <v/>
      </c>
      <c r="R256" s="11">
        <f>IF($A256="","",IF($C256="Open","",$Q256))</f>
        <v/>
      </c>
      <c r="S256" s="12">
        <f>IF($A256="","",IFS($B256="Covered Call","Covered Call Premium",$B256="Cash Secured Put","Cash Secured Put Premium",$B256="Long Call/Put","Long Call/Put P/L",$B256="Debit Spread","Long Call/Put P/L",$B256="Stock Sale","Stock Sales",TRUE,"Other"))</f>
        <v/>
      </c>
      <c r="T256" s="11">
        <f>IF($A256="","",IF($B256="Cash Secured Put",$K256*$M256*100,IF($B256="Covered Call",$K256*$M256*100,IF($H256="Stock",$M256*$N256,""))))</f>
        <v/>
      </c>
      <c r="U256" s="19">
        <f>IF(OR($A256="",$C256&lt;&gt;"Closed",$D256="",$E256="",$T256=0),"",$R256/$T256*365/MAX(1,$E256-$D256))</f>
        <v/>
      </c>
      <c r="V256" s="14" t="n"/>
      <c r="W256" s="12" t="n"/>
    </row>
    <row r="257">
      <c r="A257" s="12" t="n"/>
      <c r="B257" s="14" t="n"/>
      <c r="C257" s="14" t="n"/>
      <c r="D257" s="15" t="n"/>
      <c r="E257" s="15" t="n"/>
      <c r="F257" s="16">
        <f>IF($E257="","",DATE(YEAR($E257),MONTH($E257),1))</f>
        <v/>
      </c>
      <c r="G257" s="14" t="n"/>
      <c r="H257" s="14" t="n"/>
      <c r="I257" s="14" t="n"/>
      <c r="J257" s="14" t="n"/>
      <c r="K257" s="17" t="n"/>
      <c r="L257" s="15" t="n"/>
      <c r="M257" s="14" t="n"/>
      <c r="N257" s="17" t="n"/>
      <c r="O257" s="17" t="n"/>
      <c r="P257" s="18" t="n"/>
      <c r="Q257" s="11">
        <f>IF($A257="","",IF($H257="Stock",IF($I257="Buy",-$M257*$N257-$P257,IF($I257="Sell",IF($N257="", $M257*$O257-$P257,($O257-$N257)*$M257-$P257),"")),IF($I257="Sell",($N257-IF($O257="",0,$O257))*$M257*100-$P257,IF($I257="Buy",(IF($O257="",0,$O257)-$N257)*$M257*100-$P257,""))))</f>
        <v/>
      </c>
      <c r="R257" s="11">
        <f>IF($A257="","",IF($C257="Open","",$Q257))</f>
        <v/>
      </c>
      <c r="S257" s="12">
        <f>IF($A257="","",IFS($B257="Covered Call","Covered Call Premium",$B257="Cash Secured Put","Cash Secured Put Premium",$B257="Long Call/Put","Long Call/Put P/L",$B257="Debit Spread","Long Call/Put P/L",$B257="Stock Sale","Stock Sales",TRUE,"Other"))</f>
        <v/>
      </c>
      <c r="T257" s="11">
        <f>IF($A257="","",IF($B257="Cash Secured Put",$K257*$M257*100,IF($B257="Covered Call",$K257*$M257*100,IF($H257="Stock",$M257*$N257,""))))</f>
        <v/>
      </c>
      <c r="U257" s="19">
        <f>IF(OR($A257="",$C257&lt;&gt;"Closed",$D257="",$E257="",$T257=0),"",$R257/$T257*365/MAX(1,$E257-$D257))</f>
        <v/>
      </c>
      <c r="V257" s="14" t="n"/>
      <c r="W257" s="12" t="n"/>
    </row>
    <row r="258">
      <c r="A258" s="12" t="n"/>
      <c r="B258" s="14" t="n"/>
      <c r="C258" s="14" t="n"/>
      <c r="D258" s="15" t="n"/>
      <c r="E258" s="15" t="n"/>
      <c r="F258" s="16">
        <f>IF($E258="","",DATE(YEAR($E258),MONTH($E258),1))</f>
        <v/>
      </c>
      <c r="G258" s="14" t="n"/>
      <c r="H258" s="14" t="n"/>
      <c r="I258" s="14" t="n"/>
      <c r="J258" s="14" t="n"/>
      <c r="K258" s="17" t="n"/>
      <c r="L258" s="15" t="n"/>
      <c r="M258" s="14" t="n"/>
      <c r="N258" s="17" t="n"/>
      <c r="O258" s="17" t="n"/>
      <c r="P258" s="18" t="n"/>
      <c r="Q258" s="11">
        <f>IF($A258="","",IF($H258="Stock",IF($I258="Buy",-$M258*$N258-$P258,IF($I258="Sell",IF($N258="", $M258*$O258-$P258,($O258-$N258)*$M258-$P258),"")),IF($I258="Sell",($N258-IF($O258="",0,$O258))*$M258*100-$P258,IF($I258="Buy",(IF($O258="",0,$O258)-$N258)*$M258*100-$P258,""))))</f>
        <v/>
      </c>
      <c r="R258" s="11">
        <f>IF($A258="","",IF($C258="Open","",$Q258))</f>
        <v/>
      </c>
      <c r="S258" s="12">
        <f>IF($A258="","",IFS($B258="Covered Call","Covered Call Premium",$B258="Cash Secured Put","Cash Secured Put Premium",$B258="Long Call/Put","Long Call/Put P/L",$B258="Debit Spread","Long Call/Put P/L",$B258="Stock Sale","Stock Sales",TRUE,"Other"))</f>
        <v/>
      </c>
      <c r="T258" s="11">
        <f>IF($A258="","",IF($B258="Cash Secured Put",$K258*$M258*100,IF($B258="Covered Call",$K258*$M258*100,IF($H258="Stock",$M258*$N258,""))))</f>
        <v/>
      </c>
      <c r="U258" s="19">
        <f>IF(OR($A258="",$C258&lt;&gt;"Closed",$D258="",$E258="",$T258=0),"",$R258/$T258*365/MAX(1,$E258-$D258))</f>
        <v/>
      </c>
      <c r="V258" s="14" t="n"/>
      <c r="W258" s="12" t="n"/>
    </row>
    <row r="259">
      <c r="A259" s="12" t="n"/>
      <c r="B259" s="14" t="n"/>
      <c r="C259" s="14" t="n"/>
      <c r="D259" s="15" t="n"/>
      <c r="E259" s="15" t="n"/>
      <c r="F259" s="16">
        <f>IF($E259="","",DATE(YEAR($E259),MONTH($E259),1))</f>
        <v/>
      </c>
      <c r="G259" s="14" t="n"/>
      <c r="H259" s="14" t="n"/>
      <c r="I259" s="14" t="n"/>
      <c r="J259" s="14" t="n"/>
      <c r="K259" s="17" t="n"/>
      <c r="L259" s="15" t="n"/>
      <c r="M259" s="14" t="n"/>
      <c r="N259" s="17" t="n"/>
      <c r="O259" s="17" t="n"/>
      <c r="P259" s="18" t="n"/>
      <c r="Q259" s="11">
        <f>IF($A259="","",IF($H259="Stock",IF($I259="Buy",-$M259*$N259-$P259,IF($I259="Sell",IF($N259="", $M259*$O259-$P259,($O259-$N259)*$M259-$P259),"")),IF($I259="Sell",($N259-IF($O259="",0,$O259))*$M259*100-$P259,IF($I259="Buy",(IF($O259="",0,$O259)-$N259)*$M259*100-$P259,""))))</f>
        <v/>
      </c>
      <c r="R259" s="11">
        <f>IF($A259="","",IF($C259="Open","",$Q259))</f>
        <v/>
      </c>
      <c r="S259" s="12">
        <f>IF($A259="","",IFS($B259="Covered Call","Covered Call Premium",$B259="Cash Secured Put","Cash Secured Put Premium",$B259="Long Call/Put","Long Call/Put P/L",$B259="Debit Spread","Long Call/Put P/L",$B259="Stock Sale","Stock Sales",TRUE,"Other"))</f>
        <v/>
      </c>
      <c r="T259" s="11">
        <f>IF($A259="","",IF($B259="Cash Secured Put",$K259*$M259*100,IF($B259="Covered Call",$K259*$M259*100,IF($H259="Stock",$M259*$N259,""))))</f>
        <v/>
      </c>
      <c r="U259" s="19">
        <f>IF(OR($A259="",$C259&lt;&gt;"Closed",$D259="",$E259="",$T259=0),"",$R259/$T259*365/MAX(1,$E259-$D259))</f>
        <v/>
      </c>
      <c r="V259" s="14" t="n"/>
      <c r="W259" s="12" t="n"/>
    </row>
    <row r="260">
      <c r="A260" s="12" t="n"/>
      <c r="B260" s="14" t="n"/>
      <c r="C260" s="14" t="n"/>
      <c r="D260" s="15" t="n"/>
      <c r="E260" s="15" t="n"/>
      <c r="F260" s="16">
        <f>IF($E260="","",DATE(YEAR($E260),MONTH($E260),1))</f>
        <v/>
      </c>
      <c r="G260" s="14" t="n"/>
      <c r="H260" s="14" t="n"/>
      <c r="I260" s="14" t="n"/>
      <c r="J260" s="14" t="n"/>
      <c r="K260" s="17" t="n"/>
      <c r="L260" s="15" t="n"/>
      <c r="M260" s="14" t="n"/>
      <c r="N260" s="17" t="n"/>
      <c r="O260" s="17" t="n"/>
      <c r="P260" s="18" t="n"/>
      <c r="Q260" s="11">
        <f>IF($A260="","",IF($H260="Stock",IF($I260="Buy",-$M260*$N260-$P260,IF($I260="Sell",IF($N260="", $M260*$O260-$P260,($O260-$N260)*$M260-$P260),"")),IF($I260="Sell",($N260-IF($O260="",0,$O260))*$M260*100-$P260,IF($I260="Buy",(IF($O260="",0,$O260)-$N260)*$M260*100-$P260,""))))</f>
        <v/>
      </c>
      <c r="R260" s="11">
        <f>IF($A260="","",IF($C260="Open","",$Q260))</f>
        <v/>
      </c>
      <c r="S260" s="12">
        <f>IF($A260="","",IFS($B260="Covered Call","Covered Call Premium",$B260="Cash Secured Put","Cash Secured Put Premium",$B260="Long Call/Put","Long Call/Put P/L",$B260="Debit Spread","Long Call/Put P/L",$B260="Stock Sale","Stock Sales",TRUE,"Other"))</f>
        <v/>
      </c>
      <c r="T260" s="11">
        <f>IF($A260="","",IF($B260="Cash Secured Put",$K260*$M260*100,IF($B260="Covered Call",$K260*$M260*100,IF($H260="Stock",$M260*$N260,""))))</f>
        <v/>
      </c>
      <c r="U260" s="19">
        <f>IF(OR($A260="",$C260&lt;&gt;"Closed",$D260="",$E260="",$T260=0),"",$R260/$T260*365/MAX(1,$E260-$D260))</f>
        <v/>
      </c>
      <c r="V260" s="14" t="n"/>
      <c r="W260" s="12" t="n"/>
    </row>
    <row r="261">
      <c r="A261" s="12" t="n"/>
      <c r="B261" s="14" t="n"/>
      <c r="C261" s="14" t="n"/>
      <c r="D261" s="15" t="n"/>
      <c r="E261" s="15" t="n"/>
      <c r="F261" s="16">
        <f>IF($E261="","",DATE(YEAR($E261),MONTH($E261),1))</f>
        <v/>
      </c>
      <c r="G261" s="14" t="n"/>
      <c r="H261" s="14" t="n"/>
      <c r="I261" s="14" t="n"/>
      <c r="J261" s="14" t="n"/>
      <c r="K261" s="17" t="n"/>
      <c r="L261" s="15" t="n"/>
      <c r="M261" s="14" t="n"/>
      <c r="N261" s="17" t="n"/>
      <c r="O261" s="17" t="n"/>
      <c r="P261" s="18" t="n"/>
      <c r="Q261" s="11">
        <f>IF($A261="","",IF($H261="Stock",IF($I261="Buy",-$M261*$N261-$P261,IF($I261="Sell",IF($N261="", $M261*$O261-$P261,($O261-$N261)*$M261-$P261),"")),IF($I261="Sell",($N261-IF($O261="",0,$O261))*$M261*100-$P261,IF($I261="Buy",(IF($O261="",0,$O261)-$N261)*$M261*100-$P261,""))))</f>
        <v/>
      </c>
      <c r="R261" s="11">
        <f>IF($A261="","",IF($C261="Open","",$Q261))</f>
        <v/>
      </c>
      <c r="S261" s="12">
        <f>IF($A261="","",IFS($B261="Covered Call","Covered Call Premium",$B261="Cash Secured Put","Cash Secured Put Premium",$B261="Long Call/Put","Long Call/Put P/L",$B261="Debit Spread","Long Call/Put P/L",$B261="Stock Sale","Stock Sales",TRUE,"Other"))</f>
        <v/>
      </c>
      <c r="T261" s="11">
        <f>IF($A261="","",IF($B261="Cash Secured Put",$K261*$M261*100,IF($B261="Covered Call",$K261*$M261*100,IF($H261="Stock",$M261*$N261,""))))</f>
        <v/>
      </c>
      <c r="U261" s="19">
        <f>IF(OR($A261="",$C261&lt;&gt;"Closed",$D261="",$E261="",$T261=0),"",$R261/$T261*365/MAX(1,$E261-$D261))</f>
        <v/>
      </c>
      <c r="V261" s="14" t="n"/>
      <c r="W261" s="12" t="n"/>
    </row>
    <row r="262">
      <c r="A262" s="12" t="n"/>
      <c r="B262" s="14" t="n"/>
      <c r="C262" s="14" t="n"/>
      <c r="D262" s="15" t="n"/>
      <c r="E262" s="15" t="n"/>
      <c r="F262" s="16">
        <f>IF($E262="","",DATE(YEAR($E262),MONTH($E262),1))</f>
        <v/>
      </c>
      <c r="G262" s="14" t="n"/>
      <c r="H262" s="14" t="n"/>
      <c r="I262" s="14" t="n"/>
      <c r="J262" s="14" t="n"/>
      <c r="K262" s="17" t="n"/>
      <c r="L262" s="15" t="n"/>
      <c r="M262" s="14" t="n"/>
      <c r="N262" s="17" t="n"/>
      <c r="O262" s="17" t="n"/>
      <c r="P262" s="18" t="n"/>
      <c r="Q262" s="11">
        <f>IF($A262="","",IF($H262="Stock",IF($I262="Buy",-$M262*$N262-$P262,IF($I262="Sell",IF($N262="", $M262*$O262-$P262,($O262-$N262)*$M262-$P262),"")),IF($I262="Sell",($N262-IF($O262="",0,$O262))*$M262*100-$P262,IF($I262="Buy",(IF($O262="",0,$O262)-$N262)*$M262*100-$P262,""))))</f>
        <v/>
      </c>
      <c r="R262" s="11">
        <f>IF($A262="","",IF($C262="Open","",$Q262))</f>
        <v/>
      </c>
      <c r="S262" s="12">
        <f>IF($A262="","",IFS($B262="Covered Call","Covered Call Premium",$B262="Cash Secured Put","Cash Secured Put Premium",$B262="Long Call/Put","Long Call/Put P/L",$B262="Debit Spread","Long Call/Put P/L",$B262="Stock Sale","Stock Sales",TRUE,"Other"))</f>
        <v/>
      </c>
      <c r="T262" s="11">
        <f>IF($A262="","",IF($B262="Cash Secured Put",$K262*$M262*100,IF($B262="Covered Call",$K262*$M262*100,IF($H262="Stock",$M262*$N262,""))))</f>
        <v/>
      </c>
      <c r="U262" s="19">
        <f>IF(OR($A262="",$C262&lt;&gt;"Closed",$D262="",$E262="",$T262=0),"",$R262/$T262*365/MAX(1,$E262-$D262))</f>
        <v/>
      </c>
      <c r="V262" s="14" t="n"/>
      <c r="W262" s="12" t="n"/>
    </row>
    <row r="263">
      <c r="A263" s="12" t="n"/>
      <c r="B263" s="14" t="n"/>
      <c r="C263" s="14" t="n"/>
      <c r="D263" s="15" t="n"/>
      <c r="E263" s="15" t="n"/>
      <c r="F263" s="16">
        <f>IF($E263="","",DATE(YEAR($E263),MONTH($E263),1))</f>
        <v/>
      </c>
      <c r="G263" s="14" t="n"/>
      <c r="H263" s="14" t="n"/>
      <c r="I263" s="14" t="n"/>
      <c r="J263" s="14" t="n"/>
      <c r="K263" s="17" t="n"/>
      <c r="L263" s="15" t="n"/>
      <c r="M263" s="14" t="n"/>
      <c r="N263" s="17" t="n"/>
      <c r="O263" s="17" t="n"/>
      <c r="P263" s="18" t="n"/>
      <c r="Q263" s="11">
        <f>IF($A263="","",IF($H263="Stock",IF($I263="Buy",-$M263*$N263-$P263,IF($I263="Sell",IF($N263="", $M263*$O263-$P263,($O263-$N263)*$M263-$P263),"")),IF($I263="Sell",($N263-IF($O263="",0,$O263))*$M263*100-$P263,IF($I263="Buy",(IF($O263="",0,$O263)-$N263)*$M263*100-$P263,""))))</f>
        <v/>
      </c>
      <c r="R263" s="11">
        <f>IF($A263="","",IF($C263="Open","",$Q263))</f>
        <v/>
      </c>
      <c r="S263" s="12">
        <f>IF($A263="","",IFS($B263="Covered Call","Covered Call Premium",$B263="Cash Secured Put","Cash Secured Put Premium",$B263="Long Call/Put","Long Call/Put P/L",$B263="Debit Spread","Long Call/Put P/L",$B263="Stock Sale","Stock Sales",TRUE,"Other"))</f>
        <v/>
      </c>
      <c r="T263" s="11">
        <f>IF($A263="","",IF($B263="Cash Secured Put",$K263*$M263*100,IF($B263="Covered Call",$K263*$M263*100,IF($H263="Stock",$M263*$N263,""))))</f>
        <v/>
      </c>
      <c r="U263" s="19">
        <f>IF(OR($A263="",$C263&lt;&gt;"Closed",$D263="",$E263="",$T263=0),"",$R263/$T263*365/MAX(1,$E263-$D263))</f>
        <v/>
      </c>
      <c r="V263" s="14" t="n"/>
      <c r="W263" s="12" t="n"/>
    </row>
    <row r="264">
      <c r="A264" s="12" t="n"/>
      <c r="B264" s="14" t="n"/>
      <c r="C264" s="14" t="n"/>
      <c r="D264" s="15" t="n"/>
      <c r="E264" s="15" t="n"/>
      <c r="F264" s="16">
        <f>IF($E264="","",DATE(YEAR($E264),MONTH($E264),1))</f>
        <v/>
      </c>
      <c r="G264" s="14" t="n"/>
      <c r="H264" s="14" t="n"/>
      <c r="I264" s="14" t="n"/>
      <c r="J264" s="14" t="n"/>
      <c r="K264" s="17" t="n"/>
      <c r="L264" s="15" t="n"/>
      <c r="M264" s="14" t="n"/>
      <c r="N264" s="17" t="n"/>
      <c r="O264" s="17" t="n"/>
      <c r="P264" s="18" t="n"/>
      <c r="Q264" s="11">
        <f>IF($A264="","",IF($H264="Stock",IF($I264="Buy",-$M264*$N264-$P264,IF($I264="Sell",IF($N264="", $M264*$O264-$P264,($O264-$N264)*$M264-$P264),"")),IF($I264="Sell",($N264-IF($O264="",0,$O264))*$M264*100-$P264,IF($I264="Buy",(IF($O264="",0,$O264)-$N264)*$M264*100-$P264,""))))</f>
        <v/>
      </c>
      <c r="R264" s="11">
        <f>IF($A264="","",IF($C264="Open","",$Q264))</f>
        <v/>
      </c>
      <c r="S264" s="12">
        <f>IF($A264="","",IFS($B264="Covered Call","Covered Call Premium",$B264="Cash Secured Put","Cash Secured Put Premium",$B264="Long Call/Put","Long Call/Put P/L",$B264="Debit Spread","Long Call/Put P/L",$B264="Stock Sale","Stock Sales",TRUE,"Other"))</f>
        <v/>
      </c>
      <c r="T264" s="11">
        <f>IF($A264="","",IF($B264="Cash Secured Put",$K264*$M264*100,IF($B264="Covered Call",$K264*$M264*100,IF($H264="Stock",$M264*$N264,""))))</f>
        <v/>
      </c>
      <c r="U264" s="19">
        <f>IF(OR($A264="",$C264&lt;&gt;"Closed",$D264="",$E264="",$T264=0),"",$R264/$T264*365/MAX(1,$E264-$D264))</f>
        <v/>
      </c>
      <c r="V264" s="14" t="n"/>
      <c r="W264" s="12" t="n"/>
    </row>
    <row r="265">
      <c r="A265" s="12" t="n"/>
      <c r="B265" s="14" t="n"/>
      <c r="C265" s="14" t="n"/>
      <c r="D265" s="15" t="n"/>
      <c r="E265" s="15" t="n"/>
      <c r="F265" s="16">
        <f>IF($E265="","",DATE(YEAR($E265),MONTH($E265),1))</f>
        <v/>
      </c>
      <c r="G265" s="14" t="n"/>
      <c r="H265" s="14" t="n"/>
      <c r="I265" s="14" t="n"/>
      <c r="J265" s="14" t="n"/>
      <c r="K265" s="17" t="n"/>
      <c r="L265" s="15" t="n"/>
      <c r="M265" s="14" t="n"/>
      <c r="N265" s="17" t="n"/>
      <c r="O265" s="17" t="n"/>
      <c r="P265" s="18" t="n"/>
      <c r="Q265" s="11">
        <f>IF($A265="","",IF($H265="Stock",IF($I265="Buy",-$M265*$N265-$P265,IF($I265="Sell",IF($N265="", $M265*$O265-$P265,($O265-$N265)*$M265-$P265),"")),IF($I265="Sell",($N265-IF($O265="",0,$O265))*$M265*100-$P265,IF($I265="Buy",(IF($O265="",0,$O265)-$N265)*$M265*100-$P265,""))))</f>
        <v/>
      </c>
      <c r="R265" s="11">
        <f>IF($A265="","",IF($C265="Open","",$Q265))</f>
        <v/>
      </c>
      <c r="S265" s="12">
        <f>IF($A265="","",IFS($B265="Covered Call","Covered Call Premium",$B265="Cash Secured Put","Cash Secured Put Premium",$B265="Long Call/Put","Long Call/Put P/L",$B265="Debit Spread","Long Call/Put P/L",$B265="Stock Sale","Stock Sales",TRUE,"Other"))</f>
        <v/>
      </c>
      <c r="T265" s="11">
        <f>IF($A265="","",IF($B265="Cash Secured Put",$K265*$M265*100,IF($B265="Covered Call",$K265*$M265*100,IF($H265="Stock",$M265*$N265,""))))</f>
        <v/>
      </c>
      <c r="U265" s="19">
        <f>IF(OR($A265="",$C265&lt;&gt;"Closed",$D265="",$E265="",$T265=0),"",$R265/$T265*365/MAX(1,$E265-$D265))</f>
        <v/>
      </c>
      <c r="V265" s="14" t="n"/>
      <c r="W265" s="12" t="n"/>
    </row>
    <row r="266">
      <c r="A266" s="12" t="n"/>
      <c r="B266" s="14" t="n"/>
      <c r="C266" s="14" t="n"/>
      <c r="D266" s="15" t="n"/>
      <c r="E266" s="15" t="n"/>
      <c r="F266" s="16">
        <f>IF($E266="","",DATE(YEAR($E266),MONTH($E266),1))</f>
        <v/>
      </c>
      <c r="G266" s="14" t="n"/>
      <c r="H266" s="14" t="n"/>
      <c r="I266" s="14" t="n"/>
      <c r="J266" s="14" t="n"/>
      <c r="K266" s="17" t="n"/>
      <c r="L266" s="15" t="n"/>
      <c r="M266" s="14" t="n"/>
      <c r="N266" s="17" t="n"/>
      <c r="O266" s="17" t="n"/>
      <c r="P266" s="18" t="n"/>
      <c r="Q266" s="11">
        <f>IF($A266="","",IF($H266="Stock",IF($I266="Buy",-$M266*$N266-$P266,IF($I266="Sell",IF($N266="", $M266*$O266-$P266,($O266-$N266)*$M266-$P266),"")),IF($I266="Sell",($N266-IF($O266="",0,$O266))*$M266*100-$P266,IF($I266="Buy",(IF($O266="",0,$O266)-$N266)*$M266*100-$P266,""))))</f>
        <v/>
      </c>
      <c r="R266" s="11">
        <f>IF($A266="","",IF($C266="Open","",$Q266))</f>
        <v/>
      </c>
      <c r="S266" s="12">
        <f>IF($A266="","",IFS($B266="Covered Call","Covered Call Premium",$B266="Cash Secured Put","Cash Secured Put Premium",$B266="Long Call/Put","Long Call/Put P/L",$B266="Debit Spread","Long Call/Put P/L",$B266="Stock Sale","Stock Sales",TRUE,"Other"))</f>
        <v/>
      </c>
      <c r="T266" s="11">
        <f>IF($A266="","",IF($B266="Cash Secured Put",$K266*$M266*100,IF($B266="Covered Call",$K266*$M266*100,IF($H266="Stock",$M266*$N266,""))))</f>
        <v/>
      </c>
      <c r="U266" s="19">
        <f>IF(OR($A266="",$C266&lt;&gt;"Closed",$D266="",$E266="",$T266=0),"",$R266/$T266*365/MAX(1,$E266-$D266))</f>
        <v/>
      </c>
      <c r="V266" s="14" t="n"/>
      <c r="W266" s="12" t="n"/>
    </row>
    <row r="267">
      <c r="A267" s="12" t="n"/>
      <c r="B267" s="14" t="n"/>
      <c r="C267" s="14" t="n"/>
      <c r="D267" s="15" t="n"/>
      <c r="E267" s="15" t="n"/>
      <c r="F267" s="16">
        <f>IF($E267="","",DATE(YEAR($E267),MONTH($E267),1))</f>
        <v/>
      </c>
      <c r="G267" s="14" t="n"/>
      <c r="H267" s="14" t="n"/>
      <c r="I267" s="14" t="n"/>
      <c r="J267" s="14" t="n"/>
      <c r="K267" s="17" t="n"/>
      <c r="L267" s="15" t="n"/>
      <c r="M267" s="14" t="n"/>
      <c r="N267" s="17" t="n"/>
      <c r="O267" s="17" t="n"/>
      <c r="P267" s="18" t="n"/>
      <c r="Q267" s="11">
        <f>IF($A267="","",IF($H267="Stock",IF($I267="Buy",-$M267*$N267-$P267,IF($I267="Sell",IF($N267="", $M267*$O267-$P267,($O267-$N267)*$M267-$P267),"")),IF($I267="Sell",($N267-IF($O267="",0,$O267))*$M267*100-$P267,IF($I267="Buy",(IF($O267="",0,$O267)-$N267)*$M267*100-$P267,""))))</f>
        <v/>
      </c>
      <c r="R267" s="11">
        <f>IF($A267="","",IF($C267="Open","",$Q267))</f>
        <v/>
      </c>
      <c r="S267" s="12">
        <f>IF($A267="","",IFS($B267="Covered Call","Covered Call Premium",$B267="Cash Secured Put","Cash Secured Put Premium",$B267="Long Call/Put","Long Call/Put P/L",$B267="Debit Spread","Long Call/Put P/L",$B267="Stock Sale","Stock Sales",TRUE,"Other"))</f>
        <v/>
      </c>
      <c r="T267" s="11">
        <f>IF($A267="","",IF($B267="Cash Secured Put",$K267*$M267*100,IF($B267="Covered Call",$K267*$M267*100,IF($H267="Stock",$M267*$N267,""))))</f>
        <v/>
      </c>
      <c r="U267" s="19">
        <f>IF(OR($A267="",$C267&lt;&gt;"Closed",$D267="",$E267="",$T267=0),"",$R267/$T267*365/MAX(1,$E267-$D267))</f>
        <v/>
      </c>
      <c r="V267" s="14" t="n"/>
      <c r="W267" s="12" t="n"/>
    </row>
    <row r="268">
      <c r="A268" s="12" t="n"/>
      <c r="B268" s="14" t="n"/>
      <c r="C268" s="14" t="n"/>
      <c r="D268" s="15" t="n"/>
      <c r="E268" s="15" t="n"/>
      <c r="F268" s="16">
        <f>IF($E268="","",DATE(YEAR($E268),MONTH($E268),1))</f>
        <v/>
      </c>
      <c r="G268" s="14" t="n"/>
      <c r="H268" s="14" t="n"/>
      <c r="I268" s="14" t="n"/>
      <c r="J268" s="14" t="n"/>
      <c r="K268" s="17" t="n"/>
      <c r="L268" s="15" t="n"/>
      <c r="M268" s="14" t="n"/>
      <c r="N268" s="17" t="n"/>
      <c r="O268" s="17" t="n"/>
      <c r="P268" s="18" t="n"/>
      <c r="Q268" s="11">
        <f>IF($A268="","",IF($H268="Stock",IF($I268="Buy",-$M268*$N268-$P268,IF($I268="Sell",IF($N268="", $M268*$O268-$P268,($O268-$N268)*$M268-$P268),"")),IF($I268="Sell",($N268-IF($O268="",0,$O268))*$M268*100-$P268,IF($I268="Buy",(IF($O268="",0,$O268)-$N268)*$M268*100-$P268,""))))</f>
        <v/>
      </c>
      <c r="R268" s="11">
        <f>IF($A268="","",IF($C268="Open","",$Q268))</f>
        <v/>
      </c>
      <c r="S268" s="12">
        <f>IF($A268="","",IFS($B268="Covered Call","Covered Call Premium",$B268="Cash Secured Put","Cash Secured Put Premium",$B268="Long Call/Put","Long Call/Put P/L",$B268="Debit Spread","Long Call/Put P/L",$B268="Stock Sale","Stock Sales",TRUE,"Other"))</f>
        <v/>
      </c>
      <c r="T268" s="11">
        <f>IF($A268="","",IF($B268="Cash Secured Put",$K268*$M268*100,IF($B268="Covered Call",$K268*$M268*100,IF($H268="Stock",$M268*$N268,""))))</f>
        <v/>
      </c>
      <c r="U268" s="19">
        <f>IF(OR($A268="",$C268&lt;&gt;"Closed",$D268="",$E268="",$T268=0),"",$R268/$T268*365/MAX(1,$E268-$D268))</f>
        <v/>
      </c>
      <c r="V268" s="14" t="n"/>
      <c r="W268" s="12" t="n"/>
    </row>
    <row r="269">
      <c r="A269" s="12" t="n"/>
      <c r="B269" s="14" t="n"/>
      <c r="C269" s="14" t="n"/>
      <c r="D269" s="15" t="n"/>
      <c r="E269" s="15" t="n"/>
      <c r="F269" s="16">
        <f>IF($E269="","",DATE(YEAR($E269),MONTH($E269),1))</f>
        <v/>
      </c>
      <c r="G269" s="14" t="n"/>
      <c r="H269" s="14" t="n"/>
      <c r="I269" s="14" t="n"/>
      <c r="J269" s="14" t="n"/>
      <c r="K269" s="17" t="n"/>
      <c r="L269" s="15" t="n"/>
      <c r="M269" s="14" t="n"/>
      <c r="N269" s="17" t="n"/>
      <c r="O269" s="17" t="n"/>
      <c r="P269" s="18" t="n"/>
      <c r="Q269" s="11">
        <f>IF($A269="","",IF($H269="Stock",IF($I269="Buy",-$M269*$N269-$P269,IF($I269="Sell",IF($N269="", $M269*$O269-$P269,($O269-$N269)*$M269-$P269),"")),IF($I269="Sell",($N269-IF($O269="",0,$O269))*$M269*100-$P269,IF($I269="Buy",(IF($O269="",0,$O269)-$N269)*$M269*100-$P269,""))))</f>
        <v/>
      </c>
      <c r="R269" s="11">
        <f>IF($A269="","",IF($C269="Open","",$Q269))</f>
        <v/>
      </c>
      <c r="S269" s="12">
        <f>IF($A269="","",IFS($B269="Covered Call","Covered Call Premium",$B269="Cash Secured Put","Cash Secured Put Premium",$B269="Long Call/Put","Long Call/Put P/L",$B269="Debit Spread","Long Call/Put P/L",$B269="Stock Sale","Stock Sales",TRUE,"Other"))</f>
        <v/>
      </c>
      <c r="T269" s="11">
        <f>IF($A269="","",IF($B269="Cash Secured Put",$K269*$M269*100,IF($B269="Covered Call",$K269*$M269*100,IF($H269="Stock",$M269*$N269,""))))</f>
        <v/>
      </c>
      <c r="U269" s="19">
        <f>IF(OR($A269="",$C269&lt;&gt;"Closed",$D269="",$E269="",$T269=0),"",$R269/$T269*365/MAX(1,$E269-$D269))</f>
        <v/>
      </c>
      <c r="V269" s="14" t="n"/>
      <c r="W269" s="12" t="n"/>
    </row>
    <row r="270">
      <c r="A270" s="12" t="n"/>
      <c r="B270" s="14" t="n"/>
      <c r="C270" s="14" t="n"/>
      <c r="D270" s="15" t="n"/>
      <c r="E270" s="15" t="n"/>
      <c r="F270" s="16">
        <f>IF($E270="","",DATE(YEAR($E270),MONTH($E270),1))</f>
        <v/>
      </c>
      <c r="G270" s="14" t="n"/>
      <c r="H270" s="14" t="n"/>
      <c r="I270" s="14" t="n"/>
      <c r="J270" s="14" t="n"/>
      <c r="K270" s="17" t="n"/>
      <c r="L270" s="15" t="n"/>
      <c r="M270" s="14" t="n"/>
      <c r="N270" s="17" t="n"/>
      <c r="O270" s="17" t="n"/>
      <c r="P270" s="18" t="n"/>
      <c r="Q270" s="11">
        <f>IF($A270="","",IF($H270="Stock",IF($I270="Buy",-$M270*$N270-$P270,IF($I270="Sell",IF($N270="", $M270*$O270-$P270,($O270-$N270)*$M270-$P270),"")),IF($I270="Sell",($N270-IF($O270="",0,$O270))*$M270*100-$P270,IF($I270="Buy",(IF($O270="",0,$O270)-$N270)*$M270*100-$P270,""))))</f>
        <v/>
      </c>
      <c r="R270" s="11">
        <f>IF($A270="","",IF($C270="Open","",$Q270))</f>
        <v/>
      </c>
      <c r="S270" s="12">
        <f>IF($A270="","",IFS($B270="Covered Call","Covered Call Premium",$B270="Cash Secured Put","Cash Secured Put Premium",$B270="Long Call/Put","Long Call/Put P/L",$B270="Debit Spread","Long Call/Put P/L",$B270="Stock Sale","Stock Sales",TRUE,"Other"))</f>
        <v/>
      </c>
      <c r="T270" s="11">
        <f>IF($A270="","",IF($B270="Cash Secured Put",$K270*$M270*100,IF($B270="Covered Call",$K270*$M270*100,IF($H270="Stock",$M270*$N270,""))))</f>
        <v/>
      </c>
      <c r="U270" s="19">
        <f>IF(OR($A270="",$C270&lt;&gt;"Closed",$D270="",$E270="",$T270=0),"",$R270/$T270*365/MAX(1,$E270-$D270))</f>
        <v/>
      </c>
      <c r="V270" s="14" t="n"/>
      <c r="W270" s="12" t="n"/>
    </row>
    <row r="271">
      <c r="A271" s="12" t="n"/>
      <c r="B271" s="14" t="n"/>
      <c r="C271" s="14" t="n"/>
      <c r="D271" s="15" t="n"/>
      <c r="E271" s="15" t="n"/>
      <c r="F271" s="16">
        <f>IF($E271="","",DATE(YEAR($E271),MONTH($E271),1))</f>
        <v/>
      </c>
      <c r="G271" s="14" t="n"/>
      <c r="H271" s="14" t="n"/>
      <c r="I271" s="14" t="n"/>
      <c r="J271" s="14" t="n"/>
      <c r="K271" s="17" t="n"/>
      <c r="L271" s="15" t="n"/>
      <c r="M271" s="14" t="n"/>
      <c r="N271" s="17" t="n"/>
      <c r="O271" s="17" t="n"/>
      <c r="P271" s="18" t="n"/>
      <c r="Q271" s="11">
        <f>IF($A271="","",IF($H271="Stock",IF($I271="Buy",-$M271*$N271-$P271,IF($I271="Sell",IF($N271="", $M271*$O271-$P271,($O271-$N271)*$M271-$P271),"")),IF($I271="Sell",($N271-IF($O271="",0,$O271))*$M271*100-$P271,IF($I271="Buy",(IF($O271="",0,$O271)-$N271)*$M271*100-$P271,""))))</f>
        <v/>
      </c>
      <c r="R271" s="11">
        <f>IF($A271="","",IF($C271="Open","",$Q271))</f>
        <v/>
      </c>
      <c r="S271" s="12">
        <f>IF($A271="","",IFS($B271="Covered Call","Covered Call Premium",$B271="Cash Secured Put","Cash Secured Put Premium",$B271="Long Call/Put","Long Call/Put P/L",$B271="Debit Spread","Long Call/Put P/L",$B271="Stock Sale","Stock Sales",TRUE,"Other"))</f>
        <v/>
      </c>
      <c r="T271" s="11">
        <f>IF($A271="","",IF($B271="Cash Secured Put",$K271*$M271*100,IF($B271="Covered Call",$K271*$M271*100,IF($H271="Stock",$M271*$N271,""))))</f>
        <v/>
      </c>
      <c r="U271" s="19">
        <f>IF(OR($A271="",$C271&lt;&gt;"Closed",$D271="",$E271="",$T271=0),"",$R271/$T271*365/MAX(1,$E271-$D271))</f>
        <v/>
      </c>
      <c r="V271" s="14" t="n"/>
      <c r="W271" s="12" t="n"/>
    </row>
    <row r="272">
      <c r="A272" s="12" t="n"/>
      <c r="B272" s="14" t="n"/>
      <c r="C272" s="14" t="n"/>
      <c r="D272" s="15" t="n"/>
      <c r="E272" s="15" t="n"/>
      <c r="F272" s="16">
        <f>IF($E272="","",DATE(YEAR($E272),MONTH($E272),1))</f>
        <v/>
      </c>
      <c r="G272" s="14" t="n"/>
      <c r="H272" s="14" t="n"/>
      <c r="I272" s="14" t="n"/>
      <c r="J272" s="14" t="n"/>
      <c r="K272" s="17" t="n"/>
      <c r="L272" s="15" t="n"/>
      <c r="M272" s="14" t="n"/>
      <c r="N272" s="17" t="n"/>
      <c r="O272" s="17" t="n"/>
      <c r="P272" s="18" t="n"/>
      <c r="Q272" s="11">
        <f>IF($A272="","",IF($H272="Stock",IF($I272="Buy",-$M272*$N272-$P272,IF($I272="Sell",IF($N272="", $M272*$O272-$P272,($O272-$N272)*$M272-$P272),"")),IF($I272="Sell",($N272-IF($O272="",0,$O272))*$M272*100-$P272,IF($I272="Buy",(IF($O272="",0,$O272)-$N272)*$M272*100-$P272,""))))</f>
        <v/>
      </c>
      <c r="R272" s="11">
        <f>IF($A272="","",IF($C272="Open","",$Q272))</f>
        <v/>
      </c>
      <c r="S272" s="12">
        <f>IF($A272="","",IFS($B272="Covered Call","Covered Call Premium",$B272="Cash Secured Put","Cash Secured Put Premium",$B272="Long Call/Put","Long Call/Put P/L",$B272="Debit Spread","Long Call/Put P/L",$B272="Stock Sale","Stock Sales",TRUE,"Other"))</f>
        <v/>
      </c>
      <c r="T272" s="11">
        <f>IF($A272="","",IF($B272="Cash Secured Put",$K272*$M272*100,IF($B272="Covered Call",$K272*$M272*100,IF($H272="Stock",$M272*$N272,""))))</f>
        <v/>
      </c>
      <c r="U272" s="19">
        <f>IF(OR($A272="",$C272&lt;&gt;"Closed",$D272="",$E272="",$T272=0),"",$R272/$T272*365/MAX(1,$E272-$D272))</f>
        <v/>
      </c>
      <c r="V272" s="14" t="n"/>
      <c r="W272" s="12" t="n"/>
    </row>
    <row r="273">
      <c r="A273" s="12" t="n"/>
      <c r="B273" s="14" t="n"/>
      <c r="C273" s="14" t="n"/>
      <c r="D273" s="15" t="n"/>
      <c r="E273" s="15" t="n"/>
      <c r="F273" s="16">
        <f>IF($E273="","",DATE(YEAR($E273),MONTH($E273),1))</f>
        <v/>
      </c>
      <c r="G273" s="14" t="n"/>
      <c r="H273" s="14" t="n"/>
      <c r="I273" s="14" t="n"/>
      <c r="J273" s="14" t="n"/>
      <c r="K273" s="17" t="n"/>
      <c r="L273" s="15" t="n"/>
      <c r="M273" s="14" t="n"/>
      <c r="N273" s="17" t="n"/>
      <c r="O273" s="17" t="n"/>
      <c r="P273" s="18" t="n"/>
      <c r="Q273" s="11">
        <f>IF($A273="","",IF($H273="Stock",IF($I273="Buy",-$M273*$N273-$P273,IF($I273="Sell",IF($N273="", $M273*$O273-$P273,($O273-$N273)*$M273-$P273),"")),IF($I273="Sell",($N273-IF($O273="",0,$O273))*$M273*100-$P273,IF($I273="Buy",(IF($O273="",0,$O273)-$N273)*$M273*100-$P273,""))))</f>
        <v/>
      </c>
      <c r="R273" s="11">
        <f>IF($A273="","",IF($C273="Open","",$Q273))</f>
        <v/>
      </c>
      <c r="S273" s="12">
        <f>IF($A273="","",IFS($B273="Covered Call","Covered Call Premium",$B273="Cash Secured Put","Cash Secured Put Premium",$B273="Long Call/Put","Long Call/Put P/L",$B273="Debit Spread","Long Call/Put P/L",$B273="Stock Sale","Stock Sales",TRUE,"Other"))</f>
        <v/>
      </c>
      <c r="T273" s="11">
        <f>IF($A273="","",IF($B273="Cash Secured Put",$K273*$M273*100,IF($B273="Covered Call",$K273*$M273*100,IF($H273="Stock",$M273*$N273,""))))</f>
        <v/>
      </c>
      <c r="U273" s="19">
        <f>IF(OR($A273="",$C273&lt;&gt;"Closed",$D273="",$E273="",$T273=0),"",$R273/$T273*365/MAX(1,$E273-$D273))</f>
        <v/>
      </c>
      <c r="V273" s="14" t="n"/>
      <c r="W273" s="12" t="n"/>
    </row>
    <row r="274">
      <c r="A274" s="12" t="n"/>
      <c r="B274" s="14" t="n"/>
      <c r="C274" s="14" t="n"/>
      <c r="D274" s="15" t="n"/>
      <c r="E274" s="15" t="n"/>
      <c r="F274" s="16">
        <f>IF($E274="","",DATE(YEAR($E274),MONTH($E274),1))</f>
        <v/>
      </c>
      <c r="G274" s="14" t="n"/>
      <c r="H274" s="14" t="n"/>
      <c r="I274" s="14" t="n"/>
      <c r="J274" s="14" t="n"/>
      <c r="K274" s="17" t="n"/>
      <c r="L274" s="15" t="n"/>
      <c r="M274" s="14" t="n"/>
      <c r="N274" s="17" t="n"/>
      <c r="O274" s="17" t="n"/>
      <c r="P274" s="18" t="n"/>
      <c r="Q274" s="11">
        <f>IF($A274="","",IF($H274="Stock",IF($I274="Buy",-$M274*$N274-$P274,IF($I274="Sell",IF($N274="", $M274*$O274-$P274,($O274-$N274)*$M274-$P274),"")),IF($I274="Sell",($N274-IF($O274="",0,$O274))*$M274*100-$P274,IF($I274="Buy",(IF($O274="",0,$O274)-$N274)*$M274*100-$P274,""))))</f>
        <v/>
      </c>
      <c r="R274" s="11">
        <f>IF($A274="","",IF($C274="Open","",$Q274))</f>
        <v/>
      </c>
      <c r="S274" s="12">
        <f>IF($A274="","",IFS($B274="Covered Call","Covered Call Premium",$B274="Cash Secured Put","Cash Secured Put Premium",$B274="Long Call/Put","Long Call/Put P/L",$B274="Debit Spread","Long Call/Put P/L",$B274="Stock Sale","Stock Sales",TRUE,"Other"))</f>
        <v/>
      </c>
      <c r="T274" s="11">
        <f>IF($A274="","",IF($B274="Cash Secured Put",$K274*$M274*100,IF($B274="Covered Call",$K274*$M274*100,IF($H274="Stock",$M274*$N274,""))))</f>
        <v/>
      </c>
      <c r="U274" s="19">
        <f>IF(OR($A274="",$C274&lt;&gt;"Closed",$D274="",$E274="",$T274=0),"",$R274/$T274*365/MAX(1,$E274-$D274))</f>
        <v/>
      </c>
      <c r="V274" s="14" t="n"/>
      <c r="W274" s="12" t="n"/>
    </row>
    <row r="275">
      <c r="A275" s="12" t="n"/>
      <c r="B275" s="14" t="n"/>
      <c r="C275" s="14" t="n"/>
      <c r="D275" s="15" t="n"/>
      <c r="E275" s="15" t="n"/>
      <c r="F275" s="16">
        <f>IF($E275="","",DATE(YEAR($E275),MONTH($E275),1))</f>
        <v/>
      </c>
      <c r="G275" s="14" t="n"/>
      <c r="H275" s="14" t="n"/>
      <c r="I275" s="14" t="n"/>
      <c r="J275" s="14" t="n"/>
      <c r="K275" s="17" t="n"/>
      <c r="L275" s="15" t="n"/>
      <c r="M275" s="14" t="n"/>
      <c r="N275" s="17" t="n"/>
      <c r="O275" s="17" t="n"/>
      <c r="P275" s="18" t="n"/>
      <c r="Q275" s="11">
        <f>IF($A275="","",IF($H275="Stock",IF($I275="Buy",-$M275*$N275-$P275,IF($I275="Sell",IF($N275="", $M275*$O275-$P275,($O275-$N275)*$M275-$P275),"")),IF($I275="Sell",($N275-IF($O275="",0,$O275))*$M275*100-$P275,IF($I275="Buy",(IF($O275="",0,$O275)-$N275)*$M275*100-$P275,""))))</f>
        <v/>
      </c>
      <c r="R275" s="11">
        <f>IF($A275="","",IF($C275="Open","",$Q275))</f>
        <v/>
      </c>
      <c r="S275" s="12">
        <f>IF($A275="","",IFS($B275="Covered Call","Covered Call Premium",$B275="Cash Secured Put","Cash Secured Put Premium",$B275="Long Call/Put","Long Call/Put P/L",$B275="Debit Spread","Long Call/Put P/L",$B275="Stock Sale","Stock Sales",TRUE,"Other"))</f>
        <v/>
      </c>
      <c r="T275" s="11">
        <f>IF($A275="","",IF($B275="Cash Secured Put",$K275*$M275*100,IF($B275="Covered Call",$K275*$M275*100,IF($H275="Stock",$M275*$N275,""))))</f>
        <v/>
      </c>
      <c r="U275" s="19">
        <f>IF(OR($A275="",$C275&lt;&gt;"Closed",$D275="",$E275="",$T275=0),"",$R275/$T275*365/MAX(1,$E275-$D275))</f>
        <v/>
      </c>
      <c r="V275" s="14" t="n"/>
      <c r="W275" s="12" t="n"/>
    </row>
    <row r="276">
      <c r="A276" s="12" t="n"/>
      <c r="B276" s="14" t="n"/>
      <c r="C276" s="14" t="n"/>
      <c r="D276" s="15" t="n"/>
      <c r="E276" s="15" t="n"/>
      <c r="F276" s="16">
        <f>IF($E276="","",DATE(YEAR($E276),MONTH($E276),1))</f>
        <v/>
      </c>
      <c r="G276" s="14" t="n"/>
      <c r="H276" s="14" t="n"/>
      <c r="I276" s="14" t="n"/>
      <c r="J276" s="14" t="n"/>
      <c r="K276" s="17" t="n"/>
      <c r="L276" s="15" t="n"/>
      <c r="M276" s="14" t="n"/>
      <c r="N276" s="17" t="n"/>
      <c r="O276" s="17" t="n"/>
      <c r="P276" s="18" t="n"/>
      <c r="Q276" s="11">
        <f>IF($A276="","",IF($H276="Stock",IF($I276="Buy",-$M276*$N276-$P276,IF($I276="Sell",IF($N276="", $M276*$O276-$P276,($O276-$N276)*$M276-$P276),"")),IF($I276="Sell",($N276-IF($O276="",0,$O276))*$M276*100-$P276,IF($I276="Buy",(IF($O276="",0,$O276)-$N276)*$M276*100-$P276,""))))</f>
        <v/>
      </c>
      <c r="R276" s="11">
        <f>IF($A276="","",IF($C276="Open","",$Q276))</f>
        <v/>
      </c>
      <c r="S276" s="12">
        <f>IF($A276="","",IFS($B276="Covered Call","Covered Call Premium",$B276="Cash Secured Put","Cash Secured Put Premium",$B276="Long Call/Put","Long Call/Put P/L",$B276="Debit Spread","Long Call/Put P/L",$B276="Stock Sale","Stock Sales",TRUE,"Other"))</f>
        <v/>
      </c>
      <c r="T276" s="11">
        <f>IF($A276="","",IF($B276="Cash Secured Put",$K276*$M276*100,IF($B276="Covered Call",$K276*$M276*100,IF($H276="Stock",$M276*$N276,""))))</f>
        <v/>
      </c>
      <c r="U276" s="19">
        <f>IF(OR($A276="",$C276&lt;&gt;"Closed",$D276="",$E276="",$T276=0),"",$R276/$T276*365/MAX(1,$E276-$D276))</f>
        <v/>
      </c>
      <c r="V276" s="14" t="n"/>
      <c r="W276" s="12" t="n"/>
    </row>
    <row r="277">
      <c r="A277" s="12" t="n"/>
      <c r="B277" s="14" t="n"/>
      <c r="C277" s="14" t="n"/>
      <c r="D277" s="15" t="n"/>
      <c r="E277" s="15" t="n"/>
      <c r="F277" s="16">
        <f>IF($E277="","",DATE(YEAR($E277),MONTH($E277),1))</f>
        <v/>
      </c>
      <c r="G277" s="14" t="n"/>
      <c r="H277" s="14" t="n"/>
      <c r="I277" s="14" t="n"/>
      <c r="J277" s="14" t="n"/>
      <c r="K277" s="17" t="n"/>
      <c r="L277" s="15" t="n"/>
      <c r="M277" s="14" t="n"/>
      <c r="N277" s="17" t="n"/>
      <c r="O277" s="17" t="n"/>
      <c r="P277" s="18" t="n"/>
      <c r="Q277" s="11">
        <f>IF($A277="","",IF($H277="Stock",IF($I277="Buy",-$M277*$N277-$P277,IF($I277="Sell",IF($N277="", $M277*$O277-$P277,($O277-$N277)*$M277-$P277),"")),IF($I277="Sell",($N277-IF($O277="",0,$O277))*$M277*100-$P277,IF($I277="Buy",(IF($O277="",0,$O277)-$N277)*$M277*100-$P277,""))))</f>
        <v/>
      </c>
      <c r="R277" s="11">
        <f>IF($A277="","",IF($C277="Open","",$Q277))</f>
        <v/>
      </c>
      <c r="S277" s="12">
        <f>IF($A277="","",IFS($B277="Covered Call","Covered Call Premium",$B277="Cash Secured Put","Cash Secured Put Premium",$B277="Long Call/Put","Long Call/Put P/L",$B277="Debit Spread","Long Call/Put P/L",$B277="Stock Sale","Stock Sales",TRUE,"Other"))</f>
        <v/>
      </c>
      <c r="T277" s="11">
        <f>IF($A277="","",IF($B277="Cash Secured Put",$K277*$M277*100,IF($B277="Covered Call",$K277*$M277*100,IF($H277="Stock",$M277*$N277,""))))</f>
        <v/>
      </c>
      <c r="U277" s="19">
        <f>IF(OR($A277="",$C277&lt;&gt;"Closed",$D277="",$E277="",$T277=0),"",$R277/$T277*365/MAX(1,$E277-$D277))</f>
        <v/>
      </c>
      <c r="V277" s="14" t="n"/>
      <c r="W277" s="12" t="n"/>
    </row>
    <row r="278">
      <c r="A278" s="12" t="n"/>
      <c r="B278" s="14" t="n"/>
      <c r="C278" s="14" t="n"/>
      <c r="D278" s="15" t="n"/>
      <c r="E278" s="15" t="n"/>
      <c r="F278" s="16">
        <f>IF($E278="","",DATE(YEAR($E278),MONTH($E278),1))</f>
        <v/>
      </c>
      <c r="G278" s="14" t="n"/>
      <c r="H278" s="14" t="n"/>
      <c r="I278" s="14" t="n"/>
      <c r="J278" s="14" t="n"/>
      <c r="K278" s="17" t="n"/>
      <c r="L278" s="15" t="n"/>
      <c r="M278" s="14" t="n"/>
      <c r="N278" s="17" t="n"/>
      <c r="O278" s="17" t="n"/>
      <c r="P278" s="18" t="n"/>
      <c r="Q278" s="11">
        <f>IF($A278="","",IF($H278="Stock",IF($I278="Buy",-$M278*$N278-$P278,IF($I278="Sell",IF($N278="", $M278*$O278-$P278,($O278-$N278)*$M278-$P278),"")),IF($I278="Sell",($N278-IF($O278="",0,$O278))*$M278*100-$P278,IF($I278="Buy",(IF($O278="",0,$O278)-$N278)*$M278*100-$P278,""))))</f>
        <v/>
      </c>
      <c r="R278" s="11">
        <f>IF($A278="","",IF($C278="Open","",$Q278))</f>
        <v/>
      </c>
      <c r="S278" s="12">
        <f>IF($A278="","",IFS($B278="Covered Call","Covered Call Premium",$B278="Cash Secured Put","Cash Secured Put Premium",$B278="Long Call/Put","Long Call/Put P/L",$B278="Debit Spread","Long Call/Put P/L",$B278="Stock Sale","Stock Sales",TRUE,"Other"))</f>
        <v/>
      </c>
      <c r="T278" s="11">
        <f>IF($A278="","",IF($B278="Cash Secured Put",$K278*$M278*100,IF($B278="Covered Call",$K278*$M278*100,IF($H278="Stock",$M278*$N278,""))))</f>
        <v/>
      </c>
      <c r="U278" s="19">
        <f>IF(OR($A278="",$C278&lt;&gt;"Closed",$D278="",$E278="",$T278=0),"",$R278/$T278*365/MAX(1,$E278-$D278))</f>
        <v/>
      </c>
      <c r="V278" s="14" t="n"/>
      <c r="W278" s="12" t="n"/>
    </row>
    <row r="279">
      <c r="A279" s="12" t="n"/>
      <c r="B279" s="14" t="n"/>
      <c r="C279" s="14" t="n"/>
      <c r="D279" s="15" t="n"/>
      <c r="E279" s="15" t="n"/>
      <c r="F279" s="16">
        <f>IF($E279="","",DATE(YEAR($E279),MONTH($E279),1))</f>
        <v/>
      </c>
      <c r="G279" s="14" t="n"/>
      <c r="H279" s="14" t="n"/>
      <c r="I279" s="14" t="n"/>
      <c r="J279" s="14" t="n"/>
      <c r="K279" s="17" t="n"/>
      <c r="L279" s="15" t="n"/>
      <c r="M279" s="14" t="n"/>
      <c r="N279" s="17" t="n"/>
      <c r="O279" s="17" t="n"/>
      <c r="P279" s="18" t="n"/>
      <c r="Q279" s="11">
        <f>IF($A279="","",IF($H279="Stock",IF($I279="Buy",-$M279*$N279-$P279,IF($I279="Sell",IF($N279="", $M279*$O279-$P279,($O279-$N279)*$M279-$P279),"")),IF($I279="Sell",($N279-IF($O279="",0,$O279))*$M279*100-$P279,IF($I279="Buy",(IF($O279="",0,$O279)-$N279)*$M279*100-$P279,""))))</f>
        <v/>
      </c>
      <c r="R279" s="11">
        <f>IF($A279="","",IF($C279="Open","",$Q279))</f>
        <v/>
      </c>
      <c r="S279" s="12">
        <f>IF($A279="","",IFS($B279="Covered Call","Covered Call Premium",$B279="Cash Secured Put","Cash Secured Put Premium",$B279="Long Call/Put","Long Call/Put P/L",$B279="Debit Spread","Long Call/Put P/L",$B279="Stock Sale","Stock Sales",TRUE,"Other"))</f>
        <v/>
      </c>
      <c r="T279" s="11">
        <f>IF($A279="","",IF($B279="Cash Secured Put",$K279*$M279*100,IF($B279="Covered Call",$K279*$M279*100,IF($H279="Stock",$M279*$N279,""))))</f>
        <v/>
      </c>
      <c r="U279" s="19">
        <f>IF(OR($A279="",$C279&lt;&gt;"Closed",$D279="",$E279="",$T279=0),"",$R279/$T279*365/MAX(1,$E279-$D279))</f>
        <v/>
      </c>
      <c r="V279" s="14" t="n"/>
      <c r="W279" s="12" t="n"/>
    </row>
    <row r="280">
      <c r="A280" s="12" t="n"/>
      <c r="B280" s="14" t="n"/>
      <c r="C280" s="14" t="n"/>
      <c r="D280" s="15" t="n"/>
      <c r="E280" s="15" t="n"/>
      <c r="F280" s="16">
        <f>IF($E280="","",DATE(YEAR($E280),MONTH($E280),1))</f>
        <v/>
      </c>
      <c r="G280" s="14" t="n"/>
      <c r="H280" s="14" t="n"/>
      <c r="I280" s="14" t="n"/>
      <c r="J280" s="14" t="n"/>
      <c r="K280" s="17" t="n"/>
      <c r="L280" s="15" t="n"/>
      <c r="M280" s="14" t="n"/>
      <c r="N280" s="17" t="n"/>
      <c r="O280" s="17" t="n"/>
      <c r="P280" s="18" t="n"/>
      <c r="Q280" s="11">
        <f>IF($A280="","",IF($H280="Stock",IF($I280="Buy",-$M280*$N280-$P280,IF($I280="Sell",IF($N280="", $M280*$O280-$P280,($O280-$N280)*$M280-$P280),"")),IF($I280="Sell",($N280-IF($O280="",0,$O280))*$M280*100-$P280,IF($I280="Buy",(IF($O280="",0,$O280)-$N280)*$M280*100-$P280,""))))</f>
        <v/>
      </c>
      <c r="R280" s="11">
        <f>IF($A280="","",IF($C280="Open","",$Q280))</f>
        <v/>
      </c>
      <c r="S280" s="12">
        <f>IF($A280="","",IFS($B280="Covered Call","Covered Call Premium",$B280="Cash Secured Put","Cash Secured Put Premium",$B280="Long Call/Put","Long Call/Put P/L",$B280="Debit Spread","Long Call/Put P/L",$B280="Stock Sale","Stock Sales",TRUE,"Other"))</f>
        <v/>
      </c>
      <c r="T280" s="11">
        <f>IF($A280="","",IF($B280="Cash Secured Put",$K280*$M280*100,IF($B280="Covered Call",$K280*$M280*100,IF($H280="Stock",$M280*$N280,""))))</f>
        <v/>
      </c>
      <c r="U280" s="19">
        <f>IF(OR($A280="",$C280&lt;&gt;"Closed",$D280="",$E280="",$T280=0),"",$R280/$T280*365/MAX(1,$E280-$D280))</f>
        <v/>
      </c>
      <c r="V280" s="14" t="n"/>
      <c r="W280" s="12" t="n"/>
    </row>
    <row r="281">
      <c r="A281" s="12" t="n"/>
      <c r="B281" s="14" t="n"/>
      <c r="C281" s="14" t="n"/>
      <c r="D281" s="15" t="n"/>
      <c r="E281" s="15" t="n"/>
      <c r="F281" s="16">
        <f>IF($E281="","",DATE(YEAR($E281),MONTH($E281),1))</f>
        <v/>
      </c>
      <c r="G281" s="14" t="n"/>
      <c r="H281" s="14" t="n"/>
      <c r="I281" s="14" t="n"/>
      <c r="J281" s="14" t="n"/>
      <c r="K281" s="17" t="n"/>
      <c r="L281" s="15" t="n"/>
      <c r="M281" s="14" t="n"/>
      <c r="N281" s="17" t="n"/>
      <c r="O281" s="17" t="n"/>
      <c r="P281" s="18" t="n"/>
      <c r="Q281" s="11">
        <f>IF($A281="","",IF($H281="Stock",IF($I281="Buy",-$M281*$N281-$P281,IF($I281="Sell",IF($N281="", $M281*$O281-$P281,($O281-$N281)*$M281-$P281),"")),IF($I281="Sell",($N281-IF($O281="",0,$O281))*$M281*100-$P281,IF($I281="Buy",(IF($O281="",0,$O281)-$N281)*$M281*100-$P281,""))))</f>
        <v/>
      </c>
      <c r="R281" s="11">
        <f>IF($A281="","",IF($C281="Open","",$Q281))</f>
        <v/>
      </c>
      <c r="S281" s="12">
        <f>IF($A281="","",IFS($B281="Covered Call","Covered Call Premium",$B281="Cash Secured Put","Cash Secured Put Premium",$B281="Long Call/Put","Long Call/Put P/L",$B281="Debit Spread","Long Call/Put P/L",$B281="Stock Sale","Stock Sales",TRUE,"Other"))</f>
        <v/>
      </c>
      <c r="T281" s="11">
        <f>IF($A281="","",IF($B281="Cash Secured Put",$K281*$M281*100,IF($B281="Covered Call",$K281*$M281*100,IF($H281="Stock",$M281*$N281,""))))</f>
        <v/>
      </c>
      <c r="U281" s="19">
        <f>IF(OR($A281="",$C281&lt;&gt;"Closed",$D281="",$E281="",$T281=0),"",$R281/$T281*365/MAX(1,$E281-$D281))</f>
        <v/>
      </c>
      <c r="V281" s="14" t="n"/>
      <c r="W281" s="12" t="n"/>
    </row>
    <row r="282">
      <c r="A282" s="12" t="n"/>
      <c r="B282" s="14" t="n"/>
      <c r="C282" s="14" t="n"/>
      <c r="D282" s="15" t="n"/>
      <c r="E282" s="15" t="n"/>
      <c r="F282" s="16">
        <f>IF($E282="","",DATE(YEAR($E282),MONTH($E282),1))</f>
        <v/>
      </c>
      <c r="G282" s="14" t="n"/>
      <c r="H282" s="14" t="n"/>
      <c r="I282" s="14" t="n"/>
      <c r="J282" s="14" t="n"/>
      <c r="K282" s="17" t="n"/>
      <c r="L282" s="15" t="n"/>
      <c r="M282" s="14" t="n"/>
      <c r="N282" s="17" t="n"/>
      <c r="O282" s="17" t="n"/>
      <c r="P282" s="18" t="n"/>
      <c r="Q282" s="11">
        <f>IF($A282="","",IF($H282="Stock",IF($I282="Buy",-$M282*$N282-$P282,IF($I282="Sell",IF($N282="", $M282*$O282-$P282,($O282-$N282)*$M282-$P282),"")),IF($I282="Sell",($N282-IF($O282="",0,$O282))*$M282*100-$P282,IF($I282="Buy",(IF($O282="",0,$O282)-$N282)*$M282*100-$P282,""))))</f>
        <v/>
      </c>
      <c r="R282" s="11">
        <f>IF($A282="","",IF($C282="Open","",$Q282))</f>
        <v/>
      </c>
      <c r="S282" s="12">
        <f>IF($A282="","",IFS($B282="Covered Call","Covered Call Premium",$B282="Cash Secured Put","Cash Secured Put Premium",$B282="Long Call/Put","Long Call/Put P/L",$B282="Debit Spread","Long Call/Put P/L",$B282="Stock Sale","Stock Sales",TRUE,"Other"))</f>
        <v/>
      </c>
      <c r="T282" s="11">
        <f>IF($A282="","",IF($B282="Cash Secured Put",$K282*$M282*100,IF($B282="Covered Call",$K282*$M282*100,IF($H282="Stock",$M282*$N282,""))))</f>
        <v/>
      </c>
      <c r="U282" s="19">
        <f>IF(OR($A282="",$C282&lt;&gt;"Closed",$D282="",$E282="",$T282=0),"",$R282/$T282*365/MAX(1,$E282-$D282))</f>
        <v/>
      </c>
      <c r="V282" s="14" t="n"/>
      <c r="W282" s="12" t="n"/>
    </row>
    <row r="283">
      <c r="A283" s="12" t="n"/>
      <c r="B283" s="14" t="n"/>
      <c r="C283" s="14" t="n"/>
      <c r="D283" s="15" t="n"/>
      <c r="E283" s="15" t="n"/>
      <c r="F283" s="16">
        <f>IF($E283="","",DATE(YEAR($E283),MONTH($E283),1))</f>
        <v/>
      </c>
      <c r="G283" s="14" t="n"/>
      <c r="H283" s="14" t="n"/>
      <c r="I283" s="14" t="n"/>
      <c r="J283" s="14" t="n"/>
      <c r="K283" s="17" t="n"/>
      <c r="L283" s="15" t="n"/>
      <c r="M283" s="14" t="n"/>
      <c r="N283" s="17" t="n"/>
      <c r="O283" s="17" t="n"/>
      <c r="P283" s="18" t="n"/>
      <c r="Q283" s="11">
        <f>IF($A283="","",IF($H283="Stock",IF($I283="Buy",-$M283*$N283-$P283,IF($I283="Sell",IF($N283="", $M283*$O283-$P283,($O283-$N283)*$M283-$P283),"")),IF($I283="Sell",($N283-IF($O283="",0,$O283))*$M283*100-$P283,IF($I283="Buy",(IF($O283="",0,$O283)-$N283)*$M283*100-$P283,""))))</f>
        <v/>
      </c>
      <c r="R283" s="11">
        <f>IF($A283="","",IF($C283="Open","",$Q283))</f>
        <v/>
      </c>
      <c r="S283" s="12">
        <f>IF($A283="","",IFS($B283="Covered Call","Covered Call Premium",$B283="Cash Secured Put","Cash Secured Put Premium",$B283="Long Call/Put","Long Call/Put P/L",$B283="Debit Spread","Long Call/Put P/L",$B283="Stock Sale","Stock Sales",TRUE,"Other"))</f>
        <v/>
      </c>
      <c r="T283" s="11">
        <f>IF($A283="","",IF($B283="Cash Secured Put",$K283*$M283*100,IF($B283="Covered Call",$K283*$M283*100,IF($H283="Stock",$M283*$N283,""))))</f>
        <v/>
      </c>
      <c r="U283" s="19">
        <f>IF(OR($A283="",$C283&lt;&gt;"Closed",$D283="",$E283="",$T283=0),"",$R283/$T283*365/MAX(1,$E283-$D283))</f>
        <v/>
      </c>
      <c r="V283" s="14" t="n"/>
      <c r="W283" s="12" t="n"/>
    </row>
    <row r="284">
      <c r="A284" s="12" t="n"/>
      <c r="B284" s="14" t="n"/>
      <c r="C284" s="14" t="n"/>
      <c r="D284" s="15" t="n"/>
      <c r="E284" s="15" t="n"/>
      <c r="F284" s="16">
        <f>IF($E284="","",DATE(YEAR($E284),MONTH($E284),1))</f>
        <v/>
      </c>
      <c r="G284" s="14" t="n"/>
      <c r="H284" s="14" t="n"/>
      <c r="I284" s="14" t="n"/>
      <c r="J284" s="14" t="n"/>
      <c r="K284" s="17" t="n"/>
      <c r="L284" s="15" t="n"/>
      <c r="M284" s="14" t="n"/>
      <c r="N284" s="17" t="n"/>
      <c r="O284" s="17" t="n"/>
      <c r="P284" s="18" t="n"/>
      <c r="Q284" s="11">
        <f>IF($A284="","",IF($H284="Stock",IF($I284="Buy",-$M284*$N284-$P284,IF($I284="Sell",IF($N284="", $M284*$O284-$P284,($O284-$N284)*$M284-$P284),"")),IF($I284="Sell",($N284-IF($O284="",0,$O284))*$M284*100-$P284,IF($I284="Buy",(IF($O284="",0,$O284)-$N284)*$M284*100-$P284,""))))</f>
        <v/>
      </c>
      <c r="R284" s="11">
        <f>IF($A284="","",IF($C284="Open","",$Q284))</f>
        <v/>
      </c>
      <c r="S284" s="12">
        <f>IF($A284="","",IFS($B284="Covered Call","Covered Call Premium",$B284="Cash Secured Put","Cash Secured Put Premium",$B284="Long Call/Put","Long Call/Put P/L",$B284="Debit Spread","Long Call/Put P/L",$B284="Stock Sale","Stock Sales",TRUE,"Other"))</f>
        <v/>
      </c>
      <c r="T284" s="11">
        <f>IF($A284="","",IF($B284="Cash Secured Put",$K284*$M284*100,IF($B284="Covered Call",$K284*$M284*100,IF($H284="Stock",$M284*$N284,""))))</f>
        <v/>
      </c>
      <c r="U284" s="19">
        <f>IF(OR($A284="",$C284&lt;&gt;"Closed",$D284="",$E284="",$T284=0),"",$R284/$T284*365/MAX(1,$E284-$D284))</f>
        <v/>
      </c>
      <c r="V284" s="14" t="n"/>
      <c r="W284" s="12" t="n"/>
    </row>
    <row r="285">
      <c r="A285" s="12" t="n"/>
      <c r="B285" s="14" t="n"/>
      <c r="C285" s="14" t="n"/>
      <c r="D285" s="15" t="n"/>
      <c r="E285" s="15" t="n"/>
      <c r="F285" s="16">
        <f>IF($E285="","",DATE(YEAR($E285),MONTH($E285),1))</f>
        <v/>
      </c>
      <c r="G285" s="14" t="n"/>
      <c r="H285" s="14" t="n"/>
      <c r="I285" s="14" t="n"/>
      <c r="J285" s="14" t="n"/>
      <c r="K285" s="17" t="n"/>
      <c r="L285" s="15" t="n"/>
      <c r="M285" s="14" t="n"/>
      <c r="N285" s="17" t="n"/>
      <c r="O285" s="17" t="n"/>
      <c r="P285" s="18" t="n"/>
      <c r="Q285" s="11">
        <f>IF($A285="","",IF($H285="Stock",IF($I285="Buy",-$M285*$N285-$P285,IF($I285="Sell",IF($N285="", $M285*$O285-$P285,($O285-$N285)*$M285-$P285),"")),IF($I285="Sell",($N285-IF($O285="",0,$O285))*$M285*100-$P285,IF($I285="Buy",(IF($O285="",0,$O285)-$N285)*$M285*100-$P285,""))))</f>
        <v/>
      </c>
      <c r="R285" s="11">
        <f>IF($A285="","",IF($C285="Open","",$Q285))</f>
        <v/>
      </c>
      <c r="S285" s="12">
        <f>IF($A285="","",IFS($B285="Covered Call","Covered Call Premium",$B285="Cash Secured Put","Cash Secured Put Premium",$B285="Long Call/Put","Long Call/Put P/L",$B285="Debit Spread","Long Call/Put P/L",$B285="Stock Sale","Stock Sales",TRUE,"Other"))</f>
        <v/>
      </c>
      <c r="T285" s="11">
        <f>IF($A285="","",IF($B285="Cash Secured Put",$K285*$M285*100,IF($B285="Covered Call",$K285*$M285*100,IF($H285="Stock",$M285*$N285,""))))</f>
        <v/>
      </c>
      <c r="U285" s="19">
        <f>IF(OR($A285="",$C285&lt;&gt;"Closed",$D285="",$E285="",$T285=0),"",$R285/$T285*365/MAX(1,$E285-$D285))</f>
        <v/>
      </c>
      <c r="V285" s="14" t="n"/>
      <c r="W285" s="12" t="n"/>
    </row>
    <row r="286">
      <c r="A286" s="12" t="n"/>
      <c r="B286" s="14" t="n"/>
      <c r="C286" s="14" t="n"/>
      <c r="D286" s="15" t="n"/>
      <c r="E286" s="15" t="n"/>
      <c r="F286" s="16">
        <f>IF($E286="","",DATE(YEAR($E286),MONTH($E286),1))</f>
        <v/>
      </c>
      <c r="G286" s="14" t="n"/>
      <c r="H286" s="14" t="n"/>
      <c r="I286" s="14" t="n"/>
      <c r="J286" s="14" t="n"/>
      <c r="K286" s="17" t="n"/>
      <c r="L286" s="15" t="n"/>
      <c r="M286" s="14" t="n"/>
      <c r="N286" s="17" t="n"/>
      <c r="O286" s="17" t="n"/>
      <c r="P286" s="18" t="n"/>
      <c r="Q286" s="11">
        <f>IF($A286="","",IF($H286="Stock",IF($I286="Buy",-$M286*$N286-$P286,IF($I286="Sell",IF($N286="", $M286*$O286-$P286,($O286-$N286)*$M286-$P286),"")),IF($I286="Sell",($N286-IF($O286="",0,$O286))*$M286*100-$P286,IF($I286="Buy",(IF($O286="",0,$O286)-$N286)*$M286*100-$P286,""))))</f>
        <v/>
      </c>
      <c r="R286" s="11">
        <f>IF($A286="","",IF($C286="Open","",$Q286))</f>
        <v/>
      </c>
      <c r="S286" s="12">
        <f>IF($A286="","",IFS($B286="Covered Call","Covered Call Premium",$B286="Cash Secured Put","Cash Secured Put Premium",$B286="Long Call/Put","Long Call/Put P/L",$B286="Debit Spread","Long Call/Put P/L",$B286="Stock Sale","Stock Sales",TRUE,"Other"))</f>
        <v/>
      </c>
      <c r="T286" s="11">
        <f>IF($A286="","",IF($B286="Cash Secured Put",$K286*$M286*100,IF($B286="Covered Call",$K286*$M286*100,IF($H286="Stock",$M286*$N286,""))))</f>
        <v/>
      </c>
      <c r="U286" s="19">
        <f>IF(OR($A286="",$C286&lt;&gt;"Closed",$D286="",$E286="",$T286=0),"",$R286/$T286*365/MAX(1,$E286-$D286))</f>
        <v/>
      </c>
      <c r="V286" s="14" t="n"/>
      <c r="W286" s="12" t="n"/>
    </row>
    <row r="287">
      <c r="A287" s="12" t="n"/>
      <c r="B287" s="14" t="n"/>
      <c r="C287" s="14" t="n"/>
      <c r="D287" s="15" t="n"/>
      <c r="E287" s="15" t="n"/>
      <c r="F287" s="16">
        <f>IF($E287="","",DATE(YEAR($E287),MONTH($E287),1))</f>
        <v/>
      </c>
      <c r="G287" s="14" t="n"/>
      <c r="H287" s="14" t="n"/>
      <c r="I287" s="14" t="n"/>
      <c r="J287" s="14" t="n"/>
      <c r="K287" s="17" t="n"/>
      <c r="L287" s="15" t="n"/>
      <c r="M287" s="14" t="n"/>
      <c r="N287" s="17" t="n"/>
      <c r="O287" s="17" t="n"/>
      <c r="P287" s="18" t="n"/>
      <c r="Q287" s="11">
        <f>IF($A287="","",IF($H287="Stock",IF($I287="Buy",-$M287*$N287-$P287,IF($I287="Sell",IF($N287="", $M287*$O287-$P287,($O287-$N287)*$M287-$P287),"")),IF($I287="Sell",($N287-IF($O287="",0,$O287))*$M287*100-$P287,IF($I287="Buy",(IF($O287="",0,$O287)-$N287)*$M287*100-$P287,""))))</f>
        <v/>
      </c>
      <c r="R287" s="11">
        <f>IF($A287="","",IF($C287="Open","",$Q287))</f>
        <v/>
      </c>
      <c r="S287" s="12">
        <f>IF($A287="","",IFS($B287="Covered Call","Covered Call Premium",$B287="Cash Secured Put","Cash Secured Put Premium",$B287="Long Call/Put","Long Call/Put P/L",$B287="Debit Spread","Long Call/Put P/L",$B287="Stock Sale","Stock Sales",TRUE,"Other"))</f>
        <v/>
      </c>
      <c r="T287" s="11">
        <f>IF($A287="","",IF($B287="Cash Secured Put",$K287*$M287*100,IF($B287="Covered Call",$K287*$M287*100,IF($H287="Stock",$M287*$N287,""))))</f>
        <v/>
      </c>
      <c r="U287" s="19">
        <f>IF(OR($A287="",$C287&lt;&gt;"Closed",$D287="",$E287="",$T287=0),"",$R287/$T287*365/MAX(1,$E287-$D287))</f>
        <v/>
      </c>
      <c r="V287" s="14" t="n"/>
      <c r="W287" s="12" t="n"/>
    </row>
    <row r="288">
      <c r="A288" s="12" t="n"/>
      <c r="B288" s="14" t="n"/>
      <c r="C288" s="14" t="n"/>
      <c r="D288" s="15" t="n"/>
      <c r="E288" s="15" t="n"/>
      <c r="F288" s="16">
        <f>IF($E288="","",DATE(YEAR($E288),MONTH($E288),1))</f>
        <v/>
      </c>
      <c r="G288" s="14" t="n"/>
      <c r="H288" s="14" t="n"/>
      <c r="I288" s="14" t="n"/>
      <c r="J288" s="14" t="n"/>
      <c r="K288" s="17" t="n"/>
      <c r="L288" s="15" t="n"/>
      <c r="M288" s="14" t="n"/>
      <c r="N288" s="17" t="n"/>
      <c r="O288" s="17" t="n"/>
      <c r="P288" s="18" t="n"/>
      <c r="Q288" s="11">
        <f>IF($A288="","",IF($H288="Stock",IF($I288="Buy",-$M288*$N288-$P288,IF($I288="Sell",IF($N288="", $M288*$O288-$P288,($O288-$N288)*$M288-$P288),"")),IF($I288="Sell",($N288-IF($O288="",0,$O288))*$M288*100-$P288,IF($I288="Buy",(IF($O288="",0,$O288)-$N288)*$M288*100-$P288,""))))</f>
        <v/>
      </c>
      <c r="R288" s="11">
        <f>IF($A288="","",IF($C288="Open","",$Q288))</f>
        <v/>
      </c>
      <c r="S288" s="12">
        <f>IF($A288="","",IFS($B288="Covered Call","Covered Call Premium",$B288="Cash Secured Put","Cash Secured Put Premium",$B288="Long Call/Put","Long Call/Put P/L",$B288="Debit Spread","Long Call/Put P/L",$B288="Stock Sale","Stock Sales",TRUE,"Other"))</f>
        <v/>
      </c>
      <c r="T288" s="11">
        <f>IF($A288="","",IF($B288="Cash Secured Put",$K288*$M288*100,IF($B288="Covered Call",$K288*$M288*100,IF($H288="Stock",$M288*$N288,""))))</f>
        <v/>
      </c>
      <c r="U288" s="19">
        <f>IF(OR($A288="",$C288&lt;&gt;"Closed",$D288="",$E288="",$T288=0),"",$R288/$T288*365/MAX(1,$E288-$D288))</f>
        <v/>
      </c>
      <c r="V288" s="14" t="n"/>
      <c r="W288" s="12" t="n"/>
    </row>
    <row r="289">
      <c r="A289" s="12" t="n"/>
      <c r="B289" s="14" t="n"/>
      <c r="C289" s="14" t="n"/>
      <c r="D289" s="15" t="n"/>
      <c r="E289" s="15" t="n"/>
      <c r="F289" s="16">
        <f>IF($E289="","",DATE(YEAR($E289),MONTH($E289),1))</f>
        <v/>
      </c>
      <c r="G289" s="14" t="n"/>
      <c r="H289" s="14" t="n"/>
      <c r="I289" s="14" t="n"/>
      <c r="J289" s="14" t="n"/>
      <c r="K289" s="17" t="n"/>
      <c r="L289" s="15" t="n"/>
      <c r="M289" s="14" t="n"/>
      <c r="N289" s="17" t="n"/>
      <c r="O289" s="17" t="n"/>
      <c r="P289" s="18" t="n"/>
      <c r="Q289" s="11">
        <f>IF($A289="","",IF($H289="Stock",IF($I289="Buy",-$M289*$N289-$P289,IF($I289="Sell",IF($N289="", $M289*$O289-$P289,($O289-$N289)*$M289-$P289),"")),IF($I289="Sell",($N289-IF($O289="",0,$O289))*$M289*100-$P289,IF($I289="Buy",(IF($O289="",0,$O289)-$N289)*$M289*100-$P289,""))))</f>
        <v/>
      </c>
      <c r="R289" s="11">
        <f>IF($A289="","",IF($C289="Open","",$Q289))</f>
        <v/>
      </c>
      <c r="S289" s="12">
        <f>IF($A289="","",IFS($B289="Covered Call","Covered Call Premium",$B289="Cash Secured Put","Cash Secured Put Premium",$B289="Long Call/Put","Long Call/Put P/L",$B289="Debit Spread","Long Call/Put P/L",$B289="Stock Sale","Stock Sales",TRUE,"Other"))</f>
        <v/>
      </c>
      <c r="T289" s="11">
        <f>IF($A289="","",IF($B289="Cash Secured Put",$K289*$M289*100,IF($B289="Covered Call",$K289*$M289*100,IF($H289="Stock",$M289*$N289,""))))</f>
        <v/>
      </c>
      <c r="U289" s="19">
        <f>IF(OR($A289="",$C289&lt;&gt;"Closed",$D289="",$E289="",$T289=0),"",$R289/$T289*365/MAX(1,$E289-$D289))</f>
        <v/>
      </c>
      <c r="V289" s="14" t="n"/>
      <c r="W289" s="12" t="n"/>
    </row>
    <row r="290">
      <c r="A290" s="12" t="n"/>
      <c r="B290" s="14" t="n"/>
      <c r="C290" s="14" t="n"/>
      <c r="D290" s="15" t="n"/>
      <c r="E290" s="15" t="n"/>
      <c r="F290" s="16">
        <f>IF($E290="","",DATE(YEAR($E290),MONTH($E290),1))</f>
        <v/>
      </c>
      <c r="G290" s="14" t="n"/>
      <c r="H290" s="14" t="n"/>
      <c r="I290" s="14" t="n"/>
      <c r="J290" s="14" t="n"/>
      <c r="K290" s="17" t="n"/>
      <c r="L290" s="15" t="n"/>
      <c r="M290" s="14" t="n"/>
      <c r="N290" s="17" t="n"/>
      <c r="O290" s="17" t="n"/>
      <c r="P290" s="18" t="n"/>
      <c r="Q290" s="11">
        <f>IF($A290="","",IF($H290="Stock",IF($I290="Buy",-$M290*$N290-$P290,IF($I290="Sell",IF($N290="", $M290*$O290-$P290,($O290-$N290)*$M290-$P290),"")),IF($I290="Sell",($N290-IF($O290="",0,$O290))*$M290*100-$P290,IF($I290="Buy",(IF($O290="",0,$O290)-$N290)*$M290*100-$P290,""))))</f>
        <v/>
      </c>
      <c r="R290" s="11">
        <f>IF($A290="","",IF($C290="Open","",$Q290))</f>
        <v/>
      </c>
      <c r="S290" s="12">
        <f>IF($A290="","",IFS($B290="Covered Call","Covered Call Premium",$B290="Cash Secured Put","Cash Secured Put Premium",$B290="Long Call/Put","Long Call/Put P/L",$B290="Debit Spread","Long Call/Put P/L",$B290="Stock Sale","Stock Sales",TRUE,"Other"))</f>
        <v/>
      </c>
      <c r="T290" s="11">
        <f>IF($A290="","",IF($B290="Cash Secured Put",$K290*$M290*100,IF($B290="Covered Call",$K290*$M290*100,IF($H290="Stock",$M290*$N290,""))))</f>
        <v/>
      </c>
      <c r="U290" s="19">
        <f>IF(OR($A290="",$C290&lt;&gt;"Closed",$D290="",$E290="",$T290=0),"",$R290/$T290*365/MAX(1,$E290-$D290))</f>
        <v/>
      </c>
      <c r="V290" s="14" t="n"/>
      <c r="W290" s="12" t="n"/>
    </row>
    <row r="291">
      <c r="A291" s="12" t="n"/>
      <c r="B291" s="14" t="n"/>
      <c r="C291" s="14" t="n"/>
      <c r="D291" s="15" t="n"/>
      <c r="E291" s="15" t="n"/>
      <c r="F291" s="16">
        <f>IF($E291="","",DATE(YEAR($E291),MONTH($E291),1))</f>
        <v/>
      </c>
      <c r="G291" s="14" t="n"/>
      <c r="H291" s="14" t="n"/>
      <c r="I291" s="14" t="n"/>
      <c r="J291" s="14" t="n"/>
      <c r="K291" s="17" t="n"/>
      <c r="L291" s="15" t="n"/>
      <c r="M291" s="14" t="n"/>
      <c r="N291" s="17" t="n"/>
      <c r="O291" s="17" t="n"/>
      <c r="P291" s="18" t="n"/>
      <c r="Q291" s="11">
        <f>IF($A291="","",IF($H291="Stock",IF($I291="Buy",-$M291*$N291-$P291,IF($I291="Sell",IF($N291="", $M291*$O291-$P291,($O291-$N291)*$M291-$P291),"")),IF($I291="Sell",($N291-IF($O291="",0,$O291))*$M291*100-$P291,IF($I291="Buy",(IF($O291="",0,$O291)-$N291)*$M291*100-$P291,""))))</f>
        <v/>
      </c>
      <c r="R291" s="11">
        <f>IF($A291="","",IF($C291="Open","",$Q291))</f>
        <v/>
      </c>
      <c r="S291" s="12">
        <f>IF($A291="","",IFS($B291="Covered Call","Covered Call Premium",$B291="Cash Secured Put","Cash Secured Put Premium",$B291="Long Call/Put","Long Call/Put P/L",$B291="Debit Spread","Long Call/Put P/L",$B291="Stock Sale","Stock Sales",TRUE,"Other"))</f>
        <v/>
      </c>
      <c r="T291" s="11">
        <f>IF($A291="","",IF($B291="Cash Secured Put",$K291*$M291*100,IF($B291="Covered Call",$K291*$M291*100,IF($H291="Stock",$M291*$N291,""))))</f>
        <v/>
      </c>
      <c r="U291" s="19">
        <f>IF(OR($A291="",$C291&lt;&gt;"Closed",$D291="",$E291="",$T291=0),"",$R291/$T291*365/MAX(1,$E291-$D291))</f>
        <v/>
      </c>
      <c r="V291" s="14" t="n"/>
      <c r="W291" s="12" t="n"/>
    </row>
    <row r="292">
      <c r="A292" s="12" t="n"/>
      <c r="B292" s="14" t="n"/>
      <c r="C292" s="14" t="n"/>
      <c r="D292" s="15" t="n"/>
      <c r="E292" s="15" t="n"/>
      <c r="F292" s="16">
        <f>IF($E292="","",DATE(YEAR($E292),MONTH($E292),1))</f>
        <v/>
      </c>
      <c r="G292" s="14" t="n"/>
      <c r="H292" s="14" t="n"/>
      <c r="I292" s="14" t="n"/>
      <c r="J292" s="14" t="n"/>
      <c r="K292" s="17" t="n"/>
      <c r="L292" s="15" t="n"/>
      <c r="M292" s="14" t="n"/>
      <c r="N292" s="17" t="n"/>
      <c r="O292" s="17" t="n"/>
      <c r="P292" s="18" t="n"/>
      <c r="Q292" s="11">
        <f>IF($A292="","",IF($H292="Stock",IF($I292="Buy",-$M292*$N292-$P292,IF($I292="Sell",IF($N292="", $M292*$O292-$P292,($O292-$N292)*$M292-$P292),"")),IF($I292="Sell",($N292-IF($O292="",0,$O292))*$M292*100-$P292,IF($I292="Buy",(IF($O292="",0,$O292)-$N292)*$M292*100-$P292,""))))</f>
        <v/>
      </c>
      <c r="R292" s="11">
        <f>IF($A292="","",IF($C292="Open","",$Q292))</f>
        <v/>
      </c>
      <c r="S292" s="12">
        <f>IF($A292="","",IFS($B292="Covered Call","Covered Call Premium",$B292="Cash Secured Put","Cash Secured Put Premium",$B292="Long Call/Put","Long Call/Put P/L",$B292="Debit Spread","Long Call/Put P/L",$B292="Stock Sale","Stock Sales",TRUE,"Other"))</f>
        <v/>
      </c>
      <c r="T292" s="11">
        <f>IF($A292="","",IF($B292="Cash Secured Put",$K292*$M292*100,IF($B292="Covered Call",$K292*$M292*100,IF($H292="Stock",$M292*$N292,""))))</f>
        <v/>
      </c>
      <c r="U292" s="19">
        <f>IF(OR($A292="",$C292&lt;&gt;"Closed",$D292="",$E292="",$T292=0),"",$R292/$T292*365/MAX(1,$E292-$D292))</f>
        <v/>
      </c>
      <c r="V292" s="14" t="n"/>
      <c r="W292" s="12" t="n"/>
    </row>
    <row r="293">
      <c r="A293" s="12" t="n"/>
      <c r="B293" s="14" t="n"/>
      <c r="C293" s="14" t="n"/>
      <c r="D293" s="15" t="n"/>
      <c r="E293" s="15" t="n"/>
      <c r="F293" s="16">
        <f>IF($E293="","",DATE(YEAR($E293),MONTH($E293),1))</f>
        <v/>
      </c>
      <c r="G293" s="14" t="n"/>
      <c r="H293" s="14" t="n"/>
      <c r="I293" s="14" t="n"/>
      <c r="J293" s="14" t="n"/>
      <c r="K293" s="17" t="n"/>
      <c r="L293" s="15" t="n"/>
      <c r="M293" s="14" t="n"/>
      <c r="N293" s="17" t="n"/>
      <c r="O293" s="17" t="n"/>
      <c r="P293" s="18" t="n"/>
      <c r="Q293" s="11">
        <f>IF($A293="","",IF($H293="Stock",IF($I293="Buy",-$M293*$N293-$P293,IF($I293="Sell",IF($N293="", $M293*$O293-$P293,($O293-$N293)*$M293-$P293),"")),IF($I293="Sell",($N293-IF($O293="",0,$O293))*$M293*100-$P293,IF($I293="Buy",(IF($O293="",0,$O293)-$N293)*$M293*100-$P293,""))))</f>
        <v/>
      </c>
      <c r="R293" s="11">
        <f>IF($A293="","",IF($C293="Open","",$Q293))</f>
        <v/>
      </c>
      <c r="S293" s="12">
        <f>IF($A293="","",IFS($B293="Covered Call","Covered Call Premium",$B293="Cash Secured Put","Cash Secured Put Premium",$B293="Long Call/Put","Long Call/Put P/L",$B293="Debit Spread","Long Call/Put P/L",$B293="Stock Sale","Stock Sales",TRUE,"Other"))</f>
        <v/>
      </c>
      <c r="T293" s="11">
        <f>IF($A293="","",IF($B293="Cash Secured Put",$K293*$M293*100,IF($B293="Covered Call",$K293*$M293*100,IF($H293="Stock",$M293*$N293,""))))</f>
        <v/>
      </c>
      <c r="U293" s="19">
        <f>IF(OR($A293="",$C293&lt;&gt;"Closed",$D293="",$E293="",$T293=0),"",$R293/$T293*365/MAX(1,$E293-$D293))</f>
        <v/>
      </c>
      <c r="V293" s="14" t="n"/>
      <c r="W293" s="12" t="n"/>
    </row>
    <row r="294">
      <c r="A294" s="12" t="n"/>
      <c r="B294" s="14" t="n"/>
      <c r="C294" s="14" t="n"/>
      <c r="D294" s="15" t="n"/>
      <c r="E294" s="15" t="n"/>
      <c r="F294" s="16">
        <f>IF($E294="","",DATE(YEAR($E294),MONTH($E294),1))</f>
        <v/>
      </c>
      <c r="G294" s="14" t="n"/>
      <c r="H294" s="14" t="n"/>
      <c r="I294" s="14" t="n"/>
      <c r="J294" s="14" t="n"/>
      <c r="K294" s="17" t="n"/>
      <c r="L294" s="15" t="n"/>
      <c r="M294" s="14" t="n"/>
      <c r="N294" s="17" t="n"/>
      <c r="O294" s="17" t="n"/>
      <c r="P294" s="18" t="n"/>
      <c r="Q294" s="11">
        <f>IF($A294="","",IF($H294="Stock",IF($I294="Buy",-$M294*$N294-$P294,IF($I294="Sell",IF($N294="", $M294*$O294-$P294,($O294-$N294)*$M294-$P294),"")),IF($I294="Sell",($N294-IF($O294="",0,$O294))*$M294*100-$P294,IF($I294="Buy",(IF($O294="",0,$O294)-$N294)*$M294*100-$P294,""))))</f>
        <v/>
      </c>
      <c r="R294" s="11">
        <f>IF($A294="","",IF($C294="Open","",$Q294))</f>
        <v/>
      </c>
      <c r="S294" s="12">
        <f>IF($A294="","",IFS($B294="Covered Call","Covered Call Premium",$B294="Cash Secured Put","Cash Secured Put Premium",$B294="Long Call/Put","Long Call/Put P/L",$B294="Debit Spread","Long Call/Put P/L",$B294="Stock Sale","Stock Sales",TRUE,"Other"))</f>
        <v/>
      </c>
      <c r="T294" s="11">
        <f>IF($A294="","",IF($B294="Cash Secured Put",$K294*$M294*100,IF($B294="Covered Call",$K294*$M294*100,IF($H294="Stock",$M294*$N294,""))))</f>
        <v/>
      </c>
      <c r="U294" s="19">
        <f>IF(OR($A294="",$C294&lt;&gt;"Closed",$D294="",$E294="",$T294=0),"",$R294/$T294*365/MAX(1,$E294-$D294))</f>
        <v/>
      </c>
      <c r="V294" s="14" t="n"/>
      <c r="W294" s="12" t="n"/>
    </row>
    <row r="295">
      <c r="A295" s="12" t="n"/>
      <c r="B295" s="14" t="n"/>
      <c r="C295" s="14" t="n"/>
      <c r="D295" s="15" t="n"/>
      <c r="E295" s="15" t="n"/>
      <c r="F295" s="16">
        <f>IF($E295="","",DATE(YEAR($E295),MONTH($E295),1))</f>
        <v/>
      </c>
      <c r="G295" s="14" t="n"/>
      <c r="H295" s="14" t="n"/>
      <c r="I295" s="14" t="n"/>
      <c r="J295" s="14" t="n"/>
      <c r="K295" s="17" t="n"/>
      <c r="L295" s="15" t="n"/>
      <c r="M295" s="14" t="n"/>
      <c r="N295" s="17" t="n"/>
      <c r="O295" s="17" t="n"/>
      <c r="P295" s="18" t="n"/>
      <c r="Q295" s="11">
        <f>IF($A295="","",IF($H295="Stock",IF($I295="Buy",-$M295*$N295-$P295,IF($I295="Sell",IF($N295="", $M295*$O295-$P295,($O295-$N295)*$M295-$P295),"")),IF($I295="Sell",($N295-IF($O295="",0,$O295))*$M295*100-$P295,IF($I295="Buy",(IF($O295="",0,$O295)-$N295)*$M295*100-$P295,""))))</f>
        <v/>
      </c>
      <c r="R295" s="11">
        <f>IF($A295="","",IF($C295="Open","",$Q295))</f>
        <v/>
      </c>
      <c r="S295" s="12">
        <f>IF($A295="","",IFS($B295="Covered Call","Covered Call Premium",$B295="Cash Secured Put","Cash Secured Put Premium",$B295="Long Call/Put","Long Call/Put P/L",$B295="Debit Spread","Long Call/Put P/L",$B295="Stock Sale","Stock Sales",TRUE,"Other"))</f>
        <v/>
      </c>
      <c r="T295" s="11">
        <f>IF($A295="","",IF($B295="Cash Secured Put",$K295*$M295*100,IF($B295="Covered Call",$K295*$M295*100,IF($H295="Stock",$M295*$N295,""))))</f>
        <v/>
      </c>
      <c r="U295" s="19">
        <f>IF(OR($A295="",$C295&lt;&gt;"Closed",$D295="",$E295="",$T295=0),"",$R295/$T295*365/MAX(1,$E295-$D295))</f>
        <v/>
      </c>
      <c r="V295" s="14" t="n"/>
      <c r="W295" s="12" t="n"/>
    </row>
    <row r="296">
      <c r="A296" s="12" t="n"/>
      <c r="B296" s="14" t="n"/>
      <c r="C296" s="14" t="n"/>
      <c r="D296" s="15" t="n"/>
      <c r="E296" s="15" t="n"/>
      <c r="F296" s="16">
        <f>IF($E296="","",DATE(YEAR($E296),MONTH($E296),1))</f>
        <v/>
      </c>
      <c r="G296" s="14" t="n"/>
      <c r="H296" s="14" t="n"/>
      <c r="I296" s="14" t="n"/>
      <c r="J296" s="14" t="n"/>
      <c r="K296" s="17" t="n"/>
      <c r="L296" s="15" t="n"/>
      <c r="M296" s="14" t="n"/>
      <c r="N296" s="17" t="n"/>
      <c r="O296" s="17" t="n"/>
      <c r="P296" s="18" t="n"/>
      <c r="Q296" s="11">
        <f>IF($A296="","",IF($H296="Stock",IF($I296="Buy",-$M296*$N296-$P296,IF($I296="Sell",IF($N296="", $M296*$O296-$P296,($O296-$N296)*$M296-$P296),"")),IF($I296="Sell",($N296-IF($O296="",0,$O296))*$M296*100-$P296,IF($I296="Buy",(IF($O296="",0,$O296)-$N296)*$M296*100-$P296,""))))</f>
        <v/>
      </c>
      <c r="R296" s="11">
        <f>IF($A296="","",IF($C296="Open","",$Q296))</f>
        <v/>
      </c>
      <c r="S296" s="12">
        <f>IF($A296="","",IFS($B296="Covered Call","Covered Call Premium",$B296="Cash Secured Put","Cash Secured Put Premium",$B296="Long Call/Put","Long Call/Put P/L",$B296="Debit Spread","Long Call/Put P/L",$B296="Stock Sale","Stock Sales",TRUE,"Other"))</f>
        <v/>
      </c>
      <c r="T296" s="11">
        <f>IF($A296="","",IF($B296="Cash Secured Put",$K296*$M296*100,IF($B296="Covered Call",$K296*$M296*100,IF($H296="Stock",$M296*$N296,""))))</f>
        <v/>
      </c>
      <c r="U296" s="19">
        <f>IF(OR($A296="",$C296&lt;&gt;"Closed",$D296="",$E296="",$T296=0),"",$R296/$T296*365/MAX(1,$E296-$D296))</f>
        <v/>
      </c>
      <c r="V296" s="14" t="n"/>
      <c r="W296" s="12" t="n"/>
    </row>
    <row r="297">
      <c r="A297" s="12" t="n"/>
      <c r="B297" s="14" t="n"/>
      <c r="C297" s="14" t="n"/>
      <c r="D297" s="15" t="n"/>
      <c r="E297" s="15" t="n"/>
      <c r="F297" s="16">
        <f>IF($E297="","",DATE(YEAR($E297),MONTH($E297),1))</f>
        <v/>
      </c>
      <c r="G297" s="14" t="n"/>
      <c r="H297" s="14" t="n"/>
      <c r="I297" s="14" t="n"/>
      <c r="J297" s="14" t="n"/>
      <c r="K297" s="17" t="n"/>
      <c r="L297" s="15" t="n"/>
      <c r="M297" s="14" t="n"/>
      <c r="N297" s="17" t="n"/>
      <c r="O297" s="17" t="n"/>
      <c r="P297" s="18" t="n"/>
      <c r="Q297" s="11">
        <f>IF($A297="","",IF($H297="Stock",IF($I297="Buy",-$M297*$N297-$P297,IF($I297="Sell",IF($N297="", $M297*$O297-$P297,($O297-$N297)*$M297-$P297),"")),IF($I297="Sell",($N297-IF($O297="",0,$O297))*$M297*100-$P297,IF($I297="Buy",(IF($O297="",0,$O297)-$N297)*$M297*100-$P297,""))))</f>
        <v/>
      </c>
      <c r="R297" s="11">
        <f>IF($A297="","",IF($C297="Open","",$Q297))</f>
        <v/>
      </c>
      <c r="S297" s="12">
        <f>IF($A297="","",IFS($B297="Covered Call","Covered Call Premium",$B297="Cash Secured Put","Cash Secured Put Premium",$B297="Long Call/Put","Long Call/Put P/L",$B297="Debit Spread","Long Call/Put P/L",$B297="Stock Sale","Stock Sales",TRUE,"Other"))</f>
        <v/>
      </c>
      <c r="T297" s="11">
        <f>IF($A297="","",IF($B297="Cash Secured Put",$K297*$M297*100,IF($B297="Covered Call",$K297*$M297*100,IF($H297="Stock",$M297*$N297,""))))</f>
        <v/>
      </c>
      <c r="U297" s="19">
        <f>IF(OR($A297="",$C297&lt;&gt;"Closed",$D297="",$E297="",$T297=0),"",$R297/$T297*365/MAX(1,$E297-$D297))</f>
        <v/>
      </c>
      <c r="V297" s="14" t="n"/>
      <c r="W297" s="12" t="n"/>
    </row>
    <row r="298">
      <c r="A298" s="12" t="n"/>
      <c r="B298" s="14" t="n"/>
      <c r="C298" s="14" t="n"/>
      <c r="D298" s="15" t="n"/>
      <c r="E298" s="15" t="n"/>
      <c r="F298" s="16">
        <f>IF($E298="","",DATE(YEAR($E298),MONTH($E298),1))</f>
        <v/>
      </c>
      <c r="G298" s="14" t="n"/>
      <c r="H298" s="14" t="n"/>
      <c r="I298" s="14" t="n"/>
      <c r="J298" s="14" t="n"/>
      <c r="K298" s="17" t="n"/>
      <c r="L298" s="15" t="n"/>
      <c r="M298" s="14" t="n"/>
      <c r="N298" s="17" t="n"/>
      <c r="O298" s="17" t="n"/>
      <c r="P298" s="18" t="n"/>
      <c r="Q298" s="11">
        <f>IF($A298="","",IF($H298="Stock",IF($I298="Buy",-$M298*$N298-$P298,IF($I298="Sell",IF($N298="", $M298*$O298-$P298,($O298-$N298)*$M298-$P298),"")),IF($I298="Sell",($N298-IF($O298="",0,$O298))*$M298*100-$P298,IF($I298="Buy",(IF($O298="",0,$O298)-$N298)*$M298*100-$P298,""))))</f>
        <v/>
      </c>
      <c r="R298" s="11">
        <f>IF($A298="","",IF($C298="Open","",$Q298))</f>
        <v/>
      </c>
      <c r="S298" s="12">
        <f>IF($A298="","",IFS($B298="Covered Call","Covered Call Premium",$B298="Cash Secured Put","Cash Secured Put Premium",$B298="Long Call/Put","Long Call/Put P/L",$B298="Debit Spread","Long Call/Put P/L",$B298="Stock Sale","Stock Sales",TRUE,"Other"))</f>
        <v/>
      </c>
      <c r="T298" s="11">
        <f>IF($A298="","",IF($B298="Cash Secured Put",$K298*$M298*100,IF($B298="Covered Call",$K298*$M298*100,IF($H298="Stock",$M298*$N298,""))))</f>
        <v/>
      </c>
      <c r="U298" s="19">
        <f>IF(OR($A298="",$C298&lt;&gt;"Closed",$D298="",$E298="",$T298=0),"",$R298/$T298*365/MAX(1,$E298-$D298))</f>
        <v/>
      </c>
      <c r="V298" s="14" t="n"/>
      <c r="W298" s="12" t="n"/>
    </row>
    <row r="299">
      <c r="A299" s="12" t="n"/>
      <c r="B299" s="14" t="n"/>
      <c r="C299" s="14" t="n"/>
      <c r="D299" s="15" t="n"/>
      <c r="E299" s="15" t="n"/>
      <c r="F299" s="16">
        <f>IF($E299="","",DATE(YEAR($E299),MONTH($E299),1))</f>
        <v/>
      </c>
      <c r="G299" s="14" t="n"/>
      <c r="H299" s="14" t="n"/>
      <c r="I299" s="14" t="n"/>
      <c r="J299" s="14" t="n"/>
      <c r="K299" s="17" t="n"/>
      <c r="L299" s="15" t="n"/>
      <c r="M299" s="14" t="n"/>
      <c r="N299" s="17" t="n"/>
      <c r="O299" s="17" t="n"/>
      <c r="P299" s="18" t="n"/>
      <c r="Q299" s="11">
        <f>IF($A299="","",IF($H299="Stock",IF($I299="Buy",-$M299*$N299-$P299,IF($I299="Sell",IF($N299="", $M299*$O299-$P299,($O299-$N299)*$M299-$P299),"")),IF($I299="Sell",($N299-IF($O299="",0,$O299))*$M299*100-$P299,IF($I299="Buy",(IF($O299="",0,$O299)-$N299)*$M299*100-$P299,""))))</f>
        <v/>
      </c>
      <c r="R299" s="11">
        <f>IF($A299="","",IF($C299="Open","",$Q299))</f>
        <v/>
      </c>
      <c r="S299" s="12">
        <f>IF($A299="","",IFS($B299="Covered Call","Covered Call Premium",$B299="Cash Secured Put","Cash Secured Put Premium",$B299="Long Call/Put","Long Call/Put P/L",$B299="Debit Spread","Long Call/Put P/L",$B299="Stock Sale","Stock Sales",TRUE,"Other"))</f>
        <v/>
      </c>
      <c r="T299" s="11">
        <f>IF($A299="","",IF($B299="Cash Secured Put",$K299*$M299*100,IF($B299="Covered Call",$K299*$M299*100,IF($H299="Stock",$M299*$N299,""))))</f>
        <v/>
      </c>
      <c r="U299" s="19">
        <f>IF(OR($A299="",$C299&lt;&gt;"Closed",$D299="",$E299="",$T299=0),"",$R299/$T299*365/MAX(1,$E299-$D299))</f>
        <v/>
      </c>
      <c r="V299" s="14" t="n"/>
      <c r="W299" s="12" t="n"/>
    </row>
    <row r="300">
      <c r="A300" s="12" t="n"/>
      <c r="B300" s="14" t="n"/>
      <c r="C300" s="14" t="n"/>
      <c r="D300" s="15" t="n"/>
      <c r="E300" s="15" t="n"/>
      <c r="F300" s="16">
        <f>IF($E300="","",DATE(YEAR($E300),MONTH($E300),1))</f>
        <v/>
      </c>
      <c r="G300" s="14" t="n"/>
      <c r="H300" s="14" t="n"/>
      <c r="I300" s="14" t="n"/>
      <c r="J300" s="14" t="n"/>
      <c r="K300" s="17" t="n"/>
      <c r="L300" s="15" t="n"/>
      <c r="M300" s="14" t="n"/>
      <c r="N300" s="17" t="n"/>
      <c r="O300" s="17" t="n"/>
      <c r="P300" s="18" t="n"/>
      <c r="Q300" s="11">
        <f>IF($A300="","",IF($H300="Stock",IF($I300="Buy",-$M300*$N300-$P300,IF($I300="Sell",IF($N300="", $M300*$O300-$P300,($O300-$N300)*$M300-$P300),"")),IF($I300="Sell",($N300-IF($O300="",0,$O300))*$M300*100-$P300,IF($I300="Buy",(IF($O300="",0,$O300)-$N300)*$M300*100-$P300,""))))</f>
        <v/>
      </c>
      <c r="R300" s="11">
        <f>IF($A300="","",IF($C300="Open","",$Q300))</f>
        <v/>
      </c>
      <c r="S300" s="12">
        <f>IF($A300="","",IFS($B300="Covered Call","Covered Call Premium",$B300="Cash Secured Put","Cash Secured Put Premium",$B300="Long Call/Put","Long Call/Put P/L",$B300="Debit Spread","Long Call/Put P/L",$B300="Stock Sale","Stock Sales",TRUE,"Other"))</f>
        <v/>
      </c>
      <c r="T300" s="11">
        <f>IF($A300="","",IF($B300="Cash Secured Put",$K300*$M300*100,IF($B300="Covered Call",$K300*$M300*100,IF($H300="Stock",$M300*$N300,""))))</f>
        <v/>
      </c>
      <c r="U300" s="19">
        <f>IF(OR($A300="",$C300&lt;&gt;"Closed",$D300="",$E300="",$T300=0),"",$R300/$T300*365/MAX(1,$E300-$D300))</f>
        <v/>
      </c>
      <c r="V300" s="14" t="n"/>
      <c r="W300" s="12" t="n"/>
    </row>
    <row r="301">
      <c r="A301" s="12" t="n"/>
      <c r="B301" s="14" t="n"/>
      <c r="C301" s="14" t="n"/>
      <c r="D301" s="15" t="n"/>
      <c r="E301" s="15" t="n"/>
      <c r="F301" s="16">
        <f>IF($E301="","",DATE(YEAR($E301),MONTH($E301),1))</f>
        <v/>
      </c>
      <c r="G301" s="14" t="n"/>
      <c r="H301" s="14" t="n"/>
      <c r="I301" s="14" t="n"/>
      <c r="J301" s="14" t="n"/>
      <c r="K301" s="17" t="n"/>
      <c r="L301" s="15" t="n"/>
      <c r="M301" s="14" t="n"/>
      <c r="N301" s="17" t="n"/>
      <c r="O301" s="17" t="n"/>
      <c r="P301" s="18" t="n"/>
      <c r="Q301" s="11">
        <f>IF($A301="","",IF($H301="Stock",IF($I301="Buy",-$M301*$N301-$P301,IF($I301="Sell",IF($N301="", $M301*$O301-$P301,($O301-$N301)*$M301-$P301),"")),IF($I301="Sell",($N301-IF($O301="",0,$O301))*$M301*100-$P301,IF($I301="Buy",(IF($O301="",0,$O301)-$N301)*$M301*100-$P301,""))))</f>
        <v/>
      </c>
      <c r="R301" s="11">
        <f>IF($A301="","",IF($C301="Open","",$Q301))</f>
        <v/>
      </c>
      <c r="S301" s="12">
        <f>IF($A301="","",IFS($B301="Covered Call","Covered Call Premium",$B301="Cash Secured Put","Cash Secured Put Premium",$B301="Long Call/Put","Long Call/Put P/L",$B301="Debit Spread","Long Call/Put P/L",$B301="Stock Sale","Stock Sales",TRUE,"Other"))</f>
        <v/>
      </c>
      <c r="T301" s="11">
        <f>IF($A301="","",IF($B301="Cash Secured Put",$K301*$M301*100,IF($B301="Covered Call",$K301*$M301*100,IF($H301="Stock",$M301*$N301,""))))</f>
        <v/>
      </c>
      <c r="U301" s="19">
        <f>IF(OR($A301="",$C301&lt;&gt;"Closed",$D301="",$E301="",$T301=0),"",$R301/$T301*365/MAX(1,$E301-$D301))</f>
        <v/>
      </c>
      <c r="V301" s="14" t="n"/>
      <c r="W301" s="12" t="n"/>
    </row>
    <row r="302">
      <c r="A302" s="12" t="n"/>
      <c r="B302" s="14" t="n"/>
      <c r="C302" s="14" t="n"/>
      <c r="D302" s="15" t="n"/>
      <c r="E302" s="15" t="n"/>
      <c r="F302" s="16">
        <f>IF($E302="","",DATE(YEAR($E302),MONTH($E302),1))</f>
        <v/>
      </c>
      <c r="G302" s="14" t="n"/>
      <c r="H302" s="14" t="n"/>
      <c r="I302" s="14" t="n"/>
      <c r="J302" s="14" t="n"/>
      <c r="K302" s="17" t="n"/>
      <c r="L302" s="15" t="n"/>
      <c r="M302" s="14" t="n"/>
      <c r="N302" s="17" t="n"/>
      <c r="O302" s="17" t="n"/>
      <c r="P302" s="18" t="n"/>
      <c r="Q302" s="11">
        <f>IF($A302="","",IF($H302="Stock",IF($I302="Buy",-$M302*$N302-$P302,IF($I302="Sell",IF($N302="", $M302*$O302-$P302,($O302-$N302)*$M302-$P302),"")),IF($I302="Sell",($N302-IF($O302="",0,$O302))*$M302*100-$P302,IF($I302="Buy",(IF($O302="",0,$O302)-$N302)*$M302*100-$P302,""))))</f>
        <v/>
      </c>
      <c r="R302" s="11">
        <f>IF($A302="","",IF($C302="Open","",$Q302))</f>
        <v/>
      </c>
      <c r="S302" s="12">
        <f>IF($A302="","",IFS($B302="Covered Call","Covered Call Premium",$B302="Cash Secured Put","Cash Secured Put Premium",$B302="Long Call/Put","Long Call/Put P/L",$B302="Debit Spread","Long Call/Put P/L",$B302="Stock Sale","Stock Sales",TRUE,"Other"))</f>
        <v/>
      </c>
      <c r="T302" s="11">
        <f>IF($A302="","",IF($B302="Cash Secured Put",$K302*$M302*100,IF($B302="Covered Call",$K302*$M302*100,IF($H302="Stock",$M302*$N302,""))))</f>
        <v/>
      </c>
      <c r="U302" s="19">
        <f>IF(OR($A302="",$C302&lt;&gt;"Closed",$D302="",$E302="",$T302=0),"",$R302/$T302*365/MAX(1,$E302-$D302))</f>
        <v/>
      </c>
      <c r="V302" s="14" t="n"/>
      <c r="W302" s="12" t="n"/>
    </row>
    <row r="303">
      <c r="A303" s="12" t="n"/>
      <c r="B303" s="14" t="n"/>
      <c r="C303" s="14" t="n"/>
      <c r="D303" s="15" t="n"/>
      <c r="E303" s="15" t="n"/>
      <c r="F303" s="16">
        <f>IF($E303="","",DATE(YEAR($E303),MONTH($E303),1))</f>
        <v/>
      </c>
      <c r="G303" s="14" t="n"/>
      <c r="H303" s="14" t="n"/>
      <c r="I303" s="14" t="n"/>
      <c r="J303" s="14" t="n"/>
      <c r="K303" s="17" t="n"/>
      <c r="L303" s="15" t="n"/>
      <c r="M303" s="14" t="n"/>
      <c r="N303" s="17" t="n"/>
      <c r="O303" s="17" t="n"/>
      <c r="P303" s="18" t="n"/>
      <c r="Q303" s="11">
        <f>IF($A303="","",IF($H303="Stock",IF($I303="Buy",-$M303*$N303-$P303,IF($I303="Sell",IF($N303="", $M303*$O303-$P303,($O303-$N303)*$M303-$P303),"")),IF($I303="Sell",($N303-IF($O303="",0,$O303))*$M303*100-$P303,IF($I303="Buy",(IF($O303="",0,$O303)-$N303)*$M303*100-$P303,""))))</f>
        <v/>
      </c>
      <c r="R303" s="11">
        <f>IF($A303="","",IF($C303="Open","",$Q303))</f>
        <v/>
      </c>
      <c r="S303" s="12">
        <f>IF($A303="","",IFS($B303="Covered Call","Covered Call Premium",$B303="Cash Secured Put","Cash Secured Put Premium",$B303="Long Call/Put","Long Call/Put P/L",$B303="Debit Spread","Long Call/Put P/L",$B303="Stock Sale","Stock Sales",TRUE,"Other"))</f>
        <v/>
      </c>
      <c r="T303" s="11">
        <f>IF($A303="","",IF($B303="Cash Secured Put",$K303*$M303*100,IF($B303="Covered Call",$K303*$M303*100,IF($H303="Stock",$M303*$N303,""))))</f>
        <v/>
      </c>
      <c r="U303" s="19">
        <f>IF(OR($A303="",$C303&lt;&gt;"Closed",$D303="",$E303="",$T303=0),"",$R303/$T303*365/MAX(1,$E303-$D303))</f>
        <v/>
      </c>
      <c r="V303" s="14" t="n"/>
      <c r="W303" s="12" t="n"/>
    </row>
    <row r="304">
      <c r="A304" s="12" t="n"/>
      <c r="B304" s="14" t="n"/>
      <c r="C304" s="14" t="n"/>
      <c r="D304" s="15" t="n"/>
      <c r="E304" s="15" t="n"/>
      <c r="F304" s="16">
        <f>IF($E304="","",DATE(YEAR($E304),MONTH($E304),1))</f>
        <v/>
      </c>
      <c r="G304" s="14" t="n"/>
      <c r="H304" s="14" t="n"/>
      <c r="I304" s="14" t="n"/>
      <c r="J304" s="14" t="n"/>
      <c r="K304" s="17" t="n"/>
      <c r="L304" s="15" t="n"/>
      <c r="M304" s="14" t="n"/>
      <c r="N304" s="17" t="n"/>
      <c r="O304" s="17" t="n"/>
      <c r="P304" s="18" t="n"/>
      <c r="Q304" s="11">
        <f>IF($A304="","",IF($H304="Stock",IF($I304="Buy",-$M304*$N304-$P304,IF($I304="Sell",IF($N304="", $M304*$O304-$P304,($O304-$N304)*$M304-$P304),"")),IF($I304="Sell",($N304-IF($O304="",0,$O304))*$M304*100-$P304,IF($I304="Buy",(IF($O304="",0,$O304)-$N304)*$M304*100-$P304,""))))</f>
        <v/>
      </c>
      <c r="R304" s="11">
        <f>IF($A304="","",IF($C304="Open","",$Q304))</f>
        <v/>
      </c>
      <c r="S304" s="12">
        <f>IF($A304="","",IFS($B304="Covered Call","Covered Call Premium",$B304="Cash Secured Put","Cash Secured Put Premium",$B304="Long Call/Put","Long Call/Put P/L",$B304="Debit Spread","Long Call/Put P/L",$B304="Stock Sale","Stock Sales",TRUE,"Other"))</f>
        <v/>
      </c>
      <c r="T304" s="11">
        <f>IF($A304="","",IF($B304="Cash Secured Put",$K304*$M304*100,IF($B304="Covered Call",$K304*$M304*100,IF($H304="Stock",$M304*$N304,""))))</f>
        <v/>
      </c>
      <c r="U304" s="19">
        <f>IF(OR($A304="",$C304&lt;&gt;"Closed",$D304="",$E304="",$T304=0),"",$R304/$T304*365/MAX(1,$E304-$D304))</f>
        <v/>
      </c>
      <c r="V304" s="14" t="n"/>
      <c r="W304" s="12" t="n"/>
    </row>
    <row r="305">
      <c r="A305" s="12" t="n"/>
      <c r="B305" s="14" t="n"/>
      <c r="C305" s="14" t="n"/>
      <c r="D305" s="15" t="n"/>
      <c r="E305" s="15" t="n"/>
      <c r="F305" s="16">
        <f>IF($E305="","",DATE(YEAR($E305),MONTH($E305),1))</f>
        <v/>
      </c>
      <c r="G305" s="14" t="n"/>
      <c r="H305" s="14" t="n"/>
      <c r="I305" s="14" t="n"/>
      <c r="J305" s="14" t="n"/>
      <c r="K305" s="17" t="n"/>
      <c r="L305" s="15" t="n"/>
      <c r="M305" s="14" t="n"/>
      <c r="N305" s="17" t="n"/>
      <c r="O305" s="17" t="n"/>
      <c r="P305" s="18" t="n"/>
      <c r="Q305" s="11">
        <f>IF($A305="","",IF($H305="Stock",IF($I305="Buy",-$M305*$N305-$P305,IF($I305="Sell",IF($N305="", $M305*$O305-$P305,($O305-$N305)*$M305-$P305),"")),IF($I305="Sell",($N305-IF($O305="",0,$O305))*$M305*100-$P305,IF($I305="Buy",(IF($O305="",0,$O305)-$N305)*$M305*100-$P305,""))))</f>
        <v/>
      </c>
      <c r="R305" s="11">
        <f>IF($A305="","",IF($C305="Open","",$Q305))</f>
        <v/>
      </c>
      <c r="S305" s="12">
        <f>IF($A305="","",IFS($B305="Covered Call","Covered Call Premium",$B305="Cash Secured Put","Cash Secured Put Premium",$B305="Long Call/Put","Long Call/Put P/L",$B305="Debit Spread","Long Call/Put P/L",$B305="Stock Sale","Stock Sales",TRUE,"Other"))</f>
        <v/>
      </c>
      <c r="T305" s="11">
        <f>IF($A305="","",IF($B305="Cash Secured Put",$K305*$M305*100,IF($B305="Covered Call",$K305*$M305*100,IF($H305="Stock",$M305*$N305,""))))</f>
        <v/>
      </c>
      <c r="U305" s="19">
        <f>IF(OR($A305="",$C305&lt;&gt;"Closed",$D305="",$E305="",$T305=0),"",$R305/$T305*365/MAX(1,$E305-$D305))</f>
        <v/>
      </c>
      <c r="V305" s="14" t="n"/>
      <c r="W305" s="12" t="n"/>
    </row>
    <row r="306">
      <c r="A306" s="12" t="n"/>
      <c r="B306" s="14" t="n"/>
      <c r="C306" s="14" t="n"/>
      <c r="D306" s="15" t="n"/>
      <c r="E306" s="15" t="n"/>
      <c r="F306" s="16">
        <f>IF($E306="","",DATE(YEAR($E306),MONTH($E306),1))</f>
        <v/>
      </c>
      <c r="G306" s="14" t="n"/>
      <c r="H306" s="14" t="n"/>
      <c r="I306" s="14" t="n"/>
      <c r="J306" s="14" t="n"/>
      <c r="K306" s="17" t="n"/>
      <c r="L306" s="15" t="n"/>
      <c r="M306" s="14" t="n"/>
      <c r="N306" s="17" t="n"/>
      <c r="O306" s="17" t="n"/>
      <c r="P306" s="18" t="n"/>
      <c r="Q306" s="11">
        <f>IF($A306="","",IF($H306="Stock",IF($I306="Buy",-$M306*$N306-$P306,IF($I306="Sell",IF($N306="", $M306*$O306-$P306,($O306-$N306)*$M306-$P306),"")),IF($I306="Sell",($N306-IF($O306="",0,$O306))*$M306*100-$P306,IF($I306="Buy",(IF($O306="",0,$O306)-$N306)*$M306*100-$P306,""))))</f>
        <v/>
      </c>
      <c r="R306" s="11">
        <f>IF($A306="","",IF($C306="Open","",$Q306))</f>
        <v/>
      </c>
      <c r="S306" s="12">
        <f>IF($A306="","",IFS($B306="Covered Call","Covered Call Premium",$B306="Cash Secured Put","Cash Secured Put Premium",$B306="Long Call/Put","Long Call/Put P/L",$B306="Debit Spread","Long Call/Put P/L",$B306="Stock Sale","Stock Sales",TRUE,"Other"))</f>
        <v/>
      </c>
      <c r="T306" s="11">
        <f>IF($A306="","",IF($B306="Cash Secured Put",$K306*$M306*100,IF($B306="Covered Call",$K306*$M306*100,IF($H306="Stock",$M306*$N306,""))))</f>
        <v/>
      </c>
      <c r="U306" s="19">
        <f>IF(OR($A306="",$C306&lt;&gt;"Closed",$D306="",$E306="",$T306=0),"",$R306/$T306*365/MAX(1,$E306-$D306))</f>
        <v/>
      </c>
      <c r="V306" s="14" t="n"/>
      <c r="W306" s="12" t="n"/>
    </row>
    <row r="307">
      <c r="A307" s="12" t="n"/>
      <c r="B307" s="14" t="n"/>
      <c r="C307" s="14" t="n"/>
      <c r="D307" s="15" t="n"/>
      <c r="E307" s="15" t="n"/>
      <c r="F307" s="16">
        <f>IF($E307="","",DATE(YEAR($E307),MONTH($E307),1))</f>
        <v/>
      </c>
      <c r="G307" s="14" t="n"/>
      <c r="H307" s="14" t="n"/>
      <c r="I307" s="14" t="n"/>
      <c r="J307" s="14" t="n"/>
      <c r="K307" s="17" t="n"/>
      <c r="L307" s="15" t="n"/>
      <c r="M307" s="14" t="n"/>
      <c r="N307" s="17" t="n"/>
      <c r="O307" s="17" t="n"/>
      <c r="P307" s="18" t="n"/>
      <c r="Q307" s="11">
        <f>IF($A307="","",IF($H307="Stock",IF($I307="Buy",-$M307*$N307-$P307,IF($I307="Sell",IF($N307="", $M307*$O307-$P307,($O307-$N307)*$M307-$P307),"")),IF($I307="Sell",($N307-IF($O307="",0,$O307))*$M307*100-$P307,IF($I307="Buy",(IF($O307="",0,$O307)-$N307)*$M307*100-$P307,""))))</f>
        <v/>
      </c>
      <c r="R307" s="11">
        <f>IF($A307="","",IF($C307="Open","",$Q307))</f>
        <v/>
      </c>
      <c r="S307" s="12">
        <f>IF($A307="","",IFS($B307="Covered Call","Covered Call Premium",$B307="Cash Secured Put","Cash Secured Put Premium",$B307="Long Call/Put","Long Call/Put P/L",$B307="Debit Spread","Long Call/Put P/L",$B307="Stock Sale","Stock Sales",TRUE,"Other"))</f>
        <v/>
      </c>
      <c r="T307" s="11">
        <f>IF($A307="","",IF($B307="Cash Secured Put",$K307*$M307*100,IF($B307="Covered Call",$K307*$M307*100,IF($H307="Stock",$M307*$N307,""))))</f>
        <v/>
      </c>
      <c r="U307" s="19">
        <f>IF(OR($A307="",$C307&lt;&gt;"Closed",$D307="",$E307="",$T307=0),"",$R307/$T307*365/MAX(1,$E307-$D307))</f>
        <v/>
      </c>
      <c r="V307" s="14" t="n"/>
      <c r="W307" s="12" t="n"/>
    </row>
    <row r="308">
      <c r="A308" s="12" t="n"/>
      <c r="B308" s="14" t="n"/>
      <c r="C308" s="14" t="n"/>
      <c r="D308" s="15" t="n"/>
      <c r="E308" s="15" t="n"/>
      <c r="F308" s="16">
        <f>IF($E308="","",DATE(YEAR($E308),MONTH($E308),1))</f>
        <v/>
      </c>
      <c r="G308" s="14" t="n"/>
      <c r="H308" s="14" t="n"/>
      <c r="I308" s="14" t="n"/>
      <c r="J308" s="14" t="n"/>
      <c r="K308" s="17" t="n"/>
      <c r="L308" s="15" t="n"/>
      <c r="M308" s="14" t="n"/>
      <c r="N308" s="17" t="n"/>
      <c r="O308" s="17" t="n"/>
      <c r="P308" s="18" t="n"/>
      <c r="Q308" s="11">
        <f>IF($A308="","",IF($H308="Stock",IF($I308="Buy",-$M308*$N308-$P308,IF($I308="Sell",IF($N308="", $M308*$O308-$P308,($O308-$N308)*$M308-$P308),"")),IF($I308="Sell",($N308-IF($O308="",0,$O308))*$M308*100-$P308,IF($I308="Buy",(IF($O308="",0,$O308)-$N308)*$M308*100-$P308,""))))</f>
        <v/>
      </c>
      <c r="R308" s="11">
        <f>IF($A308="","",IF($C308="Open","",$Q308))</f>
        <v/>
      </c>
      <c r="S308" s="12">
        <f>IF($A308="","",IFS($B308="Covered Call","Covered Call Premium",$B308="Cash Secured Put","Cash Secured Put Premium",$B308="Long Call/Put","Long Call/Put P/L",$B308="Debit Spread","Long Call/Put P/L",$B308="Stock Sale","Stock Sales",TRUE,"Other"))</f>
        <v/>
      </c>
      <c r="T308" s="11">
        <f>IF($A308="","",IF($B308="Cash Secured Put",$K308*$M308*100,IF($B308="Covered Call",$K308*$M308*100,IF($H308="Stock",$M308*$N308,""))))</f>
        <v/>
      </c>
      <c r="U308" s="19">
        <f>IF(OR($A308="",$C308&lt;&gt;"Closed",$D308="",$E308="",$T308=0),"",$R308/$T308*365/MAX(1,$E308-$D308))</f>
        <v/>
      </c>
      <c r="V308" s="14" t="n"/>
      <c r="W308" s="12" t="n"/>
    </row>
    <row r="309">
      <c r="A309" s="12" t="n"/>
      <c r="B309" s="14" t="n"/>
      <c r="C309" s="14" t="n"/>
      <c r="D309" s="15" t="n"/>
      <c r="E309" s="15" t="n"/>
      <c r="F309" s="16">
        <f>IF($E309="","",DATE(YEAR($E309),MONTH($E309),1))</f>
        <v/>
      </c>
      <c r="G309" s="14" t="n"/>
      <c r="H309" s="14" t="n"/>
      <c r="I309" s="14" t="n"/>
      <c r="J309" s="14" t="n"/>
      <c r="K309" s="17" t="n"/>
      <c r="L309" s="15" t="n"/>
      <c r="M309" s="14" t="n"/>
      <c r="N309" s="17" t="n"/>
      <c r="O309" s="17" t="n"/>
      <c r="P309" s="18" t="n"/>
      <c r="Q309" s="11">
        <f>IF($A309="","",IF($H309="Stock",IF($I309="Buy",-$M309*$N309-$P309,IF($I309="Sell",IF($N309="", $M309*$O309-$P309,($O309-$N309)*$M309-$P309),"")),IF($I309="Sell",($N309-IF($O309="",0,$O309))*$M309*100-$P309,IF($I309="Buy",(IF($O309="",0,$O309)-$N309)*$M309*100-$P309,""))))</f>
        <v/>
      </c>
      <c r="R309" s="11">
        <f>IF($A309="","",IF($C309="Open","",$Q309))</f>
        <v/>
      </c>
      <c r="S309" s="12">
        <f>IF($A309="","",IFS($B309="Covered Call","Covered Call Premium",$B309="Cash Secured Put","Cash Secured Put Premium",$B309="Long Call/Put","Long Call/Put P/L",$B309="Debit Spread","Long Call/Put P/L",$B309="Stock Sale","Stock Sales",TRUE,"Other"))</f>
        <v/>
      </c>
      <c r="T309" s="11">
        <f>IF($A309="","",IF($B309="Cash Secured Put",$K309*$M309*100,IF($B309="Covered Call",$K309*$M309*100,IF($H309="Stock",$M309*$N309,""))))</f>
        <v/>
      </c>
      <c r="U309" s="19">
        <f>IF(OR($A309="",$C309&lt;&gt;"Closed",$D309="",$E309="",$T309=0),"",$R309/$T309*365/MAX(1,$E309-$D309))</f>
        <v/>
      </c>
      <c r="V309" s="14" t="n"/>
      <c r="W309" s="12" t="n"/>
    </row>
    <row r="310">
      <c r="A310" s="12" t="n"/>
      <c r="B310" s="14" t="n"/>
      <c r="C310" s="14" t="n"/>
      <c r="D310" s="15" t="n"/>
      <c r="E310" s="15" t="n"/>
      <c r="F310" s="16">
        <f>IF($E310="","",DATE(YEAR($E310),MONTH($E310),1))</f>
        <v/>
      </c>
      <c r="G310" s="14" t="n"/>
      <c r="H310" s="14" t="n"/>
      <c r="I310" s="14" t="n"/>
      <c r="J310" s="14" t="n"/>
      <c r="K310" s="17" t="n"/>
      <c r="L310" s="15" t="n"/>
      <c r="M310" s="14" t="n"/>
      <c r="N310" s="17" t="n"/>
      <c r="O310" s="17" t="n"/>
      <c r="P310" s="18" t="n"/>
      <c r="Q310" s="11">
        <f>IF($A310="","",IF($H310="Stock",IF($I310="Buy",-$M310*$N310-$P310,IF($I310="Sell",IF($N310="", $M310*$O310-$P310,($O310-$N310)*$M310-$P310),"")),IF($I310="Sell",($N310-IF($O310="",0,$O310))*$M310*100-$P310,IF($I310="Buy",(IF($O310="",0,$O310)-$N310)*$M310*100-$P310,""))))</f>
        <v/>
      </c>
      <c r="R310" s="11">
        <f>IF($A310="","",IF($C310="Open","",$Q310))</f>
        <v/>
      </c>
      <c r="S310" s="12">
        <f>IF($A310="","",IFS($B310="Covered Call","Covered Call Premium",$B310="Cash Secured Put","Cash Secured Put Premium",$B310="Long Call/Put","Long Call/Put P/L",$B310="Debit Spread","Long Call/Put P/L",$B310="Stock Sale","Stock Sales",TRUE,"Other"))</f>
        <v/>
      </c>
      <c r="T310" s="11">
        <f>IF($A310="","",IF($B310="Cash Secured Put",$K310*$M310*100,IF($B310="Covered Call",$K310*$M310*100,IF($H310="Stock",$M310*$N310,""))))</f>
        <v/>
      </c>
      <c r="U310" s="19">
        <f>IF(OR($A310="",$C310&lt;&gt;"Closed",$D310="",$E310="",$T310=0),"",$R310/$T310*365/MAX(1,$E310-$D310))</f>
        <v/>
      </c>
      <c r="V310" s="14" t="n"/>
      <c r="W310" s="12" t="n"/>
    </row>
    <row r="311">
      <c r="A311" s="12" t="n"/>
      <c r="B311" s="14" t="n"/>
      <c r="C311" s="14" t="n"/>
      <c r="D311" s="15" t="n"/>
      <c r="E311" s="15" t="n"/>
      <c r="F311" s="16">
        <f>IF($E311="","",DATE(YEAR($E311),MONTH($E311),1))</f>
        <v/>
      </c>
      <c r="G311" s="14" t="n"/>
      <c r="H311" s="14" t="n"/>
      <c r="I311" s="14" t="n"/>
      <c r="J311" s="14" t="n"/>
      <c r="K311" s="17" t="n"/>
      <c r="L311" s="15" t="n"/>
      <c r="M311" s="14" t="n"/>
      <c r="N311" s="17" t="n"/>
      <c r="O311" s="17" t="n"/>
      <c r="P311" s="18" t="n"/>
      <c r="Q311" s="11">
        <f>IF($A311="","",IF($H311="Stock",IF($I311="Buy",-$M311*$N311-$P311,IF($I311="Sell",IF($N311="", $M311*$O311-$P311,($O311-$N311)*$M311-$P311),"")),IF($I311="Sell",($N311-IF($O311="",0,$O311))*$M311*100-$P311,IF($I311="Buy",(IF($O311="",0,$O311)-$N311)*$M311*100-$P311,""))))</f>
        <v/>
      </c>
      <c r="R311" s="11">
        <f>IF($A311="","",IF($C311="Open","",$Q311))</f>
        <v/>
      </c>
      <c r="S311" s="12">
        <f>IF($A311="","",IFS($B311="Covered Call","Covered Call Premium",$B311="Cash Secured Put","Cash Secured Put Premium",$B311="Long Call/Put","Long Call/Put P/L",$B311="Debit Spread","Long Call/Put P/L",$B311="Stock Sale","Stock Sales",TRUE,"Other"))</f>
        <v/>
      </c>
      <c r="T311" s="11">
        <f>IF($A311="","",IF($B311="Cash Secured Put",$K311*$M311*100,IF($B311="Covered Call",$K311*$M311*100,IF($H311="Stock",$M311*$N311,""))))</f>
        <v/>
      </c>
      <c r="U311" s="19">
        <f>IF(OR($A311="",$C311&lt;&gt;"Closed",$D311="",$E311="",$T311=0),"",$R311/$T311*365/MAX(1,$E311-$D311))</f>
        <v/>
      </c>
      <c r="V311" s="14" t="n"/>
      <c r="W311" s="12" t="n"/>
    </row>
    <row r="312">
      <c r="A312" s="12" t="n"/>
      <c r="B312" s="14" t="n"/>
      <c r="C312" s="14" t="n"/>
      <c r="D312" s="15" t="n"/>
      <c r="E312" s="15" t="n"/>
      <c r="F312" s="16">
        <f>IF($E312="","",DATE(YEAR($E312),MONTH($E312),1))</f>
        <v/>
      </c>
      <c r="G312" s="14" t="n"/>
      <c r="H312" s="14" t="n"/>
      <c r="I312" s="14" t="n"/>
      <c r="J312" s="14" t="n"/>
      <c r="K312" s="17" t="n"/>
      <c r="L312" s="15" t="n"/>
      <c r="M312" s="14" t="n"/>
      <c r="N312" s="17" t="n"/>
      <c r="O312" s="17" t="n"/>
      <c r="P312" s="18" t="n"/>
      <c r="Q312" s="11">
        <f>IF($A312="","",IF($H312="Stock",IF($I312="Buy",-$M312*$N312-$P312,IF($I312="Sell",IF($N312="", $M312*$O312-$P312,($O312-$N312)*$M312-$P312),"")),IF($I312="Sell",($N312-IF($O312="",0,$O312))*$M312*100-$P312,IF($I312="Buy",(IF($O312="",0,$O312)-$N312)*$M312*100-$P312,""))))</f>
        <v/>
      </c>
      <c r="R312" s="11">
        <f>IF($A312="","",IF($C312="Open","",$Q312))</f>
        <v/>
      </c>
      <c r="S312" s="12">
        <f>IF($A312="","",IFS($B312="Covered Call","Covered Call Premium",$B312="Cash Secured Put","Cash Secured Put Premium",$B312="Long Call/Put","Long Call/Put P/L",$B312="Debit Spread","Long Call/Put P/L",$B312="Stock Sale","Stock Sales",TRUE,"Other"))</f>
        <v/>
      </c>
      <c r="T312" s="11">
        <f>IF($A312="","",IF($B312="Cash Secured Put",$K312*$M312*100,IF($B312="Covered Call",$K312*$M312*100,IF($H312="Stock",$M312*$N312,""))))</f>
        <v/>
      </c>
      <c r="U312" s="19">
        <f>IF(OR($A312="",$C312&lt;&gt;"Closed",$D312="",$E312="",$T312=0),"",$R312/$T312*365/MAX(1,$E312-$D312))</f>
        <v/>
      </c>
      <c r="V312" s="14" t="n"/>
      <c r="W312" s="12" t="n"/>
    </row>
    <row r="313">
      <c r="A313" s="12" t="n"/>
      <c r="B313" s="14" t="n"/>
      <c r="C313" s="14" t="n"/>
      <c r="D313" s="15" t="n"/>
      <c r="E313" s="15" t="n"/>
      <c r="F313" s="16">
        <f>IF($E313="","",DATE(YEAR($E313),MONTH($E313),1))</f>
        <v/>
      </c>
      <c r="G313" s="14" t="n"/>
      <c r="H313" s="14" t="n"/>
      <c r="I313" s="14" t="n"/>
      <c r="J313" s="14" t="n"/>
      <c r="K313" s="17" t="n"/>
      <c r="L313" s="15" t="n"/>
      <c r="M313" s="14" t="n"/>
      <c r="N313" s="17" t="n"/>
      <c r="O313" s="17" t="n"/>
      <c r="P313" s="18" t="n"/>
      <c r="Q313" s="11">
        <f>IF($A313="","",IF($H313="Stock",IF($I313="Buy",-$M313*$N313-$P313,IF($I313="Sell",IF($N313="", $M313*$O313-$P313,($O313-$N313)*$M313-$P313),"")),IF($I313="Sell",($N313-IF($O313="",0,$O313))*$M313*100-$P313,IF($I313="Buy",(IF($O313="",0,$O313)-$N313)*$M313*100-$P313,""))))</f>
        <v/>
      </c>
      <c r="R313" s="11">
        <f>IF($A313="","",IF($C313="Open","",$Q313))</f>
        <v/>
      </c>
      <c r="S313" s="12">
        <f>IF($A313="","",IFS($B313="Covered Call","Covered Call Premium",$B313="Cash Secured Put","Cash Secured Put Premium",$B313="Long Call/Put","Long Call/Put P/L",$B313="Debit Spread","Long Call/Put P/L",$B313="Stock Sale","Stock Sales",TRUE,"Other"))</f>
        <v/>
      </c>
      <c r="T313" s="11">
        <f>IF($A313="","",IF($B313="Cash Secured Put",$K313*$M313*100,IF($B313="Covered Call",$K313*$M313*100,IF($H313="Stock",$M313*$N313,""))))</f>
        <v/>
      </c>
      <c r="U313" s="19">
        <f>IF(OR($A313="",$C313&lt;&gt;"Closed",$D313="",$E313="",$T313=0),"",$R313/$T313*365/MAX(1,$E313-$D313))</f>
        <v/>
      </c>
      <c r="V313" s="14" t="n"/>
      <c r="W313" s="12" t="n"/>
    </row>
    <row r="314">
      <c r="A314" s="12" t="n"/>
      <c r="B314" s="14" t="n"/>
      <c r="C314" s="14" t="n"/>
      <c r="D314" s="15" t="n"/>
      <c r="E314" s="15" t="n"/>
      <c r="F314" s="16">
        <f>IF($E314="","",DATE(YEAR($E314),MONTH($E314),1))</f>
        <v/>
      </c>
      <c r="G314" s="14" t="n"/>
      <c r="H314" s="14" t="n"/>
      <c r="I314" s="14" t="n"/>
      <c r="J314" s="14" t="n"/>
      <c r="K314" s="17" t="n"/>
      <c r="L314" s="15" t="n"/>
      <c r="M314" s="14" t="n"/>
      <c r="N314" s="17" t="n"/>
      <c r="O314" s="17" t="n"/>
      <c r="P314" s="18" t="n"/>
      <c r="Q314" s="11">
        <f>IF($A314="","",IF($H314="Stock",IF($I314="Buy",-$M314*$N314-$P314,IF($I314="Sell",IF($N314="", $M314*$O314-$P314,($O314-$N314)*$M314-$P314),"")),IF($I314="Sell",($N314-IF($O314="",0,$O314))*$M314*100-$P314,IF($I314="Buy",(IF($O314="",0,$O314)-$N314)*$M314*100-$P314,""))))</f>
        <v/>
      </c>
      <c r="R314" s="11">
        <f>IF($A314="","",IF($C314="Open","",$Q314))</f>
        <v/>
      </c>
      <c r="S314" s="12">
        <f>IF($A314="","",IFS($B314="Covered Call","Covered Call Premium",$B314="Cash Secured Put","Cash Secured Put Premium",$B314="Long Call/Put","Long Call/Put P/L",$B314="Debit Spread","Long Call/Put P/L",$B314="Stock Sale","Stock Sales",TRUE,"Other"))</f>
        <v/>
      </c>
      <c r="T314" s="11">
        <f>IF($A314="","",IF($B314="Cash Secured Put",$K314*$M314*100,IF($B314="Covered Call",$K314*$M314*100,IF($H314="Stock",$M314*$N314,""))))</f>
        <v/>
      </c>
      <c r="U314" s="19">
        <f>IF(OR($A314="",$C314&lt;&gt;"Closed",$D314="",$E314="",$T314=0),"",$R314/$T314*365/MAX(1,$E314-$D314))</f>
        <v/>
      </c>
      <c r="V314" s="14" t="n"/>
      <c r="W314" s="12" t="n"/>
    </row>
    <row r="315">
      <c r="A315" s="12" t="n"/>
      <c r="B315" s="14" t="n"/>
      <c r="C315" s="14" t="n"/>
      <c r="D315" s="15" t="n"/>
      <c r="E315" s="15" t="n"/>
      <c r="F315" s="16">
        <f>IF($E315="","",DATE(YEAR($E315),MONTH($E315),1))</f>
        <v/>
      </c>
      <c r="G315" s="14" t="n"/>
      <c r="H315" s="14" t="n"/>
      <c r="I315" s="14" t="n"/>
      <c r="J315" s="14" t="n"/>
      <c r="K315" s="17" t="n"/>
      <c r="L315" s="15" t="n"/>
      <c r="M315" s="14" t="n"/>
      <c r="N315" s="17" t="n"/>
      <c r="O315" s="17" t="n"/>
      <c r="P315" s="18" t="n"/>
      <c r="Q315" s="11">
        <f>IF($A315="","",IF($H315="Stock",IF($I315="Buy",-$M315*$N315-$P315,IF($I315="Sell",IF($N315="", $M315*$O315-$P315,($O315-$N315)*$M315-$P315),"")),IF($I315="Sell",($N315-IF($O315="",0,$O315))*$M315*100-$P315,IF($I315="Buy",(IF($O315="",0,$O315)-$N315)*$M315*100-$P315,""))))</f>
        <v/>
      </c>
      <c r="R315" s="11">
        <f>IF($A315="","",IF($C315="Open","",$Q315))</f>
        <v/>
      </c>
      <c r="S315" s="12">
        <f>IF($A315="","",IFS($B315="Covered Call","Covered Call Premium",$B315="Cash Secured Put","Cash Secured Put Premium",$B315="Long Call/Put","Long Call/Put P/L",$B315="Debit Spread","Long Call/Put P/L",$B315="Stock Sale","Stock Sales",TRUE,"Other"))</f>
        <v/>
      </c>
      <c r="T315" s="11">
        <f>IF($A315="","",IF($B315="Cash Secured Put",$K315*$M315*100,IF($B315="Covered Call",$K315*$M315*100,IF($H315="Stock",$M315*$N315,""))))</f>
        <v/>
      </c>
      <c r="U315" s="19">
        <f>IF(OR($A315="",$C315&lt;&gt;"Closed",$D315="",$E315="",$T315=0),"",$R315/$T315*365/MAX(1,$E315-$D315))</f>
        <v/>
      </c>
      <c r="V315" s="14" t="n"/>
      <c r="W315" s="12" t="n"/>
    </row>
    <row r="316">
      <c r="A316" s="12" t="n"/>
      <c r="B316" s="14" t="n"/>
      <c r="C316" s="14" t="n"/>
      <c r="D316" s="15" t="n"/>
      <c r="E316" s="15" t="n"/>
      <c r="F316" s="16">
        <f>IF($E316="","",DATE(YEAR($E316),MONTH($E316),1))</f>
        <v/>
      </c>
      <c r="G316" s="14" t="n"/>
      <c r="H316" s="14" t="n"/>
      <c r="I316" s="14" t="n"/>
      <c r="J316" s="14" t="n"/>
      <c r="K316" s="17" t="n"/>
      <c r="L316" s="15" t="n"/>
      <c r="M316" s="14" t="n"/>
      <c r="N316" s="17" t="n"/>
      <c r="O316" s="17" t="n"/>
      <c r="P316" s="18" t="n"/>
      <c r="Q316" s="11">
        <f>IF($A316="","",IF($H316="Stock",IF($I316="Buy",-$M316*$N316-$P316,IF($I316="Sell",IF($N316="", $M316*$O316-$P316,($O316-$N316)*$M316-$P316),"")),IF($I316="Sell",($N316-IF($O316="",0,$O316))*$M316*100-$P316,IF($I316="Buy",(IF($O316="",0,$O316)-$N316)*$M316*100-$P316,""))))</f>
        <v/>
      </c>
      <c r="R316" s="11">
        <f>IF($A316="","",IF($C316="Open","",$Q316))</f>
        <v/>
      </c>
      <c r="S316" s="12">
        <f>IF($A316="","",IFS($B316="Covered Call","Covered Call Premium",$B316="Cash Secured Put","Cash Secured Put Premium",$B316="Long Call/Put","Long Call/Put P/L",$B316="Debit Spread","Long Call/Put P/L",$B316="Stock Sale","Stock Sales",TRUE,"Other"))</f>
        <v/>
      </c>
      <c r="T316" s="11">
        <f>IF($A316="","",IF($B316="Cash Secured Put",$K316*$M316*100,IF($B316="Covered Call",$K316*$M316*100,IF($H316="Stock",$M316*$N316,""))))</f>
        <v/>
      </c>
      <c r="U316" s="19">
        <f>IF(OR($A316="",$C316&lt;&gt;"Closed",$D316="",$E316="",$T316=0),"",$R316/$T316*365/MAX(1,$E316-$D316))</f>
        <v/>
      </c>
      <c r="V316" s="14" t="n"/>
      <c r="W316" s="12" t="n"/>
    </row>
    <row r="317">
      <c r="A317" s="12" t="n"/>
      <c r="B317" s="14" t="n"/>
      <c r="C317" s="14" t="n"/>
      <c r="D317" s="15" t="n"/>
      <c r="E317" s="15" t="n"/>
      <c r="F317" s="16">
        <f>IF($E317="","",DATE(YEAR($E317),MONTH($E317),1))</f>
        <v/>
      </c>
      <c r="G317" s="14" t="n"/>
      <c r="H317" s="14" t="n"/>
      <c r="I317" s="14" t="n"/>
      <c r="J317" s="14" t="n"/>
      <c r="K317" s="17" t="n"/>
      <c r="L317" s="15" t="n"/>
      <c r="M317" s="14" t="n"/>
      <c r="N317" s="17" t="n"/>
      <c r="O317" s="17" t="n"/>
      <c r="P317" s="18" t="n"/>
      <c r="Q317" s="11">
        <f>IF($A317="","",IF($H317="Stock",IF($I317="Buy",-$M317*$N317-$P317,IF($I317="Sell",IF($N317="", $M317*$O317-$P317,($O317-$N317)*$M317-$P317),"")),IF($I317="Sell",($N317-IF($O317="",0,$O317))*$M317*100-$P317,IF($I317="Buy",(IF($O317="",0,$O317)-$N317)*$M317*100-$P317,""))))</f>
        <v/>
      </c>
      <c r="R317" s="11">
        <f>IF($A317="","",IF($C317="Open","",$Q317))</f>
        <v/>
      </c>
      <c r="S317" s="12">
        <f>IF($A317="","",IFS($B317="Covered Call","Covered Call Premium",$B317="Cash Secured Put","Cash Secured Put Premium",$B317="Long Call/Put","Long Call/Put P/L",$B317="Debit Spread","Long Call/Put P/L",$B317="Stock Sale","Stock Sales",TRUE,"Other"))</f>
        <v/>
      </c>
      <c r="T317" s="11">
        <f>IF($A317="","",IF($B317="Cash Secured Put",$K317*$M317*100,IF($B317="Covered Call",$K317*$M317*100,IF($H317="Stock",$M317*$N317,""))))</f>
        <v/>
      </c>
      <c r="U317" s="19">
        <f>IF(OR($A317="",$C317&lt;&gt;"Closed",$D317="",$E317="",$T317=0),"",$R317/$T317*365/MAX(1,$E317-$D317))</f>
        <v/>
      </c>
      <c r="V317" s="14" t="n"/>
      <c r="W317" s="12" t="n"/>
    </row>
    <row r="318">
      <c r="A318" s="12" t="n"/>
      <c r="B318" s="14" t="n"/>
      <c r="C318" s="14" t="n"/>
      <c r="D318" s="15" t="n"/>
      <c r="E318" s="15" t="n"/>
      <c r="F318" s="16">
        <f>IF($E318="","",DATE(YEAR($E318),MONTH($E318),1))</f>
        <v/>
      </c>
      <c r="G318" s="14" t="n"/>
      <c r="H318" s="14" t="n"/>
      <c r="I318" s="14" t="n"/>
      <c r="J318" s="14" t="n"/>
      <c r="K318" s="17" t="n"/>
      <c r="L318" s="15" t="n"/>
      <c r="M318" s="14" t="n"/>
      <c r="N318" s="17" t="n"/>
      <c r="O318" s="17" t="n"/>
      <c r="P318" s="18" t="n"/>
      <c r="Q318" s="11">
        <f>IF($A318="","",IF($H318="Stock",IF($I318="Buy",-$M318*$N318-$P318,IF($I318="Sell",IF($N318="", $M318*$O318-$P318,($O318-$N318)*$M318-$P318),"")),IF($I318="Sell",($N318-IF($O318="",0,$O318))*$M318*100-$P318,IF($I318="Buy",(IF($O318="",0,$O318)-$N318)*$M318*100-$P318,""))))</f>
        <v/>
      </c>
      <c r="R318" s="11">
        <f>IF($A318="","",IF($C318="Open","",$Q318))</f>
        <v/>
      </c>
      <c r="S318" s="12">
        <f>IF($A318="","",IFS($B318="Covered Call","Covered Call Premium",$B318="Cash Secured Put","Cash Secured Put Premium",$B318="Long Call/Put","Long Call/Put P/L",$B318="Debit Spread","Long Call/Put P/L",$B318="Stock Sale","Stock Sales",TRUE,"Other"))</f>
        <v/>
      </c>
      <c r="T318" s="11">
        <f>IF($A318="","",IF($B318="Cash Secured Put",$K318*$M318*100,IF($B318="Covered Call",$K318*$M318*100,IF($H318="Stock",$M318*$N318,""))))</f>
        <v/>
      </c>
      <c r="U318" s="19">
        <f>IF(OR($A318="",$C318&lt;&gt;"Closed",$D318="",$E318="",$T318=0),"",$R318/$T318*365/MAX(1,$E318-$D318))</f>
        <v/>
      </c>
      <c r="V318" s="14" t="n"/>
      <c r="W318" s="12" t="n"/>
    </row>
    <row r="319">
      <c r="A319" s="12" t="n"/>
      <c r="B319" s="14" t="n"/>
      <c r="C319" s="14" t="n"/>
      <c r="D319" s="15" t="n"/>
      <c r="E319" s="15" t="n"/>
      <c r="F319" s="16">
        <f>IF($E319="","",DATE(YEAR($E319),MONTH($E319),1))</f>
        <v/>
      </c>
      <c r="G319" s="14" t="n"/>
      <c r="H319" s="14" t="n"/>
      <c r="I319" s="14" t="n"/>
      <c r="J319" s="14" t="n"/>
      <c r="K319" s="17" t="n"/>
      <c r="L319" s="15" t="n"/>
      <c r="M319" s="14" t="n"/>
      <c r="N319" s="17" t="n"/>
      <c r="O319" s="17" t="n"/>
      <c r="P319" s="18" t="n"/>
      <c r="Q319" s="11">
        <f>IF($A319="","",IF($H319="Stock",IF($I319="Buy",-$M319*$N319-$P319,IF($I319="Sell",IF($N319="", $M319*$O319-$P319,($O319-$N319)*$M319-$P319),"")),IF($I319="Sell",($N319-IF($O319="",0,$O319))*$M319*100-$P319,IF($I319="Buy",(IF($O319="",0,$O319)-$N319)*$M319*100-$P319,""))))</f>
        <v/>
      </c>
      <c r="R319" s="11">
        <f>IF($A319="","",IF($C319="Open","",$Q319))</f>
        <v/>
      </c>
      <c r="S319" s="12">
        <f>IF($A319="","",IFS($B319="Covered Call","Covered Call Premium",$B319="Cash Secured Put","Cash Secured Put Premium",$B319="Long Call/Put","Long Call/Put P/L",$B319="Debit Spread","Long Call/Put P/L",$B319="Stock Sale","Stock Sales",TRUE,"Other"))</f>
        <v/>
      </c>
      <c r="T319" s="11">
        <f>IF($A319="","",IF($B319="Cash Secured Put",$K319*$M319*100,IF($B319="Covered Call",$K319*$M319*100,IF($H319="Stock",$M319*$N319,""))))</f>
        <v/>
      </c>
      <c r="U319" s="19">
        <f>IF(OR($A319="",$C319&lt;&gt;"Closed",$D319="",$E319="",$T319=0),"",$R319/$T319*365/MAX(1,$E319-$D319))</f>
        <v/>
      </c>
      <c r="V319" s="14" t="n"/>
      <c r="W319" s="12" t="n"/>
    </row>
    <row r="320">
      <c r="A320" s="12" t="n"/>
      <c r="B320" s="14" t="n"/>
      <c r="C320" s="14" t="n"/>
      <c r="D320" s="15" t="n"/>
      <c r="E320" s="15" t="n"/>
      <c r="F320" s="16">
        <f>IF($E320="","",DATE(YEAR($E320),MONTH($E320),1))</f>
        <v/>
      </c>
      <c r="G320" s="14" t="n"/>
      <c r="H320" s="14" t="n"/>
      <c r="I320" s="14" t="n"/>
      <c r="J320" s="14" t="n"/>
      <c r="K320" s="17" t="n"/>
      <c r="L320" s="15" t="n"/>
      <c r="M320" s="14" t="n"/>
      <c r="N320" s="17" t="n"/>
      <c r="O320" s="17" t="n"/>
      <c r="P320" s="18" t="n"/>
      <c r="Q320" s="11">
        <f>IF($A320="","",IF($H320="Stock",IF($I320="Buy",-$M320*$N320-$P320,IF($I320="Sell",IF($N320="", $M320*$O320-$P320,($O320-$N320)*$M320-$P320),"")),IF($I320="Sell",($N320-IF($O320="",0,$O320))*$M320*100-$P320,IF($I320="Buy",(IF($O320="",0,$O320)-$N320)*$M320*100-$P320,""))))</f>
        <v/>
      </c>
      <c r="R320" s="11">
        <f>IF($A320="","",IF($C320="Open","",$Q320))</f>
        <v/>
      </c>
      <c r="S320" s="12">
        <f>IF($A320="","",IFS($B320="Covered Call","Covered Call Premium",$B320="Cash Secured Put","Cash Secured Put Premium",$B320="Long Call/Put","Long Call/Put P/L",$B320="Debit Spread","Long Call/Put P/L",$B320="Stock Sale","Stock Sales",TRUE,"Other"))</f>
        <v/>
      </c>
      <c r="T320" s="11">
        <f>IF($A320="","",IF($B320="Cash Secured Put",$K320*$M320*100,IF($B320="Covered Call",$K320*$M320*100,IF($H320="Stock",$M320*$N320,""))))</f>
        <v/>
      </c>
      <c r="U320" s="19">
        <f>IF(OR($A320="",$C320&lt;&gt;"Closed",$D320="",$E320="",$T320=0),"",$R320/$T320*365/MAX(1,$E320-$D320))</f>
        <v/>
      </c>
      <c r="V320" s="14" t="n"/>
      <c r="W320" s="12" t="n"/>
    </row>
    <row r="321">
      <c r="A321" s="12" t="n"/>
      <c r="B321" s="14" t="n"/>
      <c r="C321" s="14" t="n"/>
      <c r="D321" s="15" t="n"/>
      <c r="E321" s="15" t="n"/>
      <c r="F321" s="16">
        <f>IF($E321="","",DATE(YEAR($E321),MONTH($E321),1))</f>
        <v/>
      </c>
      <c r="G321" s="14" t="n"/>
      <c r="H321" s="14" t="n"/>
      <c r="I321" s="14" t="n"/>
      <c r="J321" s="14" t="n"/>
      <c r="K321" s="17" t="n"/>
      <c r="L321" s="15" t="n"/>
      <c r="M321" s="14" t="n"/>
      <c r="N321" s="17" t="n"/>
      <c r="O321" s="17" t="n"/>
      <c r="P321" s="18" t="n"/>
      <c r="Q321" s="11">
        <f>IF($A321="","",IF($H321="Stock",IF($I321="Buy",-$M321*$N321-$P321,IF($I321="Sell",IF($N321="", $M321*$O321-$P321,($O321-$N321)*$M321-$P321),"")),IF($I321="Sell",($N321-IF($O321="",0,$O321))*$M321*100-$P321,IF($I321="Buy",(IF($O321="",0,$O321)-$N321)*$M321*100-$P321,""))))</f>
        <v/>
      </c>
      <c r="R321" s="11">
        <f>IF($A321="","",IF($C321="Open","",$Q321))</f>
        <v/>
      </c>
      <c r="S321" s="12">
        <f>IF($A321="","",IFS($B321="Covered Call","Covered Call Premium",$B321="Cash Secured Put","Cash Secured Put Premium",$B321="Long Call/Put","Long Call/Put P/L",$B321="Debit Spread","Long Call/Put P/L",$B321="Stock Sale","Stock Sales",TRUE,"Other"))</f>
        <v/>
      </c>
      <c r="T321" s="11">
        <f>IF($A321="","",IF($B321="Cash Secured Put",$K321*$M321*100,IF($B321="Covered Call",$K321*$M321*100,IF($H321="Stock",$M321*$N321,""))))</f>
        <v/>
      </c>
      <c r="U321" s="19">
        <f>IF(OR($A321="",$C321&lt;&gt;"Closed",$D321="",$E321="",$T321=0),"",$R321/$T321*365/MAX(1,$E321-$D321))</f>
        <v/>
      </c>
      <c r="V321" s="14" t="n"/>
      <c r="W321" s="12" t="n"/>
    </row>
    <row r="322">
      <c r="A322" s="12" t="n"/>
      <c r="B322" s="14" t="n"/>
      <c r="C322" s="14" t="n"/>
      <c r="D322" s="15" t="n"/>
      <c r="E322" s="15" t="n"/>
      <c r="F322" s="16">
        <f>IF($E322="","",DATE(YEAR($E322),MONTH($E322),1))</f>
        <v/>
      </c>
      <c r="G322" s="14" t="n"/>
      <c r="H322" s="14" t="n"/>
      <c r="I322" s="14" t="n"/>
      <c r="J322" s="14" t="n"/>
      <c r="K322" s="17" t="n"/>
      <c r="L322" s="15" t="n"/>
      <c r="M322" s="14" t="n"/>
      <c r="N322" s="17" t="n"/>
      <c r="O322" s="17" t="n"/>
      <c r="P322" s="18" t="n"/>
      <c r="Q322" s="11">
        <f>IF($A322="","",IF($H322="Stock",IF($I322="Buy",-$M322*$N322-$P322,IF($I322="Sell",IF($N322="", $M322*$O322-$P322,($O322-$N322)*$M322-$P322),"")),IF($I322="Sell",($N322-IF($O322="",0,$O322))*$M322*100-$P322,IF($I322="Buy",(IF($O322="",0,$O322)-$N322)*$M322*100-$P322,""))))</f>
        <v/>
      </c>
      <c r="R322" s="11">
        <f>IF($A322="","",IF($C322="Open","",$Q322))</f>
        <v/>
      </c>
      <c r="S322" s="12">
        <f>IF($A322="","",IFS($B322="Covered Call","Covered Call Premium",$B322="Cash Secured Put","Cash Secured Put Premium",$B322="Long Call/Put","Long Call/Put P/L",$B322="Debit Spread","Long Call/Put P/L",$B322="Stock Sale","Stock Sales",TRUE,"Other"))</f>
        <v/>
      </c>
      <c r="T322" s="11">
        <f>IF($A322="","",IF($B322="Cash Secured Put",$K322*$M322*100,IF($B322="Covered Call",$K322*$M322*100,IF($H322="Stock",$M322*$N322,""))))</f>
        <v/>
      </c>
      <c r="U322" s="19">
        <f>IF(OR($A322="",$C322&lt;&gt;"Closed",$D322="",$E322="",$T322=0),"",$R322/$T322*365/MAX(1,$E322-$D322))</f>
        <v/>
      </c>
      <c r="V322" s="14" t="n"/>
      <c r="W322" s="12" t="n"/>
    </row>
    <row r="323">
      <c r="A323" s="12" t="n"/>
      <c r="B323" s="14" t="n"/>
      <c r="C323" s="14" t="n"/>
      <c r="D323" s="15" t="n"/>
      <c r="E323" s="15" t="n"/>
      <c r="F323" s="16">
        <f>IF($E323="","",DATE(YEAR($E323),MONTH($E323),1))</f>
        <v/>
      </c>
      <c r="G323" s="14" t="n"/>
      <c r="H323" s="14" t="n"/>
      <c r="I323" s="14" t="n"/>
      <c r="J323" s="14" t="n"/>
      <c r="K323" s="17" t="n"/>
      <c r="L323" s="15" t="n"/>
      <c r="M323" s="14" t="n"/>
      <c r="N323" s="17" t="n"/>
      <c r="O323" s="17" t="n"/>
      <c r="P323" s="18" t="n"/>
      <c r="Q323" s="11">
        <f>IF($A323="","",IF($H323="Stock",IF($I323="Buy",-$M323*$N323-$P323,IF($I323="Sell",IF($N323="", $M323*$O323-$P323,($O323-$N323)*$M323-$P323),"")),IF($I323="Sell",($N323-IF($O323="",0,$O323))*$M323*100-$P323,IF($I323="Buy",(IF($O323="",0,$O323)-$N323)*$M323*100-$P323,""))))</f>
        <v/>
      </c>
      <c r="R323" s="11">
        <f>IF($A323="","",IF($C323="Open","",$Q323))</f>
        <v/>
      </c>
      <c r="S323" s="12">
        <f>IF($A323="","",IFS($B323="Covered Call","Covered Call Premium",$B323="Cash Secured Put","Cash Secured Put Premium",$B323="Long Call/Put","Long Call/Put P/L",$B323="Debit Spread","Long Call/Put P/L",$B323="Stock Sale","Stock Sales",TRUE,"Other"))</f>
        <v/>
      </c>
      <c r="T323" s="11">
        <f>IF($A323="","",IF($B323="Cash Secured Put",$K323*$M323*100,IF($B323="Covered Call",$K323*$M323*100,IF($H323="Stock",$M323*$N323,""))))</f>
        <v/>
      </c>
      <c r="U323" s="19">
        <f>IF(OR($A323="",$C323&lt;&gt;"Closed",$D323="",$E323="",$T323=0),"",$R323/$T323*365/MAX(1,$E323-$D323))</f>
        <v/>
      </c>
      <c r="V323" s="14" t="n"/>
      <c r="W323" s="12" t="n"/>
    </row>
    <row r="324">
      <c r="A324" s="12" t="n"/>
      <c r="B324" s="14" t="n"/>
      <c r="C324" s="14" t="n"/>
      <c r="D324" s="15" t="n"/>
      <c r="E324" s="15" t="n"/>
      <c r="F324" s="16">
        <f>IF($E324="","",DATE(YEAR($E324),MONTH($E324),1))</f>
        <v/>
      </c>
      <c r="G324" s="14" t="n"/>
      <c r="H324" s="14" t="n"/>
      <c r="I324" s="14" t="n"/>
      <c r="J324" s="14" t="n"/>
      <c r="K324" s="17" t="n"/>
      <c r="L324" s="15" t="n"/>
      <c r="M324" s="14" t="n"/>
      <c r="N324" s="17" t="n"/>
      <c r="O324" s="17" t="n"/>
      <c r="P324" s="18" t="n"/>
      <c r="Q324" s="11">
        <f>IF($A324="","",IF($H324="Stock",IF($I324="Buy",-$M324*$N324-$P324,IF($I324="Sell",IF($N324="", $M324*$O324-$P324,($O324-$N324)*$M324-$P324),"")),IF($I324="Sell",($N324-IF($O324="",0,$O324))*$M324*100-$P324,IF($I324="Buy",(IF($O324="",0,$O324)-$N324)*$M324*100-$P324,""))))</f>
        <v/>
      </c>
      <c r="R324" s="11">
        <f>IF($A324="","",IF($C324="Open","",$Q324))</f>
        <v/>
      </c>
      <c r="S324" s="12">
        <f>IF($A324="","",IFS($B324="Covered Call","Covered Call Premium",$B324="Cash Secured Put","Cash Secured Put Premium",$B324="Long Call/Put","Long Call/Put P/L",$B324="Debit Spread","Long Call/Put P/L",$B324="Stock Sale","Stock Sales",TRUE,"Other"))</f>
        <v/>
      </c>
      <c r="T324" s="11">
        <f>IF($A324="","",IF($B324="Cash Secured Put",$K324*$M324*100,IF($B324="Covered Call",$K324*$M324*100,IF($H324="Stock",$M324*$N324,""))))</f>
        <v/>
      </c>
      <c r="U324" s="19">
        <f>IF(OR($A324="",$C324&lt;&gt;"Closed",$D324="",$E324="",$T324=0),"",$R324/$T324*365/MAX(1,$E324-$D324))</f>
        <v/>
      </c>
      <c r="V324" s="14" t="n"/>
      <c r="W324" s="12" t="n"/>
    </row>
    <row r="325">
      <c r="A325" s="12" t="n"/>
      <c r="B325" s="14" t="n"/>
      <c r="C325" s="14" t="n"/>
      <c r="D325" s="15" t="n"/>
      <c r="E325" s="15" t="n"/>
      <c r="F325" s="16">
        <f>IF($E325="","",DATE(YEAR($E325),MONTH($E325),1))</f>
        <v/>
      </c>
      <c r="G325" s="14" t="n"/>
      <c r="H325" s="14" t="n"/>
      <c r="I325" s="14" t="n"/>
      <c r="J325" s="14" t="n"/>
      <c r="K325" s="17" t="n"/>
      <c r="L325" s="15" t="n"/>
      <c r="M325" s="14" t="n"/>
      <c r="N325" s="17" t="n"/>
      <c r="O325" s="17" t="n"/>
      <c r="P325" s="18" t="n"/>
      <c r="Q325" s="11">
        <f>IF($A325="","",IF($H325="Stock",IF($I325="Buy",-$M325*$N325-$P325,IF($I325="Sell",IF($N325="", $M325*$O325-$P325,($O325-$N325)*$M325-$P325),"")),IF($I325="Sell",($N325-IF($O325="",0,$O325))*$M325*100-$P325,IF($I325="Buy",(IF($O325="",0,$O325)-$N325)*$M325*100-$P325,""))))</f>
        <v/>
      </c>
      <c r="R325" s="11">
        <f>IF($A325="","",IF($C325="Open","",$Q325))</f>
        <v/>
      </c>
      <c r="S325" s="12">
        <f>IF($A325="","",IFS($B325="Covered Call","Covered Call Premium",$B325="Cash Secured Put","Cash Secured Put Premium",$B325="Long Call/Put","Long Call/Put P/L",$B325="Debit Spread","Long Call/Put P/L",$B325="Stock Sale","Stock Sales",TRUE,"Other"))</f>
        <v/>
      </c>
      <c r="T325" s="11">
        <f>IF($A325="","",IF($B325="Cash Secured Put",$K325*$M325*100,IF($B325="Covered Call",$K325*$M325*100,IF($H325="Stock",$M325*$N325,""))))</f>
        <v/>
      </c>
      <c r="U325" s="19">
        <f>IF(OR($A325="",$C325&lt;&gt;"Closed",$D325="",$E325="",$T325=0),"",$R325/$T325*365/MAX(1,$E325-$D325))</f>
        <v/>
      </c>
      <c r="V325" s="14" t="n"/>
      <c r="W325" s="12" t="n"/>
    </row>
    <row r="326">
      <c r="A326" s="12" t="n"/>
      <c r="B326" s="14" t="n"/>
      <c r="C326" s="14" t="n"/>
      <c r="D326" s="15" t="n"/>
      <c r="E326" s="15" t="n"/>
      <c r="F326" s="16">
        <f>IF($E326="","",DATE(YEAR($E326),MONTH($E326),1))</f>
        <v/>
      </c>
      <c r="G326" s="14" t="n"/>
      <c r="H326" s="14" t="n"/>
      <c r="I326" s="14" t="n"/>
      <c r="J326" s="14" t="n"/>
      <c r="K326" s="17" t="n"/>
      <c r="L326" s="15" t="n"/>
      <c r="M326" s="14" t="n"/>
      <c r="N326" s="17" t="n"/>
      <c r="O326" s="17" t="n"/>
      <c r="P326" s="18" t="n"/>
      <c r="Q326" s="11">
        <f>IF($A326="","",IF($H326="Stock",IF($I326="Buy",-$M326*$N326-$P326,IF($I326="Sell",IF($N326="", $M326*$O326-$P326,($O326-$N326)*$M326-$P326),"")),IF($I326="Sell",($N326-IF($O326="",0,$O326))*$M326*100-$P326,IF($I326="Buy",(IF($O326="",0,$O326)-$N326)*$M326*100-$P326,""))))</f>
        <v/>
      </c>
      <c r="R326" s="11">
        <f>IF($A326="","",IF($C326="Open","",$Q326))</f>
        <v/>
      </c>
      <c r="S326" s="12">
        <f>IF($A326="","",IFS($B326="Covered Call","Covered Call Premium",$B326="Cash Secured Put","Cash Secured Put Premium",$B326="Long Call/Put","Long Call/Put P/L",$B326="Debit Spread","Long Call/Put P/L",$B326="Stock Sale","Stock Sales",TRUE,"Other"))</f>
        <v/>
      </c>
      <c r="T326" s="11">
        <f>IF($A326="","",IF($B326="Cash Secured Put",$K326*$M326*100,IF($B326="Covered Call",$K326*$M326*100,IF($H326="Stock",$M326*$N326,""))))</f>
        <v/>
      </c>
      <c r="U326" s="19">
        <f>IF(OR($A326="",$C326&lt;&gt;"Closed",$D326="",$E326="",$T326=0),"",$R326/$T326*365/MAX(1,$E326-$D326))</f>
        <v/>
      </c>
      <c r="V326" s="14" t="n"/>
      <c r="W326" s="12" t="n"/>
    </row>
    <row r="327">
      <c r="A327" s="12" t="n"/>
      <c r="B327" s="14" t="n"/>
      <c r="C327" s="14" t="n"/>
      <c r="D327" s="15" t="n"/>
      <c r="E327" s="15" t="n"/>
      <c r="F327" s="16">
        <f>IF($E327="","",DATE(YEAR($E327),MONTH($E327),1))</f>
        <v/>
      </c>
      <c r="G327" s="14" t="n"/>
      <c r="H327" s="14" t="n"/>
      <c r="I327" s="14" t="n"/>
      <c r="J327" s="14" t="n"/>
      <c r="K327" s="17" t="n"/>
      <c r="L327" s="15" t="n"/>
      <c r="M327" s="14" t="n"/>
      <c r="N327" s="17" t="n"/>
      <c r="O327" s="17" t="n"/>
      <c r="P327" s="18" t="n"/>
      <c r="Q327" s="11">
        <f>IF($A327="","",IF($H327="Stock",IF($I327="Buy",-$M327*$N327-$P327,IF($I327="Sell",IF($N327="", $M327*$O327-$P327,($O327-$N327)*$M327-$P327),"")),IF($I327="Sell",($N327-IF($O327="",0,$O327))*$M327*100-$P327,IF($I327="Buy",(IF($O327="",0,$O327)-$N327)*$M327*100-$P327,""))))</f>
        <v/>
      </c>
      <c r="R327" s="11">
        <f>IF($A327="","",IF($C327="Open","",$Q327))</f>
        <v/>
      </c>
      <c r="S327" s="12">
        <f>IF($A327="","",IFS($B327="Covered Call","Covered Call Premium",$B327="Cash Secured Put","Cash Secured Put Premium",$B327="Long Call/Put","Long Call/Put P/L",$B327="Debit Spread","Long Call/Put P/L",$B327="Stock Sale","Stock Sales",TRUE,"Other"))</f>
        <v/>
      </c>
      <c r="T327" s="11">
        <f>IF($A327="","",IF($B327="Cash Secured Put",$K327*$M327*100,IF($B327="Covered Call",$K327*$M327*100,IF($H327="Stock",$M327*$N327,""))))</f>
        <v/>
      </c>
      <c r="U327" s="19">
        <f>IF(OR($A327="",$C327&lt;&gt;"Closed",$D327="",$E327="",$T327=0),"",$R327/$T327*365/MAX(1,$E327-$D327))</f>
        <v/>
      </c>
      <c r="V327" s="14" t="n"/>
      <c r="W327" s="12" t="n"/>
    </row>
    <row r="328">
      <c r="A328" s="12" t="n"/>
      <c r="B328" s="14" t="n"/>
      <c r="C328" s="14" t="n"/>
      <c r="D328" s="15" t="n"/>
      <c r="E328" s="15" t="n"/>
      <c r="F328" s="16">
        <f>IF($E328="","",DATE(YEAR($E328),MONTH($E328),1))</f>
        <v/>
      </c>
      <c r="G328" s="14" t="n"/>
      <c r="H328" s="14" t="n"/>
      <c r="I328" s="14" t="n"/>
      <c r="J328" s="14" t="n"/>
      <c r="K328" s="17" t="n"/>
      <c r="L328" s="15" t="n"/>
      <c r="M328" s="14" t="n"/>
      <c r="N328" s="17" t="n"/>
      <c r="O328" s="17" t="n"/>
      <c r="P328" s="18" t="n"/>
      <c r="Q328" s="11">
        <f>IF($A328="","",IF($H328="Stock",IF($I328="Buy",-$M328*$N328-$P328,IF($I328="Sell",IF($N328="", $M328*$O328-$P328,($O328-$N328)*$M328-$P328),"")),IF($I328="Sell",($N328-IF($O328="",0,$O328))*$M328*100-$P328,IF($I328="Buy",(IF($O328="",0,$O328)-$N328)*$M328*100-$P328,""))))</f>
        <v/>
      </c>
      <c r="R328" s="11">
        <f>IF($A328="","",IF($C328="Open","",$Q328))</f>
        <v/>
      </c>
      <c r="S328" s="12">
        <f>IF($A328="","",IFS($B328="Covered Call","Covered Call Premium",$B328="Cash Secured Put","Cash Secured Put Premium",$B328="Long Call/Put","Long Call/Put P/L",$B328="Debit Spread","Long Call/Put P/L",$B328="Stock Sale","Stock Sales",TRUE,"Other"))</f>
        <v/>
      </c>
      <c r="T328" s="11">
        <f>IF($A328="","",IF($B328="Cash Secured Put",$K328*$M328*100,IF($B328="Covered Call",$K328*$M328*100,IF($H328="Stock",$M328*$N328,""))))</f>
        <v/>
      </c>
      <c r="U328" s="19">
        <f>IF(OR($A328="",$C328&lt;&gt;"Closed",$D328="",$E328="",$T328=0),"",$R328/$T328*365/MAX(1,$E328-$D328))</f>
        <v/>
      </c>
      <c r="V328" s="14" t="n"/>
      <c r="W328" s="12" t="n"/>
    </row>
    <row r="329">
      <c r="A329" s="12" t="n"/>
      <c r="B329" s="14" t="n"/>
      <c r="C329" s="14" t="n"/>
      <c r="D329" s="15" t="n"/>
      <c r="E329" s="15" t="n"/>
      <c r="F329" s="16">
        <f>IF($E329="","",DATE(YEAR($E329),MONTH($E329),1))</f>
        <v/>
      </c>
      <c r="G329" s="14" t="n"/>
      <c r="H329" s="14" t="n"/>
      <c r="I329" s="14" t="n"/>
      <c r="J329" s="14" t="n"/>
      <c r="K329" s="17" t="n"/>
      <c r="L329" s="15" t="n"/>
      <c r="M329" s="14" t="n"/>
      <c r="N329" s="17" t="n"/>
      <c r="O329" s="17" t="n"/>
      <c r="P329" s="18" t="n"/>
      <c r="Q329" s="11">
        <f>IF($A329="","",IF($H329="Stock",IF($I329="Buy",-$M329*$N329-$P329,IF($I329="Sell",IF($N329="", $M329*$O329-$P329,($O329-$N329)*$M329-$P329),"")),IF($I329="Sell",($N329-IF($O329="",0,$O329))*$M329*100-$P329,IF($I329="Buy",(IF($O329="",0,$O329)-$N329)*$M329*100-$P329,""))))</f>
        <v/>
      </c>
      <c r="R329" s="11">
        <f>IF($A329="","",IF($C329="Open","",$Q329))</f>
        <v/>
      </c>
      <c r="S329" s="12">
        <f>IF($A329="","",IFS($B329="Covered Call","Covered Call Premium",$B329="Cash Secured Put","Cash Secured Put Premium",$B329="Long Call/Put","Long Call/Put P/L",$B329="Debit Spread","Long Call/Put P/L",$B329="Stock Sale","Stock Sales",TRUE,"Other"))</f>
        <v/>
      </c>
      <c r="T329" s="11">
        <f>IF($A329="","",IF($B329="Cash Secured Put",$K329*$M329*100,IF($B329="Covered Call",$K329*$M329*100,IF($H329="Stock",$M329*$N329,""))))</f>
        <v/>
      </c>
      <c r="U329" s="19">
        <f>IF(OR($A329="",$C329&lt;&gt;"Closed",$D329="",$E329="",$T329=0),"",$R329/$T329*365/MAX(1,$E329-$D329))</f>
        <v/>
      </c>
      <c r="V329" s="14" t="n"/>
      <c r="W329" s="12" t="n"/>
    </row>
    <row r="330">
      <c r="A330" s="12" t="n"/>
      <c r="B330" s="14" t="n"/>
      <c r="C330" s="14" t="n"/>
      <c r="D330" s="15" t="n"/>
      <c r="E330" s="15" t="n"/>
      <c r="F330" s="16">
        <f>IF($E330="","",DATE(YEAR($E330),MONTH($E330),1))</f>
        <v/>
      </c>
      <c r="G330" s="14" t="n"/>
      <c r="H330" s="14" t="n"/>
      <c r="I330" s="14" t="n"/>
      <c r="J330" s="14" t="n"/>
      <c r="K330" s="17" t="n"/>
      <c r="L330" s="15" t="n"/>
      <c r="M330" s="14" t="n"/>
      <c r="N330" s="17" t="n"/>
      <c r="O330" s="17" t="n"/>
      <c r="P330" s="18" t="n"/>
      <c r="Q330" s="11">
        <f>IF($A330="","",IF($H330="Stock",IF($I330="Buy",-$M330*$N330-$P330,IF($I330="Sell",IF($N330="", $M330*$O330-$P330,($O330-$N330)*$M330-$P330),"")),IF($I330="Sell",($N330-IF($O330="",0,$O330))*$M330*100-$P330,IF($I330="Buy",(IF($O330="",0,$O330)-$N330)*$M330*100-$P330,""))))</f>
        <v/>
      </c>
      <c r="R330" s="11">
        <f>IF($A330="","",IF($C330="Open","",$Q330))</f>
        <v/>
      </c>
      <c r="S330" s="12">
        <f>IF($A330="","",IFS($B330="Covered Call","Covered Call Premium",$B330="Cash Secured Put","Cash Secured Put Premium",$B330="Long Call/Put","Long Call/Put P/L",$B330="Debit Spread","Long Call/Put P/L",$B330="Stock Sale","Stock Sales",TRUE,"Other"))</f>
        <v/>
      </c>
      <c r="T330" s="11">
        <f>IF($A330="","",IF($B330="Cash Secured Put",$K330*$M330*100,IF($B330="Covered Call",$K330*$M330*100,IF($H330="Stock",$M330*$N330,""))))</f>
        <v/>
      </c>
      <c r="U330" s="19">
        <f>IF(OR($A330="",$C330&lt;&gt;"Closed",$D330="",$E330="",$T330=0),"",$R330/$T330*365/MAX(1,$E330-$D330))</f>
        <v/>
      </c>
      <c r="V330" s="14" t="n"/>
      <c r="W330" s="12" t="n"/>
    </row>
    <row r="331">
      <c r="A331" s="12" t="n"/>
      <c r="B331" s="14" t="n"/>
      <c r="C331" s="14" t="n"/>
      <c r="D331" s="15" t="n"/>
      <c r="E331" s="15" t="n"/>
      <c r="F331" s="16">
        <f>IF($E331="","",DATE(YEAR($E331),MONTH($E331),1))</f>
        <v/>
      </c>
      <c r="G331" s="14" t="n"/>
      <c r="H331" s="14" t="n"/>
      <c r="I331" s="14" t="n"/>
      <c r="J331" s="14" t="n"/>
      <c r="K331" s="17" t="n"/>
      <c r="L331" s="15" t="n"/>
      <c r="M331" s="14" t="n"/>
      <c r="N331" s="17" t="n"/>
      <c r="O331" s="17" t="n"/>
      <c r="P331" s="18" t="n"/>
      <c r="Q331" s="11">
        <f>IF($A331="","",IF($H331="Stock",IF($I331="Buy",-$M331*$N331-$P331,IF($I331="Sell",IF($N331="", $M331*$O331-$P331,($O331-$N331)*$M331-$P331),"")),IF($I331="Sell",($N331-IF($O331="",0,$O331))*$M331*100-$P331,IF($I331="Buy",(IF($O331="",0,$O331)-$N331)*$M331*100-$P331,""))))</f>
        <v/>
      </c>
      <c r="R331" s="11">
        <f>IF($A331="","",IF($C331="Open","",$Q331))</f>
        <v/>
      </c>
      <c r="S331" s="12">
        <f>IF($A331="","",IFS($B331="Covered Call","Covered Call Premium",$B331="Cash Secured Put","Cash Secured Put Premium",$B331="Long Call/Put","Long Call/Put P/L",$B331="Debit Spread","Long Call/Put P/L",$B331="Stock Sale","Stock Sales",TRUE,"Other"))</f>
        <v/>
      </c>
      <c r="T331" s="11">
        <f>IF($A331="","",IF($B331="Cash Secured Put",$K331*$M331*100,IF($B331="Covered Call",$K331*$M331*100,IF($H331="Stock",$M331*$N331,""))))</f>
        <v/>
      </c>
      <c r="U331" s="19">
        <f>IF(OR($A331="",$C331&lt;&gt;"Closed",$D331="",$E331="",$T331=0),"",$R331/$T331*365/MAX(1,$E331-$D331))</f>
        <v/>
      </c>
      <c r="V331" s="14" t="n"/>
      <c r="W331" s="12" t="n"/>
    </row>
    <row r="332">
      <c r="A332" s="12" t="n"/>
      <c r="B332" s="14" t="n"/>
      <c r="C332" s="14" t="n"/>
      <c r="D332" s="15" t="n"/>
      <c r="E332" s="15" t="n"/>
      <c r="F332" s="16">
        <f>IF($E332="","",DATE(YEAR($E332),MONTH($E332),1))</f>
        <v/>
      </c>
      <c r="G332" s="14" t="n"/>
      <c r="H332" s="14" t="n"/>
      <c r="I332" s="14" t="n"/>
      <c r="J332" s="14" t="n"/>
      <c r="K332" s="17" t="n"/>
      <c r="L332" s="15" t="n"/>
      <c r="M332" s="14" t="n"/>
      <c r="N332" s="17" t="n"/>
      <c r="O332" s="17" t="n"/>
      <c r="P332" s="18" t="n"/>
      <c r="Q332" s="11">
        <f>IF($A332="","",IF($H332="Stock",IF($I332="Buy",-$M332*$N332-$P332,IF($I332="Sell",IF($N332="", $M332*$O332-$P332,($O332-$N332)*$M332-$P332),"")),IF($I332="Sell",($N332-IF($O332="",0,$O332))*$M332*100-$P332,IF($I332="Buy",(IF($O332="",0,$O332)-$N332)*$M332*100-$P332,""))))</f>
        <v/>
      </c>
      <c r="R332" s="11">
        <f>IF($A332="","",IF($C332="Open","",$Q332))</f>
        <v/>
      </c>
      <c r="S332" s="12">
        <f>IF($A332="","",IFS($B332="Covered Call","Covered Call Premium",$B332="Cash Secured Put","Cash Secured Put Premium",$B332="Long Call/Put","Long Call/Put P/L",$B332="Debit Spread","Long Call/Put P/L",$B332="Stock Sale","Stock Sales",TRUE,"Other"))</f>
        <v/>
      </c>
      <c r="T332" s="11">
        <f>IF($A332="","",IF($B332="Cash Secured Put",$K332*$M332*100,IF($B332="Covered Call",$K332*$M332*100,IF($H332="Stock",$M332*$N332,""))))</f>
        <v/>
      </c>
      <c r="U332" s="19">
        <f>IF(OR($A332="",$C332&lt;&gt;"Closed",$D332="",$E332="",$T332=0),"",$R332/$T332*365/MAX(1,$E332-$D332))</f>
        <v/>
      </c>
      <c r="V332" s="14" t="n"/>
      <c r="W332" s="12" t="n"/>
    </row>
    <row r="333">
      <c r="A333" s="12" t="n"/>
      <c r="B333" s="14" t="n"/>
      <c r="C333" s="14" t="n"/>
      <c r="D333" s="15" t="n"/>
      <c r="E333" s="15" t="n"/>
      <c r="F333" s="16">
        <f>IF($E333="","",DATE(YEAR($E333),MONTH($E333),1))</f>
        <v/>
      </c>
      <c r="G333" s="14" t="n"/>
      <c r="H333" s="14" t="n"/>
      <c r="I333" s="14" t="n"/>
      <c r="J333" s="14" t="n"/>
      <c r="K333" s="17" t="n"/>
      <c r="L333" s="15" t="n"/>
      <c r="M333" s="14" t="n"/>
      <c r="N333" s="17" t="n"/>
      <c r="O333" s="17" t="n"/>
      <c r="P333" s="18" t="n"/>
      <c r="Q333" s="11">
        <f>IF($A333="","",IF($H333="Stock",IF($I333="Buy",-$M333*$N333-$P333,IF($I333="Sell",IF($N333="", $M333*$O333-$P333,($O333-$N333)*$M333-$P333),"")),IF($I333="Sell",($N333-IF($O333="",0,$O333))*$M333*100-$P333,IF($I333="Buy",(IF($O333="",0,$O333)-$N333)*$M333*100-$P333,""))))</f>
        <v/>
      </c>
      <c r="R333" s="11">
        <f>IF($A333="","",IF($C333="Open","",$Q333))</f>
        <v/>
      </c>
      <c r="S333" s="12">
        <f>IF($A333="","",IFS($B333="Covered Call","Covered Call Premium",$B333="Cash Secured Put","Cash Secured Put Premium",$B333="Long Call/Put","Long Call/Put P/L",$B333="Debit Spread","Long Call/Put P/L",$B333="Stock Sale","Stock Sales",TRUE,"Other"))</f>
        <v/>
      </c>
      <c r="T333" s="11">
        <f>IF($A333="","",IF($B333="Cash Secured Put",$K333*$M333*100,IF($B333="Covered Call",$K333*$M333*100,IF($H333="Stock",$M333*$N333,""))))</f>
        <v/>
      </c>
      <c r="U333" s="19">
        <f>IF(OR($A333="",$C333&lt;&gt;"Closed",$D333="",$E333="",$T333=0),"",$R333/$T333*365/MAX(1,$E333-$D333))</f>
        <v/>
      </c>
      <c r="V333" s="14" t="n"/>
      <c r="W333" s="12" t="n"/>
    </row>
    <row r="334">
      <c r="A334" s="12" t="n"/>
      <c r="B334" s="14" t="n"/>
      <c r="C334" s="14" t="n"/>
      <c r="D334" s="15" t="n"/>
      <c r="E334" s="15" t="n"/>
      <c r="F334" s="16">
        <f>IF($E334="","",DATE(YEAR($E334),MONTH($E334),1))</f>
        <v/>
      </c>
      <c r="G334" s="14" t="n"/>
      <c r="H334" s="14" t="n"/>
      <c r="I334" s="14" t="n"/>
      <c r="J334" s="14" t="n"/>
      <c r="K334" s="17" t="n"/>
      <c r="L334" s="15" t="n"/>
      <c r="M334" s="14" t="n"/>
      <c r="N334" s="17" t="n"/>
      <c r="O334" s="17" t="n"/>
      <c r="P334" s="18" t="n"/>
      <c r="Q334" s="11">
        <f>IF($A334="","",IF($H334="Stock",IF($I334="Buy",-$M334*$N334-$P334,IF($I334="Sell",IF($N334="", $M334*$O334-$P334,($O334-$N334)*$M334-$P334),"")),IF($I334="Sell",($N334-IF($O334="",0,$O334))*$M334*100-$P334,IF($I334="Buy",(IF($O334="",0,$O334)-$N334)*$M334*100-$P334,""))))</f>
        <v/>
      </c>
      <c r="R334" s="11">
        <f>IF($A334="","",IF($C334="Open","",$Q334))</f>
        <v/>
      </c>
      <c r="S334" s="12">
        <f>IF($A334="","",IFS($B334="Covered Call","Covered Call Premium",$B334="Cash Secured Put","Cash Secured Put Premium",$B334="Long Call/Put","Long Call/Put P/L",$B334="Debit Spread","Long Call/Put P/L",$B334="Stock Sale","Stock Sales",TRUE,"Other"))</f>
        <v/>
      </c>
      <c r="T334" s="11">
        <f>IF($A334="","",IF($B334="Cash Secured Put",$K334*$M334*100,IF($B334="Covered Call",$K334*$M334*100,IF($H334="Stock",$M334*$N334,""))))</f>
        <v/>
      </c>
      <c r="U334" s="19">
        <f>IF(OR($A334="",$C334&lt;&gt;"Closed",$D334="",$E334="",$T334=0),"",$R334/$T334*365/MAX(1,$E334-$D334))</f>
        <v/>
      </c>
      <c r="V334" s="14" t="n"/>
      <c r="W334" s="12" t="n"/>
    </row>
    <row r="335">
      <c r="A335" s="12" t="n"/>
      <c r="B335" s="14" t="n"/>
      <c r="C335" s="14" t="n"/>
      <c r="D335" s="15" t="n"/>
      <c r="E335" s="15" t="n"/>
      <c r="F335" s="16">
        <f>IF($E335="","",DATE(YEAR($E335),MONTH($E335),1))</f>
        <v/>
      </c>
      <c r="G335" s="14" t="n"/>
      <c r="H335" s="14" t="n"/>
      <c r="I335" s="14" t="n"/>
      <c r="J335" s="14" t="n"/>
      <c r="K335" s="17" t="n"/>
      <c r="L335" s="15" t="n"/>
      <c r="M335" s="14" t="n"/>
      <c r="N335" s="17" t="n"/>
      <c r="O335" s="17" t="n"/>
      <c r="P335" s="18" t="n"/>
      <c r="Q335" s="11">
        <f>IF($A335="","",IF($H335="Stock",IF($I335="Buy",-$M335*$N335-$P335,IF($I335="Sell",IF($N335="", $M335*$O335-$P335,($O335-$N335)*$M335-$P335),"")),IF($I335="Sell",($N335-IF($O335="",0,$O335))*$M335*100-$P335,IF($I335="Buy",(IF($O335="",0,$O335)-$N335)*$M335*100-$P335,""))))</f>
        <v/>
      </c>
      <c r="R335" s="11">
        <f>IF($A335="","",IF($C335="Open","",$Q335))</f>
        <v/>
      </c>
      <c r="S335" s="12">
        <f>IF($A335="","",IFS($B335="Covered Call","Covered Call Premium",$B335="Cash Secured Put","Cash Secured Put Premium",$B335="Long Call/Put","Long Call/Put P/L",$B335="Debit Spread","Long Call/Put P/L",$B335="Stock Sale","Stock Sales",TRUE,"Other"))</f>
        <v/>
      </c>
      <c r="T335" s="11">
        <f>IF($A335="","",IF($B335="Cash Secured Put",$K335*$M335*100,IF($B335="Covered Call",$K335*$M335*100,IF($H335="Stock",$M335*$N335,""))))</f>
        <v/>
      </c>
      <c r="U335" s="19">
        <f>IF(OR($A335="",$C335&lt;&gt;"Closed",$D335="",$E335="",$T335=0),"",$R335/$T335*365/MAX(1,$E335-$D335))</f>
        <v/>
      </c>
      <c r="V335" s="14" t="n"/>
      <c r="W335" s="12" t="n"/>
    </row>
    <row r="336">
      <c r="A336" s="12" t="n"/>
      <c r="B336" s="14" t="n"/>
      <c r="C336" s="14" t="n"/>
      <c r="D336" s="15" t="n"/>
      <c r="E336" s="15" t="n"/>
      <c r="F336" s="16">
        <f>IF($E336="","",DATE(YEAR($E336),MONTH($E336),1))</f>
        <v/>
      </c>
      <c r="G336" s="14" t="n"/>
      <c r="H336" s="14" t="n"/>
      <c r="I336" s="14" t="n"/>
      <c r="J336" s="14" t="n"/>
      <c r="K336" s="17" t="n"/>
      <c r="L336" s="15" t="n"/>
      <c r="M336" s="14" t="n"/>
      <c r="N336" s="17" t="n"/>
      <c r="O336" s="17" t="n"/>
      <c r="P336" s="18" t="n"/>
      <c r="Q336" s="11">
        <f>IF($A336="","",IF($H336="Stock",IF($I336="Buy",-$M336*$N336-$P336,IF($I336="Sell",IF($N336="", $M336*$O336-$P336,($O336-$N336)*$M336-$P336),"")),IF($I336="Sell",($N336-IF($O336="",0,$O336))*$M336*100-$P336,IF($I336="Buy",(IF($O336="",0,$O336)-$N336)*$M336*100-$P336,""))))</f>
        <v/>
      </c>
      <c r="R336" s="11">
        <f>IF($A336="","",IF($C336="Open","",$Q336))</f>
        <v/>
      </c>
      <c r="S336" s="12">
        <f>IF($A336="","",IFS($B336="Covered Call","Covered Call Premium",$B336="Cash Secured Put","Cash Secured Put Premium",$B336="Long Call/Put","Long Call/Put P/L",$B336="Debit Spread","Long Call/Put P/L",$B336="Stock Sale","Stock Sales",TRUE,"Other"))</f>
        <v/>
      </c>
      <c r="T336" s="11">
        <f>IF($A336="","",IF($B336="Cash Secured Put",$K336*$M336*100,IF($B336="Covered Call",$K336*$M336*100,IF($H336="Stock",$M336*$N336,""))))</f>
        <v/>
      </c>
      <c r="U336" s="19">
        <f>IF(OR($A336="",$C336&lt;&gt;"Closed",$D336="",$E336="",$T336=0),"",$R336/$T336*365/MAX(1,$E336-$D336))</f>
        <v/>
      </c>
      <c r="V336" s="14" t="n"/>
      <c r="W336" s="12" t="n"/>
    </row>
    <row r="337">
      <c r="A337" s="12" t="n"/>
      <c r="B337" s="14" t="n"/>
      <c r="C337" s="14" t="n"/>
      <c r="D337" s="15" t="n"/>
      <c r="E337" s="15" t="n"/>
      <c r="F337" s="16">
        <f>IF($E337="","",DATE(YEAR($E337),MONTH($E337),1))</f>
        <v/>
      </c>
      <c r="G337" s="14" t="n"/>
      <c r="H337" s="14" t="n"/>
      <c r="I337" s="14" t="n"/>
      <c r="J337" s="14" t="n"/>
      <c r="K337" s="17" t="n"/>
      <c r="L337" s="15" t="n"/>
      <c r="M337" s="14" t="n"/>
      <c r="N337" s="17" t="n"/>
      <c r="O337" s="17" t="n"/>
      <c r="P337" s="18" t="n"/>
      <c r="Q337" s="11">
        <f>IF($A337="","",IF($H337="Stock",IF($I337="Buy",-$M337*$N337-$P337,IF($I337="Sell",IF($N337="", $M337*$O337-$P337,($O337-$N337)*$M337-$P337),"")),IF($I337="Sell",($N337-IF($O337="",0,$O337))*$M337*100-$P337,IF($I337="Buy",(IF($O337="",0,$O337)-$N337)*$M337*100-$P337,""))))</f>
        <v/>
      </c>
      <c r="R337" s="11">
        <f>IF($A337="","",IF($C337="Open","",$Q337))</f>
        <v/>
      </c>
      <c r="S337" s="12">
        <f>IF($A337="","",IFS($B337="Covered Call","Covered Call Premium",$B337="Cash Secured Put","Cash Secured Put Premium",$B337="Long Call/Put","Long Call/Put P/L",$B337="Debit Spread","Long Call/Put P/L",$B337="Stock Sale","Stock Sales",TRUE,"Other"))</f>
        <v/>
      </c>
      <c r="T337" s="11">
        <f>IF($A337="","",IF($B337="Cash Secured Put",$K337*$M337*100,IF($B337="Covered Call",$K337*$M337*100,IF($H337="Stock",$M337*$N337,""))))</f>
        <v/>
      </c>
      <c r="U337" s="19">
        <f>IF(OR($A337="",$C337&lt;&gt;"Closed",$D337="",$E337="",$T337=0),"",$R337/$T337*365/MAX(1,$E337-$D337))</f>
        <v/>
      </c>
      <c r="V337" s="14" t="n"/>
      <c r="W337" s="12" t="n"/>
    </row>
    <row r="338">
      <c r="A338" s="12" t="n"/>
      <c r="B338" s="14" t="n"/>
      <c r="C338" s="14" t="n"/>
      <c r="D338" s="15" t="n"/>
      <c r="E338" s="15" t="n"/>
      <c r="F338" s="16">
        <f>IF($E338="","",DATE(YEAR($E338),MONTH($E338),1))</f>
        <v/>
      </c>
      <c r="G338" s="14" t="n"/>
      <c r="H338" s="14" t="n"/>
      <c r="I338" s="14" t="n"/>
      <c r="J338" s="14" t="n"/>
      <c r="K338" s="17" t="n"/>
      <c r="L338" s="15" t="n"/>
      <c r="M338" s="14" t="n"/>
      <c r="N338" s="17" t="n"/>
      <c r="O338" s="17" t="n"/>
      <c r="P338" s="18" t="n"/>
      <c r="Q338" s="11">
        <f>IF($A338="","",IF($H338="Stock",IF($I338="Buy",-$M338*$N338-$P338,IF($I338="Sell",IF($N338="", $M338*$O338-$P338,($O338-$N338)*$M338-$P338),"")),IF($I338="Sell",($N338-IF($O338="",0,$O338))*$M338*100-$P338,IF($I338="Buy",(IF($O338="",0,$O338)-$N338)*$M338*100-$P338,""))))</f>
        <v/>
      </c>
      <c r="R338" s="11">
        <f>IF($A338="","",IF($C338="Open","",$Q338))</f>
        <v/>
      </c>
      <c r="S338" s="12">
        <f>IF($A338="","",IFS($B338="Covered Call","Covered Call Premium",$B338="Cash Secured Put","Cash Secured Put Premium",$B338="Long Call/Put","Long Call/Put P/L",$B338="Debit Spread","Long Call/Put P/L",$B338="Stock Sale","Stock Sales",TRUE,"Other"))</f>
        <v/>
      </c>
      <c r="T338" s="11">
        <f>IF($A338="","",IF($B338="Cash Secured Put",$K338*$M338*100,IF($B338="Covered Call",$K338*$M338*100,IF($H338="Stock",$M338*$N338,""))))</f>
        <v/>
      </c>
      <c r="U338" s="19">
        <f>IF(OR($A338="",$C338&lt;&gt;"Closed",$D338="",$E338="",$T338=0),"",$R338/$T338*365/MAX(1,$E338-$D338))</f>
        <v/>
      </c>
      <c r="V338" s="14" t="n"/>
      <c r="W338" s="12" t="n"/>
    </row>
    <row r="339">
      <c r="A339" s="12" t="n"/>
      <c r="B339" s="14" t="n"/>
      <c r="C339" s="14" t="n"/>
      <c r="D339" s="15" t="n"/>
      <c r="E339" s="15" t="n"/>
      <c r="F339" s="16">
        <f>IF($E339="","",DATE(YEAR($E339),MONTH($E339),1))</f>
        <v/>
      </c>
      <c r="G339" s="14" t="n"/>
      <c r="H339" s="14" t="n"/>
      <c r="I339" s="14" t="n"/>
      <c r="J339" s="14" t="n"/>
      <c r="K339" s="17" t="n"/>
      <c r="L339" s="15" t="n"/>
      <c r="M339" s="14" t="n"/>
      <c r="N339" s="17" t="n"/>
      <c r="O339" s="17" t="n"/>
      <c r="P339" s="18" t="n"/>
      <c r="Q339" s="11">
        <f>IF($A339="","",IF($H339="Stock",IF($I339="Buy",-$M339*$N339-$P339,IF($I339="Sell",IF($N339="", $M339*$O339-$P339,($O339-$N339)*$M339-$P339),"")),IF($I339="Sell",($N339-IF($O339="",0,$O339))*$M339*100-$P339,IF($I339="Buy",(IF($O339="",0,$O339)-$N339)*$M339*100-$P339,""))))</f>
        <v/>
      </c>
      <c r="R339" s="11">
        <f>IF($A339="","",IF($C339="Open","",$Q339))</f>
        <v/>
      </c>
      <c r="S339" s="12">
        <f>IF($A339="","",IFS($B339="Covered Call","Covered Call Premium",$B339="Cash Secured Put","Cash Secured Put Premium",$B339="Long Call/Put","Long Call/Put P/L",$B339="Debit Spread","Long Call/Put P/L",$B339="Stock Sale","Stock Sales",TRUE,"Other"))</f>
        <v/>
      </c>
      <c r="T339" s="11">
        <f>IF($A339="","",IF($B339="Cash Secured Put",$K339*$M339*100,IF($B339="Covered Call",$K339*$M339*100,IF($H339="Stock",$M339*$N339,""))))</f>
        <v/>
      </c>
      <c r="U339" s="19">
        <f>IF(OR($A339="",$C339&lt;&gt;"Closed",$D339="",$E339="",$T339=0),"",$R339/$T339*365/MAX(1,$E339-$D339))</f>
        <v/>
      </c>
      <c r="V339" s="14" t="n"/>
      <c r="W339" s="12" t="n"/>
    </row>
    <row r="340">
      <c r="A340" s="12" t="n"/>
      <c r="B340" s="14" t="n"/>
      <c r="C340" s="14" t="n"/>
      <c r="D340" s="15" t="n"/>
      <c r="E340" s="15" t="n"/>
      <c r="F340" s="16">
        <f>IF($E340="","",DATE(YEAR($E340),MONTH($E340),1))</f>
        <v/>
      </c>
      <c r="G340" s="14" t="n"/>
      <c r="H340" s="14" t="n"/>
      <c r="I340" s="14" t="n"/>
      <c r="J340" s="14" t="n"/>
      <c r="K340" s="17" t="n"/>
      <c r="L340" s="15" t="n"/>
      <c r="M340" s="14" t="n"/>
      <c r="N340" s="17" t="n"/>
      <c r="O340" s="17" t="n"/>
      <c r="P340" s="18" t="n"/>
      <c r="Q340" s="11">
        <f>IF($A340="","",IF($H340="Stock",IF($I340="Buy",-$M340*$N340-$P340,IF($I340="Sell",IF($N340="", $M340*$O340-$P340,($O340-$N340)*$M340-$P340),"")),IF($I340="Sell",($N340-IF($O340="",0,$O340))*$M340*100-$P340,IF($I340="Buy",(IF($O340="",0,$O340)-$N340)*$M340*100-$P340,""))))</f>
        <v/>
      </c>
      <c r="R340" s="11">
        <f>IF($A340="","",IF($C340="Open","",$Q340))</f>
        <v/>
      </c>
      <c r="S340" s="12">
        <f>IF($A340="","",IFS($B340="Covered Call","Covered Call Premium",$B340="Cash Secured Put","Cash Secured Put Premium",$B340="Long Call/Put","Long Call/Put P/L",$B340="Debit Spread","Long Call/Put P/L",$B340="Stock Sale","Stock Sales",TRUE,"Other"))</f>
        <v/>
      </c>
      <c r="T340" s="11">
        <f>IF($A340="","",IF($B340="Cash Secured Put",$K340*$M340*100,IF($B340="Covered Call",$K340*$M340*100,IF($H340="Stock",$M340*$N340,""))))</f>
        <v/>
      </c>
      <c r="U340" s="19">
        <f>IF(OR($A340="",$C340&lt;&gt;"Closed",$D340="",$E340="",$T340=0),"",$R340/$T340*365/MAX(1,$E340-$D340))</f>
        <v/>
      </c>
      <c r="V340" s="14" t="n"/>
      <c r="W340" s="12" t="n"/>
    </row>
    <row r="341">
      <c r="A341" s="12" t="n"/>
      <c r="B341" s="14" t="n"/>
      <c r="C341" s="14" t="n"/>
      <c r="D341" s="15" t="n"/>
      <c r="E341" s="15" t="n"/>
      <c r="F341" s="16">
        <f>IF($E341="","",DATE(YEAR($E341),MONTH($E341),1))</f>
        <v/>
      </c>
      <c r="G341" s="14" t="n"/>
      <c r="H341" s="14" t="n"/>
      <c r="I341" s="14" t="n"/>
      <c r="J341" s="14" t="n"/>
      <c r="K341" s="17" t="n"/>
      <c r="L341" s="15" t="n"/>
      <c r="M341" s="14" t="n"/>
      <c r="N341" s="17" t="n"/>
      <c r="O341" s="17" t="n"/>
      <c r="P341" s="18" t="n"/>
      <c r="Q341" s="11">
        <f>IF($A341="","",IF($H341="Stock",IF($I341="Buy",-$M341*$N341-$P341,IF($I341="Sell",IF($N341="", $M341*$O341-$P341,($O341-$N341)*$M341-$P341),"")),IF($I341="Sell",($N341-IF($O341="",0,$O341))*$M341*100-$P341,IF($I341="Buy",(IF($O341="",0,$O341)-$N341)*$M341*100-$P341,""))))</f>
        <v/>
      </c>
      <c r="R341" s="11">
        <f>IF($A341="","",IF($C341="Open","",$Q341))</f>
        <v/>
      </c>
      <c r="S341" s="12">
        <f>IF($A341="","",IFS($B341="Covered Call","Covered Call Premium",$B341="Cash Secured Put","Cash Secured Put Premium",$B341="Long Call/Put","Long Call/Put P/L",$B341="Debit Spread","Long Call/Put P/L",$B341="Stock Sale","Stock Sales",TRUE,"Other"))</f>
        <v/>
      </c>
      <c r="T341" s="11">
        <f>IF($A341="","",IF($B341="Cash Secured Put",$K341*$M341*100,IF($B341="Covered Call",$K341*$M341*100,IF($H341="Stock",$M341*$N341,""))))</f>
        <v/>
      </c>
      <c r="U341" s="19">
        <f>IF(OR($A341="",$C341&lt;&gt;"Closed",$D341="",$E341="",$T341=0),"",$R341/$T341*365/MAX(1,$E341-$D341))</f>
        <v/>
      </c>
      <c r="V341" s="14" t="n"/>
      <c r="W341" s="12" t="n"/>
    </row>
    <row r="342">
      <c r="A342" s="12" t="n"/>
      <c r="B342" s="14" t="n"/>
      <c r="C342" s="14" t="n"/>
      <c r="D342" s="15" t="n"/>
      <c r="E342" s="15" t="n"/>
      <c r="F342" s="16">
        <f>IF($E342="","",DATE(YEAR($E342),MONTH($E342),1))</f>
        <v/>
      </c>
      <c r="G342" s="14" t="n"/>
      <c r="H342" s="14" t="n"/>
      <c r="I342" s="14" t="n"/>
      <c r="J342" s="14" t="n"/>
      <c r="K342" s="17" t="n"/>
      <c r="L342" s="15" t="n"/>
      <c r="M342" s="14" t="n"/>
      <c r="N342" s="17" t="n"/>
      <c r="O342" s="17" t="n"/>
      <c r="P342" s="18" t="n"/>
      <c r="Q342" s="11">
        <f>IF($A342="","",IF($H342="Stock",IF($I342="Buy",-$M342*$N342-$P342,IF($I342="Sell",IF($N342="", $M342*$O342-$P342,($O342-$N342)*$M342-$P342),"")),IF($I342="Sell",($N342-IF($O342="",0,$O342))*$M342*100-$P342,IF($I342="Buy",(IF($O342="",0,$O342)-$N342)*$M342*100-$P342,""))))</f>
        <v/>
      </c>
      <c r="R342" s="11">
        <f>IF($A342="","",IF($C342="Open","",$Q342))</f>
        <v/>
      </c>
      <c r="S342" s="12">
        <f>IF($A342="","",IFS($B342="Covered Call","Covered Call Premium",$B342="Cash Secured Put","Cash Secured Put Premium",$B342="Long Call/Put","Long Call/Put P/L",$B342="Debit Spread","Long Call/Put P/L",$B342="Stock Sale","Stock Sales",TRUE,"Other"))</f>
        <v/>
      </c>
      <c r="T342" s="11">
        <f>IF($A342="","",IF($B342="Cash Secured Put",$K342*$M342*100,IF($B342="Covered Call",$K342*$M342*100,IF($H342="Stock",$M342*$N342,""))))</f>
        <v/>
      </c>
      <c r="U342" s="19">
        <f>IF(OR($A342="",$C342&lt;&gt;"Closed",$D342="",$E342="",$T342=0),"",$R342/$T342*365/MAX(1,$E342-$D342))</f>
        <v/>
      </c>
      <c r="V342" s="14" t="n"/>
      <c r="W342" s="12" t="n"/>
    </row>
    <row r="343">
      <c r="A343" s="12" t="n"/>
      <c r="B343" s="14" t="n"/>
      <c r="C343" s="14" t="n"/>
      <c r="D343" s="15" t="n"/>
      <c r="E343" s="15" t="n"/>
      <c r="F343" s="16">
        <f>IF($E343="","",DATE(YEAR($E343),MONTH($E343),1))</f>
        <v/>
      </c>
      <c r="G343" s="14" t="n"/>
      <c r="H343" s="14" t="n"/>
      <c r="I343" s="14" t="n"/>
      <c r="J343" s="14" t="n"/>
      <c r="K343" s="17" t="n"/>
      <c r="L343" s="15" t="n"/>
      <c r="M343" s="14" t="n"/>
      <c r="N343" s="17" t="n"/>
      <c r="O343" s="17" t="n"/>
      <c r="P343" s="18" t="n"/>
      <c r="Q343" s="11">
        <f>IF($A343="","",IF($H343="Stock",IF($I343="Buy",-$M343*$N343-$P343,IF($I343="Sell",IF($N343="", $M343*$O343-$P343,($O343-$N343)*$M343-$P343),"")),IF($I343="Sell",($N343-IF($O343="",0,$O343))*$M343*100-$P343,IF($I343="Buy",(IF($O343="",0,$O343)-$N343)*$M343*100-$P343,""))))</f>
        <v/>
      </c>
      <c r="R343" s="11">
        <f>IF($A343="","",IF($C343="Open","",$Q343))</f>
        <v/>
      </c>
      <c r="S343" s="12">
        <f>IF($A343="","",IFS($B343="Covered Call","Covered Call Premium",$B343="Cash Secured Put","Cash Secured Put Premium",$B343="Long Call/Put","Long Call/Put P/L",$B343="Debit Spread","Long Call/Put P/L",$B343="Stock Sale","Stock Sales",TRUE,"Other"))</f>
        <v/>
      </c>
      <c r="T343" s="11">
        <f>IF($A343="","",IF($B343="Cash Secured Put",$K343*$M343*100,IF($B343="Covered Call",$K343*$M343*100,IF($H343="Stock",$M343*$N343,""))))</f>
        <v/>
      </c>
      <c r="U343" s="19">
        <f>IF(OR($A343="",$C343&lt;&gt;"Closed",$D343="",$E343="",$T343=0),"",$R343/$T343*365/MAX(1,$E343-$D343))</f>
        <v/>
      </c>
      <c r="V343" s="14" t="n"/>
      <c r="W343" s="12" t="n"/>
    </row>
    <row r="344">
      <c r="A344" s="12" t="n"/>
      <c r="B344" s="14" t="n"/>
      <c r="C344" s="14" t="n"/>
      <c r="D344" s="15" t="n"/>
      <c r="E344" s="15" t="n"/>
      <c r="F344" s="16">
        <f>IF($E344="","",DATE(YEAR($E344),MONTH($E344),1))</f>
        <v/>
      </c>
      <c r="G344" s="14" t="n"/>
      <c r="H344" s="14" t="n"/>
      <c r="I344" s="14" t="n"/>
      <c r="J344" s="14" t="n"/>
      <c r="K344" s="17" t="n"/>
      <c r="L344" s="15" t="n"/>
      <c r="M344" s="14" t="n"/>
      <c r="N344" s="17" t="n"/>
      <c r="O344" s="17" t="n"/>
      <c r="P344" s="18" t="n"/>
      <c r="Q344" s="11">
        <f>IF($A344="","",IF($H344="Stock",IF($I344="Buy",-$M344*$N344-$P344,IF($I344="Sell",IF($N344="", $M344*$O344-$P344,($O344-$N344)*$M344-$P344),"")),IF($I344="Sell",($N344-IF($O344="",0,$O344))*$M344*100-$P344,IF($I344="Buy",(IF($O344="",0,$O344)-$N344)*$M344*100-$P344,""))))</f>
        <v/>
      </c>
      <c r="R344" s="11">
        <f>IF($A344="","",IF($C344="Open","",$Q344))</f>
        <v/>
      </c>
      <c r="S344" s="12">
        <f>IF($A344="","",IFS($B344="Covered Call","Covered Call Premium",$B344="Cash Secured Put","Cash Secured Put Premium",$B344="Long Call/Put","Long Call/Put P/L",$B344="Debit Spread","Long Call/Put P/L",$B344="Stock Sale","Stock Sales",TRUE,"Other"))</f>
        <v/>
      </c>
      <c r="T344" s="11">
        <f>IF($A344="","",IF($B344="Cash Secured Put",$K344*$M344*100,IF($B344="Covered Call",$K344*$M344*100,IF($H344="Stock",$M344*$N344,""))))</f>
        <v/>
      </c>
      <c r="U344" s="19">
        <f>IF(OR($A344="",$C344&lt;&gt;"Closed",$D344="",$E344="",$T344=0),"",$R344/$T344*365/MAX(1,$E344-$D344))</f>
        <v/>
      </c>
      <c r="V344" s="14" t="n"/>
      <c r="W344" s="12" t="n"/>
    </row>
    <row r="345">
      <c r="A345" s="12" t="n"/>
      <c r="B345" s="14" t="n"/>
      <c r="C345" s="14" t="n"/>
      <c r="D345" s="15" t="n"/>
      <c r="E345" s="15" t="n"/>
      <c r="F345" s="16">
        <f>IF($E345="","",DATE(YEAR($E345),MONTH($E345),1))</f>
        <v/>
      </c>
      <c r="G345" s="14" t="n"/>
      <c r="H345" s="14" t="n"/>
      <c r="I345" s="14" t="n"/>
      <c r="J345" s="14" t="n"/>
      <c r="K345" s="17" t="n"/>
      <c r="L345" s="15" t="n"/>
      <c r="M345" s="14" t="n"/>
      <c r="N345" s="17" t="n"/>
      <c r="O345" s="17" t="n"/>
      <c r="P345" s="18" t="n"/>
      <c r="Q345" s="11">
        <f>IF($A345="","",IF($H345="Stock",IF($I345="Buy",-$M345*$N345-$P345,IF($I345="Sell",IF($N345="", $M345*$O345-$P345,($O345-$N345)*$M345-$P345),"")),IF($I345="Sell",($N345-IF($O345="",0,$O345))*$M345*100-$P345,IF($I345="Buy",(IF($O345="",0,$O345)-$N345)*$M345*100-$P345,""))))</f>
        <v/>
      </c>
      <c r="R345" s="11">
        <f>IF($A345="","",IF($C345="Open","",$Q345))</f>
        <v/>
      </c>
      <c r="S345" s="12">
        <f>IF($A345="","",IFS($B345="Covered Call","Covered Call Premium",$B345="Cash Secured Put","Cash Secured Put Premium",$B345="Long Call/Put","Long Call/Put P/L",$B345="Debit Spread","Long Call/Put P/L",$B345="Stock Sale","Stock Sales",TRUE,"Other"))</f>
        <v/>
      </c>
      <c r="T345" s="11">
        <f>IF($A345="","",IF($B345="Cash Secured Put",$K345*$M345*100,IF($B345="Covered Call",$K345*$M345*100,IF($H345="Stock",$M345*$N345,""))))</f>
        <v/>
      </c>
      <c r="U345" s="19">
        <f>IF(OR($A345="",$C345&lt;&gt;"Closed",$D345="",$E345="",$T345=0),"",$R345/$T345*365/MAX(1,$E345-$D345))</f>
        <v/>
      </c>
      <c r="V345" s="14" t="n"/>
      <c r="W345" s="12" t="n"/>
    </row>
    <row r="346">
      <c r="A346" s="12" t="n"/>
      <c r="B346" s="14" t="n"/>
      <c r="C346" s="14" t="n"/>
      <c r="D346" s="15" t="n"/>
      <c r="E346" s="15" t="n"/>
      <c r="F346" s="16">
        <f>IF($E346="","",DATE(YEAR($E346),MONTH($E346),1))</f>
        <v/>
      </c>
      <c r="G346" s="14" t="n"/>
      <c r="H346" s="14" t="n"/>
      <c r="I346" s="14" t="n"/>
      <c r="J346" s="14" t="n"/>
      <c r="K346" s="17" t="n"/>
      <c r="L346" s="15" t="n"/>
      <c r="M346" s="14" t="n"/>
      <c r="N346" s="17" t="n"/>
      <c r="O346" s="17" t="n"/>
      <c r="P346" s="18" t="n"/>
      <c r="Q346" s="11">
        <f>IF($A346="","",IF($H346="Stock",IF($I346="Buy",-$M346*$N346-$P346,IF($I346="Sell",IF($N346="", $M346*$O346-$P346,($O346-$N346)*$M346-$P346),"")),IF($I346="Sell",($N346-IF($O346="",0,$O346))*$M346*100-$P346,IF($I346="Buy",(IF($O346="",0,$O346)-$N346)*$M346*100-$P346,""))))</f>
        <v/>
      </c>
      <c r="R346" s="11">
        <f>IF($A346="","",IF($C346="Open","",$Q346))</f>
        <v/>
      </c>
      <c r="S346" s="12">
        <f>IF($A346="","",IFS($B346="Covered Call","Covered Call Premium",$B346="Cash Secured Put","Cash Secured Put Premium",$B346="Long Call/Put","Long Call/Put P/L",$B346="Debit Spread","Long Call/Put P/L",$B346="Stock Sale","Stock Sales",TRUE,"Other"))</f>
        <v/>
      </c>
      <c r="T346" s="11">
        <f>IF($A346="","",IF($B346="Cash Secured Put",$K346*$M346*100,IF($B346="Covered Call",$K346*$M346*100,IF($H346="Stock",$M346*$N346,""))))</f>
        <v/>
      </c>
      <c r="U346" s="19">
        <f>IF(OR($A346="",$C346&lt;&gt;"Closed",$D346="",$E346="",$T346=0),"",$R346/$T346*365/MAX(1,$E346-$D346))</f>
        <v/>
      </c>
      <c r="V346" s="14" t="n"/>
      <c r="W346" s="12" t="n"/>
    </row>
    <row r="347">
      <c r="A347" s="12" t="n"/>
      <c r="B347" s="14" t="n"/>
      <c r="C347" s="14" t="n"/>
      <c r="D347" s="15" t="n"/>
      <c r="E347" s="15" t="n"/>
      <c r="F347" s="16">
        <f>IF($E347="","",DATE(YEAR($E347),MONTH($E347),1))</f>
        <v/>
      </c>
      <c r="G347" s="14" t="n"/>
      <c r="H347" s="14" t="n"/>
      <c r="I347" s="14" t="n"/>
      <c r="J347" s="14" t="n"/>
      <c r="K347" s="17" t="n"/>
      <c r="L347" s="15" t="n"/>
      <c r="M347" s="14" t="n"/>
      <c r="N347" s="17" t="n"/>
      <c r="O347" s="17" t="n"/>
      <c r="P347" s="18" t="n"/>
      <c r="Q347" s="11">
        <f>IF($A347="","",IF($H347="Stock",IF($I347="Buy",-$M347*$N347-$P347,IF($I347="Sell",IF($N347="", $M347*$O347-$P347,($O347-$N347)*$M347-$P347),"")),IF($I347="Sell",($N347-IF($O347="",0,$O347))*$M347*100-$P347,IF($I347="Buy",(IF($O347="",0,$O347)-$N347)*$M347*100-$P347,""))))</f>
        <v/>
      </c>
      <c r="R347" s="11">
        <f>IF($A347="","",IF($C347="Open","",$Q347))</f>
        <v/>
      </c>
      <c r="S347" s="12">
        <f>IF($A347="","",IFS($B347="Covered Call","Covered Call Premium",$B347="Cash Secured Put","Cash Secured Put Premium",$B347="Long Call/Put","Long Call/Put P/L",$B347="Debit Spread","Long Call/Put P/L",$B347="Stock Sale","Stock Sales",TRUE,"Other"))</f>
        <v/>
      </c>
      <c r="T347" s="11">
        <f>IF($A347="","",IF($B347="Cash Secured Put",$K347*$M347*100,IF($B347="Covered Call",$K347*$M347*100,IF($H347="Stock",$M347*$N347,""))))</f>
        <v/>
      </c>
      <c r="U347" s="19">
        <f>IF(OR($A347="",$C347&lt;&gt;"Closed",$D347="",$E347="",$T347=0),"",$R347/$T347*365/MAX(1,$E347-$D347))</f>
        <v/>
      </c>
      <c r="V347" s="14" t="n"/>
      <c r="W347" s="12" t="n"/>
    </row>
    <row r="348">
      <c r="A348" s="12" t="n"/>
      <c r="B348" s="14" t="n"/>
      <c r="C348" s="14" t="n"/>
      <c r="D348" s="15" t="n"/>
      <c r="E348" s="15" t="n"/>
      <c r="F348" s="16">
        <f>IF($E348="","",DATE(YEAR($E348),MONTH($E348),1))</f>
        <v/>
      </c>
      <c r="G348" s="14" t="n"/>
      <c r="H348" s="14" t="n"/>
      <c r="I348" s="14" t="n"/>
      <c r="J348" s="14" t="n"/>
      <c r="K348" s="17" t="n"/>
      <c r="L348" s="15" t="n"/>
      <c r="M348" s="14" t="n"/>
      <c r="N348" s="17" t="n"/>
      <c r="O348" s="17" t="n"/>
      <c r="P348" s="18" t="n"/>
      <c r="Q348" s="11">
        <f>IF($A348="","",IF($H348="Stock",IF($I348="Buy",-$M348*$N348-$P348,IF($I348="Sell",IF($N348="", $M348*$O348-$P348,($O348-$N348)*$M348-$P348),"")),IF($I348="Sell",($N348-IF($O348="",0,$O348))*$M348*100-$P348,IF($I348="Buy",(IF($O348="",0,$O348)-$N348)*$M348*100-$P348,""))))</f>
        <v/>
      </c>
      <c r="R348" s="11">
        <f>IF($A348="","",IF($C348="Open","",$Q348))</f>
        <v/>
      </c>
      <c r="S348" s="12">
        <f>IF($A348="","",IFS($B348="Covered Call","Covered Call Premium",$B348="Cash Secured Put","Cash Secured Put Premium",$B348="Long Call/Put","Long Call/Put P/L",$B348="Debit Spread","Long Call/Put P/L",$B348="Stock Sale","Stock Sales",TRUE,"Other"))</f>
        <v/>
      </c>
      <c r="T348" s="11">
        <f>IF($A348="","",IF($B348="Cash Secured Put",$K348*$M348*100,IF($B348="Covered Call",$K348*$M348*100,IF($H348="Stock",$M348*$N348,""))))</f>
        <v/>
      </c>
      <c r="U348" s="19">
        <f>IF(OR($A348="",$C348&lt;&gt;"Closed",$D348="",$E348="",$T348=0),"",$R348/$T348*365/MAX(1,$E348-$D348))</f>
        <v/>
      </c>
      <c r="V348" s="14" t="n"/>
      <c r="W348" s="12" t="n"/>
    </row>
    <row r="349">
      <c r="A349" s="12" t="n"/>
      <c r="B349" s="14" t="n"/>
      <c r="C349" s="14" t="n"/>
      <c r="D349" s="15" t="n"/>
      <c r="E349" s="15" t="n"/>
      <c r="F349" s="16">
        <f>IF($E349="","",DATE(YEAR($E349),MONTH($E349),1))</f>
        <v/>
      </c>
      <c r="G349" s="14" t="n"/>
      <c r="H349" s="14" t="n"/>
      <c r="I349" s="14" t="n"/>
      <c r="J349" s="14" t="n"/>
      <c r="K349" s="17" t="n"/>
      <c r="L349" s="15" t="n"/>
      <c r="M349" s="14" t="n"/>
      <c r="N349" s="17" t="n"/>
      <c r="O349" s="17" t="n"/>
      <c r="P349" s="18" t="n"/>
      <c r="Q349" s="11">
        <f>IF($A349="","",IF($H349="Stock",IF($I349="Buy",-$M349*$N349-$P349,IF($I349="Sell",IF($N349="", $M349*$O349-$P349,($O349-$N349)*$M349-$P349),"")),IF($I349="Sell",($N349-IF($O349="",0,$O349))*$M349*100-$P349,IF($I349="Buy",(IF($O349="",0,$O349)-$N349)*$M349*100-$P349,""))))</f>
        <v/>
      </c>
      <c r="R349" s="11">
        <f>IF($A349="","",IF($C349="Open","",$Q349))</f>
        <v/>
      </c>
      <c r="S349" s="12">
        <f>IF($A349="","",IFS($B349="Covered Call","Covered Call Premium",$B349="Cash Secured Put","Cash Secured Put Premium",$B349="Long Call/Put","Long Call/Put P/L",$B349="Debit Spread","Long Call/Put P/L",$B349="Stock Sale","Stock Sales",TRUE,"Other"))</f>
        <v/>
      </c>
      <c r="T349" s="11">
        <f>IF($A349="","",IF($B349="Cash Secured Put",$K349*$M349*100,IF($B349="Covered Call",$K349*$M349*100,IF($H349="Stock",$M349*$N349,""))))</f>
        <v/>
      </c>
      <c r="U349" s="19">
        <f>IF(OR($A349="",$C349&lt;&gt;"Closed",$D349="",$E349="",$T349=0),"",$R349/$T349*365/MAX(1,$E349-$D349))</f>
        <v/>
      </c>
      <c r="V349" s="14" t="n"/>
      <c r="W349" s="12" t="n"/>
    </row>
    <row r="350">
      <c r="A350" s="12" t="n"/>
      <c r="B350" s="14" t="n"/>
      <c r="C350" s="14" t="n"/>
      <c r="D350" s="15" t="n"/>
      <c r="E350" s="15" t="n"/>
      <c r="F350" s="16">
        <f>IF($E350="","",DATE(YEAR($E350),MONTH($E350),1))</f>
        <v/>
      </c>
      <c r="G350" s="14" t="n"/>
      <c r="H350" s="14" t="n"/>
      <c r="I350" s="14" t="n"/>
      <c r="J350" s="14" t="n"/>
      <c r="K350" s="17" t="n"/>
      <c r="L350" s="15" t="n"/>
      <c r="M350" s="14" t="n"/>
      <c r="N350" s="17" t="n"/>
      <c r="O350" s="17" t="n"/>
      <c r="P350" s="18" t="n"/>
      <c r="Q350" s="11">
        <f>IF($A350="","",IF($H350="Stock",IF($I350="Buy",-$M350*$N350-$P350,IF($I350="Sell",IF($N350="", $M350*$O350-$P350,($O350-$N350)*$M350-$P350),"")),IF($I350="Sell",($N350-IF($O350="",0,$O350))*$M350*100-$P350,IF($I350="Buy",(IF($O350="",0,$O350)-$N350)*$M350*100-$P350,""))))</f>
        <v/>
      </c>
      <c r="R350" s="11">
        <f>IF($A350="","",IF($C350="Open","",$Q350))</f>
        <v/>
      </c>
      <c r="S350" s="12">
        <f>IF($A350="","",IFS($B350="Covered Call","Covered Call Premium",$B350="Cash Secured Put","Cash Secured Put Premium",$B350="Long Call/Put","Long Call/Put P/L",$B350="Debit Spread","Long Call/Put P/L",$B350="Stock Sale","Stock Sales",TRUE,"Other"))</f>
        <v/>
      </c>
      <c r="T350" s="11">
        <f>IF($A350="","",IF($B350="Cash Secured Put",$K350*$M350*100,IF($B350="Covered Call",$K350*$M350*100,IF($H350="Stock",$M350*$N350,""))))</f>
        <v/>
      </c>
      <c r="U350" s="19">
        <f>IF(OR($A350="",$C350&lt;&gt;"Closed",$D350="",$E350="",$T350=0),"",$R350/$T350*365/MAX(1,$E350-$D350))</f>
        <v/>
      </c>
      <c r="V350" s="14" t="n"/>
      <c r="W350" s="12" t="n"/>
    </row>
    <row r="351">
      <c r="A351" s="12" t="n"/>
      <c r="B351" s="14" t="n"/>
      <c r="C351" s="14" t="n"/>
      <c r="D351" s="15" t="n"/>
      <c r="E351" s="15" t="n"/>
      <c r="F351" s="16">
        <f>IF($E351="","",DATE(YEAR($E351),MONTH($E351),1))</f>
        <v/>
      </c>
      <c r="G351" s="14" t="n"/>
      <c r="H351" s="14" t="n"/>
      <c r="I351" s="14" t="n"/>
      <c r="J351" s="14" t="n"/>
      <c r="K351" s="17" t="n"/>
      <c r="L351" s="15" t="n"/>
      <c r="M351" s="14" t="n"/>
      <c r="N351" s="17" t="n"/>
      <c r="O351" s="17" t="n"/>
      <c r="P351" s="18" t="n"/>
      <c r="Q351" s="11">
        <f>IF($A351="","",IF($H351="Stock",IF($I351="Buy",-$M351*$N351-$P351,IF($I351="Sell",IF($N351="", $M351*$O351-$P351,($O351-$N351)*$M351-$P351),"")),IF($I351="Sell",($N351-IF($O351="",0,$O351))*$M351*100-$P351,IF($I351="Buy",(IF($O351="",0,$O351)-$N351)*$M351*100-$P351,""))))</f>
        <v/>
      </c>
      <c r="R351" s="11">
        <f>IF($A351="","",IF($C351="Open","",$Q351))</f>
        <v/>
      </c>
      <c r="S351" s="12">
        <f>IF($A351="","",IFS($B351="Covered Call","Covered Call Premium",$B351="Cash Secured Put","Cash Secured Put Premium",$B351="Long Call/Put","Long Call/Put P/L",$B351="Debit Spread","Long Call/Put P/L",$B351="Stock Sale","Stock Sales",TRUE,"Other"))</f>
        <v/>
      </c>
      <c r="T351" s="11">
        <f>IF($A351="","",IF($B351="Cash Secured Put",$K351*$M351*100,IF($B351="Covered Call",$K351*$M351*100,IF($H351="Stock",$M351*$N351,""))))</f>
        <v/>
      </c>
      <c r="U351" s="19">
        <f>IF(OR($A351="",$C351&lt;&gt;"Closed",$D351="",$E351="",$T351=0),"",$R351/$T351*365/MAX(1,$E351-$D351))</f>
        <v/>
      </c>
      <c r="V351" s="14" t="n"/>
      <c r="W351" s="12" t="n"/>
    </row>
    <row r="352">
      <c r="A352" s="12" t="n"/>
      <c r="B352" s="14" t="n"/>
      <c r="C352" s="14" t="n"/>
      <c r="D352" s="15" t="n"/>
      <c r="E352" s="15" t="n"/>
      <c r="F352" s="16">
        <f>IF($E352="","",DATE(YEAR($E352),MONTH($E352),1))</f>
        <v/>
      </c>
      <c r="G352" s="14" t="n"/>
      <c r="H352" s="14" t="n"/>
      <c r="I352" s="14" t="n"/>
      <c r="J352" s="14" t="n"/>
      <c r="K352" s="17" t="n"/>
      <c r="L352" s="15" t="n"/>
      <c r="M352" s="14" t="n"/>
      <c r="N352" s="17" t="n"/>
      <c r="O352" s="17" t="n"/>
      <c r="P352" s="18" t="n"/>
      <c r="Q352" s="11">
        <f>IF($A352="","",IF($H352="Stock",IF($I352="Buy",-$M352*$N352-$P352,IF($I352="Sell",IF($N352="", $M352*$O352-$P352,($O352-$N352)*$M352-$P352),"")),IF($I352="Sell",($N352-IF($O352="",0,$O352))*$M352*100-$P352,IF($I352="Buy",(IF($O352="",0,$O352)-$N352)*$M352*100-$P352,""))))</f>
        <v/>
      </c>
      <c r="R352" s="11">
        <f>IF($A352="","",IF($C352="Open","",$Q352))</f>
        <v/>
      </c>
      <c r="S352" s="12">
        <f>IF($A352="","",IFS($B352="Covered Call","Covered Call Premium",$B352="Cash Secured Put","Cash Secured Put Premium",$B352="Long Call/Put","Long Call/Put P/L",$B352="Debit Spread","Long Call/Put P/L",$B352="Stock Sale","Stock Sales",TRUE,"Other"))</f>
        <v/>
      </c>
      <c r="T352" s="11">
        <f>IF($A352="","",IF($B352="Cash Secured Put",$K352*$M352*100,IF($B352="Covered Call",$K352*$M352*100,IF($H352="Stock",$M352*$N352,""))))</f>
        <v/>
      </c>
      <c r="U352" s="19">
        <f>IF(OR($A352="",$C352&lt;&gt;"Closed",$D352="",$E352="",$T352=0),"",$R352/$T352*365/MAX(1,$E352-$D352))</f>
        <v/>
      </c>
      <c r="V352" s="14" t="n"/>
      <c r="W352" s="12" t="n"/>
    </row>
    <row r="353">
      <c r="A353" s="12" t="n"/>
      <c r="B353" s="14" t="n"/>
      <c r="C353" s="14" t="n"/>
      <c r="D353" s="15" t="n"/>
      <c r="E353" s="15" t="n"/>
      <c r="F353" s="16">
        <f>IF($E353="","",DATE(YEAR($E353),MONTH($E353),1))</f>
        <v/>
      </c>
      <c r="G353" s="14" t="n"/>
      <c r="H353" s="14" t="n"/>
      <c r="I353" s="14" t="n"/>
      <c r="J353" s="14" t="n"/>
      <c r="K353" s="17" t="n"/>
      <c r="L353" s="15" t="n"/>
      <c r="M353" s="14" t="n"/>
      <c r="N353" s="17" t="n"/>
      <c r="O353" s="17" t="n"/>
      <c r="P353" s="18" t="n"/>
      <c r="Q353" s="11">
        <f>IF($A353="","",IF($H353="Stock",IF($I353="Buy",-$M353*$N353-$P353,IF($I353="Sell",IF($N353="", $M353*$O353-$P353,($O353-$N353)*$M353-$P353),"")),IF($I353="Sell",($N353-IF($O353="",0,$O353))*$M353*100-$P353,IF($I353="Buy",(IF($O353="",0,$O353)-$N353)*$M353*100-$P353,""))))</f>
        <v/>
      </c>
      <c r="R353" s="11">
        <f>IF($A353="","",IF($C353="Open","",$Q353))</f>
        <v/>
      </c>
      <c r="S353" s="12">
        <f>IF($A353="","",IFS($B353="Covered Call","Covered Call Premium",$B353="Cash Secured Put","Cash Secured Put Premium",$B353="Long Call/Put","Long Call/Put P/L",$B353="Debit Spread","Long Call/Put P/L",$B353="Stock Sale","Stock Sales",TRUE,"Other"))</f>
        <v/>
      </c>
      <c r="T353" s="11">
        <f>IF($A353="","",IF($B353="Cash Secured Put",$K353*$M353*100,IF($B353="Covered Call",$K353*$M353*100,IF($H353="Stock",$M353*$N353,""))))</f>
        <v/>
      </c>
      <c r="U353" s="19">
        <f>IF(OR($A353="",$C353&lt;&gt;"Closed",$D353="",$E353="",$T353=0),"",$R353/$T353*365/MAX(1,$E353-$D353))</f>
        <v/>
      </c>
      <c r="V353" s="14" t="n"/>
      <c r="W353" s="12" t="n"/>
    </row>
    <row r="354">
      <c r="A354" s="12" t="n"/>
      <c r="B354" s="14" t="n"/>
      <c r="C354" s="14" t="n"/>
      <c r="D354" s="15" t="n"/>
      <c r="E354" s="15" t="n"/>
      <c r="F354" s="16">
        <f>IF($E354="","",DATE(YEAR($E354),MONTH($E354),1))</f>
        <v/>
      </c>
      <c r="G354" s="14" t="n"/>
      <c r="H354" s="14" t="n"/>
      <c r="I354" s="14" t="n"/>
      <c r="J354" s="14" t="n"/>
      <c r="K354" s="17" t="n"/>
      <c r="L354" s="15" t="n"/>
      <c r="M354" s="14" t="n"/>
      <c r="N354" s="17" t="n"/>
      <c r="O354" s="17" t="n"/>
      <c r="P354" s="18" t="n"/>
      <c r="Q354" s="11">
        <f>IF($A354="","",IF($H354="Stock",IF($I354="Buy",-$M354*$N354-$P354,IF($I354="Sell",IF($N354="", $M354*$O354-$P354,($O354-$N354)*$M354-$P354),"")),IF($I354="Sell",($N354-IF($O354="",0,$O354))*$M354*100-$P354,IF($I354="Buy",(IF($O354="",0,$O354)-$N354)*$M354*100-$P354,""))))</f>
        <v/>
      </c>
      <c r="R354" s="11">
        <f>IF($A354="","",IF($C354="Open","",$Q354))</f>
        <v/>
      </c>
      <c r="S354" s="12">
        <f>IF($A354="","",IFS($B354="Covered Call","Covered Call Premium",$B354="Cash Secured Put","Cash Secured Put Premium",$B354="Long Call/Put","Long Call/Put P/L",$B354="Debit Spread","Long Call/Put P/L",$B354="Stock Sale","Stock Sales",TRUE,"Other"))</f>
        <v/>
      </c>
      <c r="T354" s="11">
        <f>IF($A354="","",IF($B354="Cash Secured Put",$K354*$M354*100,IF($B354="Covered Call",$K354*$M354*100,IF($H354="Stock",$M354*$N354,""))))</f>
        <v/>
      </c>
      <c r="U354" s="19">
        <f>IF(OR($A354="",$C354&lt;&gt;"Closed",$D354="",$E354="",$T354=0),"",$R354/$T354*365/MAX(1,$E354-$D354))</f>
        <v/>
      </c>
      <c r="V354" s="14" t="n"/>
      <c r="W354" s="12" t="n"/>
    </row>
    <row r="355">
      <c r="A355" s="12" t="n"/>
      <c r="B355" s="14" t="n"/>
      <c r="C355" s="14" t="n"/>
      <c r="D355" s="15" t="n"/>
      <c r="E355" s="15" t="n"/>
      <c r="F355" s="16">
        <f>IF($E355="","",DATE(YEAR($E355),MONTH($E355),1))</f>
        <v/>
      </c>
      <c r="G355" s="14" t="n"/>
      <c r="H355" s="14" t="n"/>
      <c r="I355" s="14" t="n"/>
      <c r="J355" s="14" t="n"/>
      <c r="K355" s="17" t="n"/>
      <c r="L355" s="15" t="n"/>
      <c r="M355" s="14" t="n"/>
      <c r="N355" s="17" t="n"/>
      <c r="O355" s="17" t="n"/>
      <c r="P355" s="18" t="n"/>
      <c r="Q355" s="11">
        <f>IF($A355="","",IF($H355="Stock",IF($I355="Buy",-$M355*$N355-$P355,IF($I355="Sell",IF($N355="", $M355*$O355-$P355,($O355-$N355)*$M355-$P355),"")),IF($I355="Sell",($N355-IF($O355="",0,$O355))*$M355*100-$P355,IF($I355="Buy",(IF($O355="",0,$O355)-$N355)*$M355*100-$P355,""))))</f>
        <v/>
      </c>
      <c r="R355" s="11">
        <f>IF($A355="","",IF($C355="Open","",$Q355))</f>
        <v/>
      </c>
      <c r="S355" s="12">
        <f>IF($A355="","",IFS($B355="Covered Call","Covered Call Premium",$B355="Cash Secured Put","Cash Secured Put Premium",$B355="Long Call/Put","Long Call/Put P/L",$B355="Debit Spread","Long Call/Put P/L",$B355="Stock Sale","Stock Sales",TRUE,"Other"))</f>
        <v/>
      </c>
      <c r="T355" s="11">
        <f>IF($A355="","",IF($B355="Cash Secured Put",$K355*$M355*100,IF($B355="Covered Call",$K355*$M355*100,IF($H355="Stock",$M355*$N355,""))))</f>
        <v/>
      </c>
      <c r="U355" s="19">
        <f>IF(OR($A355="",$C355&lt;&gt;"Closed",$D355="",$E355="",$T355=0),"",$R355/$T355*365/MAX(1,$E355-$D355))</f>
        <v/>
      </c>
      <c r="V355" s="14" t="n"/>
      <c r="W355" s="12" t="n"/>
    </row>
    <row r="356">
      <c r="A356" s="12" t="n"/>
      <c r="B356" s="14" t="n"/>
      <c r="C356" s="14" t="n"/>
      <c r="D356" s="15" t="n"/>
      <c r="E356" s="15" t="n"/>
      <c r="F356" s="16">
        <f>IF($E356="","",DATE(YEAR($E356),MONTH($E356),1))</f>
        <v/>
      </c>
      <c r="G356" s="14" t="n"/>
      <c r="H356" s="14" t="n"/>
      <c r="I356" s="14" t="n"/>
      <c r="J356" s="14" t="n"/>
      <c r="K356" s="17" t="n"/>
      <c r="L356" s="15" t="n"/>
      <c r="M356" s="14" t="n"/>
      <c r="N356" s="17" t="n"/>
      <c r="O356" s="17" t="n"/>
      <c r="P356" s="18" t="n"/>
      <c r="Q356" s="11">
        <f>IF($A356="","",IF($H356="Stock",IF($I356="Buy",-$M356*$N356-$P356,IF($I356="Sell",IF($N356="", $M356*$O356-$P356,($O356-$N356)*$M356-$P356),"")),IF($I356="Sell",($N356-IF($O356="",0,$O356))*$M356*100-$P356,IF($I356="Buy",(IF($O356="",0,$O356)-$N356)*$M356*100-$P356,""))))</f>
        <v/>
      </c>
      <c r="R356" s="11">
        <f>IF($A356="","",IF($C356="Open","",$Q356))</f>
        <v/>
      </c>
      <c r="S356" s="12">
        <f>IF($A356="","",IFS($B356="Covered Call","Covered Call Premium",$B356="Cash Secured Put","Cash Secured Put Premium",$B356="Long Call/Put","Long Call/Put P/L",$B356="Debit Spread","Long Call/Put P/L",$B356="Stock Sale","Stock Sales",TRUE,"Other"))</f>
        <v/>
      </c>
      <c r="T356" s="11">
        <f>IF($A356="","",IF($B356="Cash Secured Put",$K356*$M356*100,IF($B356="Covered Call",$K356*$M356*100,IF($H356="Stock",$M356*$N356,""))))</f>
        <v/>
      </c>
      <c r="U356" s="19">
        <f>IF(OR($A356="",$C356&lt;&gt;"Closed",$D356="",$E356="",$T356=0),"",$R356/$T356*365/MAX(1,$E356-$D356))</f>
        <v/>
      </c>
      <c r="V356" s="14" t="n"/>
      <c r="W356" s="12" t="n"/>
    </row>
    <row r="357">
      <c r="A357" s="12" t="n"/>
      <c r="B357" s="14" t="n"/>
      <c r="C357" s="14" t="n"/>
      <c r="D357" s="15" t="n"/>
      <c r="E357" s="15" t="n"/>
      <c r="F357" s="16">
        <f>IF($E357="","",DATE(YEAR($E357),MONTH($E357),1))</f>
        <v/>
      </c>
      <c r="G357" s="14" t="n"/>
      <c r="H357" s="14" t="n"/>
      <c r="I357" s="14" t="n"/>
      <c r="J357" s="14" t="n"/>
      <c r="K357" s="17" t="n"/>
      <c r="L357" s="15" t="n"/>
      <c r="M357" s="14" t="n"/>
      <c r="N357" s="17" t="n"/>
      <c r="O357" s="17" t="n"/>
      <c r="P357" s="18" t="n"/>
      <c r="Q357" s="11">
        <f>IF($A357="","",IF($H357="Stock",IF($I357="Buy",-$M357*$N357-$P357,IF($I357="Sell",IF($N357="", $M357*$O357-$P357,($O357-$N357)*$M357-$P357),"")),IF($I357="Sell",($N357-IF($O357="",0,$O357))*$M357*100-$P357,IF($I357="Buy",(IF($O357="",0,$O357)-$N357)*$M357*100-$P357,""))))</f>
        <v/>
      </c>
      <c r="R357" s="11">
        <f>IF($A357="","",IF($C357="Open","",$Q357))</f>
        <v/>
      </c>
      <c r="S357" s="12">
        <f>IF($A357="","",IFS($B357="Covered Call","Covered Call Premium",$B357="Cash Secured Put","Cash Secured Put Premium",$B357="Long Call/Put","Long Call/Put P/L",$B357="Debit Spread","Long Call/Put P/L",$B357="Stock Sale","Stock Sales",TRUE,"Other"))</f>
        <v/>
      </c>
      <c r="T357" s="11">
        <f>IF($A357="","",IF($B357="Cash Secured Put",$K357*$M357*100,IF($B357="Covered Call",$K357*$M357*100,IF($H357="Stock",$M357*$N357,""))))</f>
        <v/>
      </c>
      <c r="U357" s="19">
        <f>IF(OR($A357="",$C357&lt;&gt;"Closed",$D357="",$E357="",$T357=0),"",$R357/$T357*365/MAX(1,$E357-$D357))</f>
        <v/>
      </c>
      <c r="V357" s="14" t="n"/>
      <c r="W357" s="12" t="n"/>
    </row>
    <row r="358">
      <c r="A358" s="12" t="n"/>
      <c r="B358" s="14" t="n"/>
      <c r="C358" s="14" t="n"/>
      <c r="D358" s="15" t="n"/>
      <c r="E358" s="15" t="n"/>
      <c r="F358" s="16">
        <f>IF($E358="","",DATE(YEAR($E358),MONTH($E358),1))</f>
        <v/>
      </c>
      <c r="G358" s="14" t="n"/>
      <c r="H358" s="14" t="n"/>
      <c r="I358" s="14" t="n"/>
      <c r="J358" s="14" t="n"/>
      <c r="K358" s="17" t="n"/>
      <c r="L358" s="15" t="n"/>
      <c r="M358" s="14" t="n"/>
      <c r="N358" s="17" t="n"/>
      <c r="O358" s="17" t="n"/>
      <c r="P358" s="18" t="n"/>
      <c r="Q358" s="11">
        <f>IF($A358="","",IF($H358="Stock",IF($I358="Buy",-$M358*$N358-$P358,IF($I358="Sell",IF($N358="", $M358*$O358-$P358,($O358-$N358)*$M358-$P358),"")),IF($I358="Sell",($N358-IF($O358="",0,$O358))*$M358*100-$P358,IF($I358="Buy",(IF($O358="",0,$O358)-$N358)*$M358*100-$P358,""))))</f>
        <v/>
      </c>
      <c r="R358" s="11">
        <f>IF($A358="","",IF($C358="Open","",$Q358))</f>
        <v/>
      </c>
      <c r="S358" s="12">
        <f>IF($A358="","",IFS($B358="Covered Call","Covered Call Premium",$B358="Cash Secured Put","Cash Secured Put Premium",$B358="Long Call/Put","Long Call/Put P/L",$B358="Debit Spread","Long Call/Put P/L",$B358="Stock Sale","Stock Sales",TRUE,"Other"))</f>
        <v/>
      </c>
      <c r="T358" s="11">
        <f>IF($A358="","",IF($B358="Cash Secured Put",$K358*$M358*100,IF($B358="Covered Call",$K358*$M358*100,IF($H358="Stock",$M358*$N358,""))))</f>
        <v/>
      </c>
      <c r="U358" s="19">
        <f>IF(OR($A358="",$C358&lt;&gt;"Closed",$D358="",$E358="",$T358=0),"",$R358/$T358*365/MAX(1,$E358-$D358))</f>
        <v/>
      </c>
      <c r="V358" s="14" t="n"/>
      <c r="W358" s="12" t="n"/>
    </row>
    <row r="359">
      <c r="A359" s="12" t="n"/>
      <c r="B359" s="14" t="n"/>
      <c r="C359" s="14" t="n"/>
      <c r="D359" s="15" t="n"/>
      <c r="E359" s="15" t="n"/>
      <c r="F359" s="16">
        <f>IF($E359="","",DATE(YEAR($E359),MONTH($E359),1))</f>
        <v/>
      </c>
      <c r="G359" s="14" t="n"/>
      <c r="H359" s="14" t="n"/>
      <c r="I359" s="14" t="n"/>
      <c r="J359" s="14" t="n"/>
      <c r="K359" s="17" t="n"/>
      <c r="L359" s="15" t="n"/>
      <c r="M359" s="14" t="n"/>
      <c r="N359" s="17" t="n"/>
      <c r="O359" s="17" t="n"/>
      <c r="P359" s="18" t="n"/>
      <c r="Q359" s="11">
        <f>IF($A359="","",IF($H359="Stock",IF($I359="Buy",-$M359*$N359-$P359,IF($I359="Sell",IF($N359="", $M359*$O359-$P359,($O359-$N359)*$M359-$P359),"")),IF($I359="Sell",($N359-IF($O359="",0,$O359))*$M359*100-$P359,IF($I359="Buy",(IF($O359="",0,$O359)-$N359)*$M359*100-$P359,""))))</f>
        <v/>
      </c>
      <c r="R359" s="11">
        <f>IF($A359="","",IF($C359="Open","",$Q359))</f>
        <v/>
      </c>
      <c r="S359" s="12">
        <f>IF($A359="","",IFS($B359="Covered Call","Covered Call Premium",$B359="Cash Secured Put","Cash Secured Put Premium",$B359="Long Call/Put","Long Call/Put P/L",$B359="Debit Spread","Long Call/Put P/L",$B359="Stock Sale","Stock Sales",TRUE,"Other"))</f>
        <v/>
      </c>
      <c r="T359" s="11">
        <f>IF($A359="","",IF($B359="Cash Secured Put",$K359*$M359*100,IF($B359="Covered Call",$K359*$M359*100,IF($H359="Stock",$M359*$N359,""))))</f>
        <v/>
      </c>
      <c r="U359" s="19">
        <f>IF(OR($A359="",$C359&lt;&gt;"Closed",$D359="",$E359="",$T359=0),"",$R359/$T359*365/MAX(1,$E359-$D359))</f>
        <v/>
      </c>
      <c r="V359" s="14" t="n"/>
      <c r="W359" s="12" t="n"/>
    </row>
    <row r="360">
      <c r="A360" s="12" t="n"/>
      <c r="B360" s="14" t="n"/>
      <c r="C360" s="14" t="n"/>
      <c r="D360" s="15" t="n"/>
      <c r="E360" s="15" t="n"/>
      <c r="F360" s="16">
        <f>IF($E360="","",DATE(YEAR($E360),MONTH($E360),1))</f>
        <v/>
      </c>
      <c r="G360" s="14" t="n"/>
      <c r="H360" s="14" t="n"/>
      <c r="I360" s="14" t="n"/>
      <c r="J360" s="14" t="n"/>
      <c r="K360" s="17" t="n"/>
      <c r="L360" s="15" t="n"/>
      <c r="M360" s="14" t="n"/>
      <c r="N360" s="17" t="n"/>
      <c r="O360" s="17" t="n"/>
      <c r="P360" s="18" t="n"/>
      <c r="Q360" s="11">
        <f>IF($A360="","",IF($H360="Stock",IF($I360="Buy",-$M360*$N360-$P360,IF($I360="Sell",IF($N360="", $M360*$O360-$P360,($O360-$N360)*$M360-$P360),"")),IF($I360="Sell",($N360-IF($O360="",0,$O360))*$M360*100-$P360,IF($I360="Buy",(IF($O360="",0,$O360)-$N360)*$M360*100-$P360,""))))</f>
        <v/>
      </c>
      <c r="R360" s="11">
        <f>IF($A360="","",IF($C360="Open","",$Q360))</f>
        <v/>
      </c>
      <c r="S360" s="12">
        <f>IF($A360="","",IFS($B360="Covered Call","Covered Call Premium",$B360="Cash Secured Put","Cash Secured Put Premium",$B360="Long Call/Put","Long Call/Put P/L",$B360="Debit Spread","Long Call/Put P/L",$B360="Stock Sale","Stock Sales",TRUE,"Other"))</f>
        <v/>
      </c>
      <c r="T360" s="11">
        <f>IF($A360="","",IF($B360="Cash Secured Put",$K360*$M360*100,IF($B360="Covered Call",$K360*$M360*100,IF($H360="Stock",$M360*$N360,""))))</f>
        <v/>
      </c>
      <c r="U360" s="19">
        <f>IF(OR($A360="",$C360&lt;&gt;"Closed",$D360="",$E360="",$T360=0),"",$R360/$T360*365/MAX(1,$E360-$D360))</f>
        <v/>
      </c>
      <c r="V360" s="14" t="n"/>
      <c r="W360" s="12" t="n"/>
    </row>
    <row r="361">
      <c r="A361" s="12" t="n"/>
      <c r="B361" s="14" t="n"/>
      <c r="C361" s="14" t="n"/>
      <c r="D361" s="15" t="n"/>
      <c r="E361" s="15" t="n"/>
      <c r="F361" s="16">
        <f>IF($E361="","",DATE(YEAR($E361),MONTH($E361),1))</f>
        <v/>
      </c>
      <c r="G361" s="14" t="n"/>
      <c r="H361" s="14" t="n"/>
      <c r="I361" s="14" t="n"/>
      <c r="J361" s="14" t="n"/>
      <c r="K361" s="17" t="n"/>
      <c r="L361" s="15" t="n"/>
      <c r="M361" s="14" t="n"/>
      <c r="N361" s="17" t="n"/>
      <c r="O361" s="17" t="n"/>
      <c r="P361" s="18" t="n"/>
      <c r="Q361" s="11">
        <f>IF($A361="","",IF($H361="Stock",IF($I361="Buy",-$M361*$N361-$P361,IF($I361="Sell",IF($N361="", $M361*$O361-$P361,($O361-$N361)*$M361-$P361),"")),IF($I361="Sell",($N361-IF($O361="",0,$O361))*$M361*100-$P361,IF($I361="Buy",(IF($O361="",0,$O361)-$N361)*$M361*100-$P361,""))))</f>
        <v/>
      </c>
      <c r="R361" s="11">
        <f>IF($A361="","",IF($C361="Open","",$Q361))</f>
        <v/>
      </c>
      <c r="S361" s="12">
        <f>IF($A361="","",IFS($B361="Covered Call","Covered Call Premium",$B361="Cash Secured Put","Cash Secured Put Premium",$B361="Long Call/Put","Long Call/Put P/L",$B361="Debit Spread","Long Call/Put P/L",$B361="Stock Sale","Stock Sales",TRUE,"Other"))</f>
        <v/>
      </c>
      <c r="T361" s="11">
        <f>IF($A361="","",IF($B361="Cash Secured Put",$K361*$M361*100,IF($B361="Covered Call",$K361*$M361*100,IF($H361="Stock",$M361*$N361,""))))</f>
        <v/>
      </c>
      <c r="U361" s="19">
        <f>IF(OR($A361="",$C361&lt;&gt;"Closed",$D361="",$E361="",$T361=0),"",$R361/$T361*365/MAX(1,$E361-$D361))</f>
        <v/>
      </c>
      <c r="V361" s="14" t="n"/>
      <c r="W361" s="12" t="n"/>
    </row>
    <row r="362">
      <c r="A362" s="12" t="n"/>
      <c r="B362" s="14" t="n"/>
      <c r="C362" s="14" t="n"/>
      <c r="D362" s="15" t="n"/>
      <c r="E362" s="15" t="n"/>
      <c r="F362" s="16">
        <f>IF($E362="","",DATE(YEAR($E362),MONTH($E362),1))</f>
        <v/>
      </c>
      <c r="G362" s="14" t="n"/>
      <c r="H362" s="14" t="n"/>
      <c r="I362" s="14" t="n"/>
      <c r="J362" s="14" t="n"/>
      <c r="K362" s="17" t="n"/>
      <c r="L362" s="15" t="n"/>
      <c r="M362" s="14" t="n"/>
      <c r="N362" s="17" t="n"/>
      <c r="O362" s="17" t="n"/>
      <c r="P362" s="18" t="n"/>
      <c r="Q362" s="11">
        <f>IF($A362="","",IF($H362="Stock",IF($I362="Buy",-$M362*$N362-$P362,IF($I362="Sell",IF($N362="", $M362*$O362-$P362,($O362-$N362)*$M362-$P362),"")),IF($I362="Sell",($N362-IF($O362="",0,$O362))*$M362*100-$P362,IF($I362="Buy",(IF($O362="",0,$O362)-$N362)*$M362*100-$P362,""))))</f>
        <v/>
      </c>
      <c r="R362" s="11">
        <f>IF($A362="","",IF($C362="Open","",$Q362))</f>
        <v/>
      </c>
      <c r="S362" s="12">
        <f>IF($A362="","",IFS($B362="Covered Call","Covered Call Premium",$B362="Cash Secured Put","Cash Secured Put Premium",$B362="Long Call/Put","Long Call/Put P/L",$B362="Debit Spread","Long Call/Put P/L",$B362="Stock Sale","Stock Sales",TRUE,"Other"))</f>
        <v/>
      </c>
      <c r="T362" s="11">
        <f>IF($A362="","",IF($B362="Cash Secured Put",$K362*$M362*100,IF($B362="Covered Call",$K362*$M362*100,IF($H362="Stock",$M362*$N362,""))))</f>
        <v/>
      </c>
      <c r="U362" s="19">
        <f>IF(OR($A362="",$C362&lt;&gt;"Closed",$D362="",$E362="",$T362=0),"",$R362/$T362*365/MAX(1,$E362-$D362))</f>
        <v/>
      </c>
      <c r="V362" s="14" t="n"/>
      <c r="W362" s="12" t="n"/>
    </row>
    <row r="363">
      <c r="A363" s="12" t="n"/>
      <c r="B363" s="14" t="n"/>
      <c r="C363" s="14" t="n"/>
      <c r="D363" s="15" t="n"/>
      <c r="E363" s="15" t="n"/>
      <c r="F363" s="16">
        <f>IF($E363="","",DATE(YEAR($E363),MONTH($E363),1))</f>
        <v/>
      </c>
      <c r="G363" s="14" t="n"/>
      <c r="H363" s="14" t="n"/>
      <c r="I363" s="14" t="n"/>
      <c r="J363" s="14" t="n"/>
      <c r="K363" s="17" t="n"/>
      <c r="L363" s="15" t="n"/>
      <c r="M363" s="14" t="n"/>
      <c r="N363" s="17" t="n"/>
      <c r="O363" s="17" t="n"/>
      <c r="P363" s="18" t="n"/>
      <c r="Q363" s="11">
        <f>IF($A363="","",IF($H363="Stock",IF($I363="Buy",-$M363*$N363-$P363,IF($I363="Sell",IF($N363="", $M363*$O363-$P363,($O363-$N363)*$M363-$P363),"")),IF($I363="Sell",($N363-IF($O363="",0,$O363))*$M363*100-$P363,IF($I363="Buy",(IF($O363="",0,$O363)-$N363)*$M363*100-$P363,""))))</f>
        <v/>
      </c>
      <c r="R363" s="11">
        <f>IF($A363="","",IF($C363="Open","",$Q363))</f>
        <v/>
      </c>
      <c r="S363" s="12">
        <f>IF($A363="","",IFS($B363="Covered Call","Covered Call Premium",$B363="Cash Secured Put","Cash Secured Put Premium",$B363="Long Call/Put","Long Call/Put P/L",$B363="Debit Spread","Long Call/Put P/L",$B363="Stock Sale","Stock Sales",TRUE,"Other"))</f>
        <v/>
      </c>
      <c r="T363" s="11">
        <f>IF($A363="","",IF($B363="Cash Secured Put",$K363*$M363*100,IF($B363="Covered Call",$K363*$M363*100,IF($H363="Stock",$M363*$N363,""))))</f>
        <v/>
      </c>
      <c r="U363" s="19">
        <f>IF(OR($A363="",$C363&lt;&gt;"Closed",$D363="",$E363="",$T363=0),"",$R363/$T363*365/MAX(1,$E363-$D363))</f>
        <v/>
      </c>
      <c r="V363" s="14" t="n"/>
      <c r="W363" s="12" t="n"/>
    </row>
    <row r="364">
      <c r="A364" s="12" t="n"/>
      <c r="B364" s="14" t="n"/>
      <c r="C364" s="14" t="n"/>
      <c r="D364" s="15" t="n"/>
      <c r="E364" s="15" t="n"/>
      <c r="F364" s="16">
        <f>IF($E364="","",DATE(YEAR($E364),MONTH($E364),1))</f>
        <v/>
      </c>
      <c r="G364" s="14" t="n"/>
      <c r="H364" s="14" t="n"/>
      <c r="I364" s="14" t="n"/>
      <c r="J364" s="14" t="n"/>
      <c r="K364" s="17" t="n"/>
      <c r="L364" s="15" t="n"/>
      <c r="M364" s="14" t="n"/>
      <c r="N364" s="17" t="n"/>
      <c r="O364" s="17" t="n"/>
      <c r="P364" s="18" t="n"/>
      <c r="Q364" s="11">
        <f>IF($A364="","",IF($H364="Stock",IF($I364="Buy",-$M364*$N364-$P364,IF($I364="Sell",IF($N364="", $M364*$O364-$P364,($O364-$N364)*$M364-$P364),"")),IF($I364="Sell",($N364-IF($O364="",0,$O364))*$M364*100-$P364,IF($I364="Buy",(IF($O364="",0,$O364)-$N364)*$M364*100-$P364,""))))</f>
        <v/>
      </c>
      <c r="R364" s="11">
        <f>IF($A364="","",IF($C364="Open","",$Q364))</f>
        <v/>
      </c>
      <c r="S364" s="12">
        <f>IF($A364="","",IFS($B364="Covered Call","Covered Call Premium",$B364="Cash Secured Put","Cash Secured Put Premium",$B364="Long Call/Put","Long Call/Put P/L",$B364="Debit Spread","Long Call/Put P/L",$B364="Stock Sale","Stock Sales",TRUE,"Other"))</f>
        <v/>
      </c>
      <c r="T364" s="11">
        <f>IF($A364="","",IF($B364="Cash Secured Put",$K364*$M364*100,IF($B364="Covered Call",$K364*$M364*100,IF($H364="Stock",$M364*$N364,""))))</f>
        <v/>
      </c>
      <c r="U364" s="19">
        <f>IF(OR($A364="",$C364&lt;&gt;"Closed",$D364="",$E364="",$T364=0),"",$R364/$T364*365/MAX(1,$E364-$D364))</f>
        <v/>
      </c>
      <c r="V364" s="14" t="n"/>
      <c r="W364" s="12" t="n"/>
    </row>
    <row r="365">
      <c r="A365" s="12" t="n"/>
      <c r="B365" s="14" t="n"/>
      <c r="C365" s="14" t="n"/>
      <c r="D365" s="15" t="n"/>
      <c r="E365" s="15" t="n"/>
      <c r="F365" s="16">
        <f>IF($E365="","",DATE(YEAR($E365),MONTH($E365),1))</f>
        <v/>
      </c>
      <c r="G365" s="14" t="n"/>
      <c r="H365" s="14" t="n"/>
      <c r="I365" s="14" t="n"/>
      <c r="J365" s="14" t="n"/>
      <c r="K365" s="17" t="n"/>
      <c r="L365" s="15" t="n"/>
      <c r="M365" s="14" t="n"/>
      <c r="N365" s="17" t="n"/>
      <c r="O365" s="17" t="n"/>
      <c r="P365" s="18" t="n"/>
      <c r="Q365" s="11">
        <f>IF($A365="","",IF($H365="Stock",IF($I365="Buy",-$M365*$N365-$P365,IF($I365="Sell",IF($N365="", $M365*$O365-$P365,($O365-$N365)*$M365-$P365),"")),IF($I365="Sell",($N365-IF($O365="",0,$O365))*$M365*100-$P365,IF($I365="Buy",(IF($O365="",0,$O365)-$N365)*$M365*100-$P365,""))))</f>
        <v/>
      </c>
      <c r="R365" s="11">
        <f>IF($A365="","",IF($C365="Open","",$Q365))</f>
        <v/>
      </c>
      <c r="S365" s="12">
        <f>IF($A365="","",IFS($B365="Covered Call","Covered Call Premium",$B365="Cash Secured Put","Cash Secured Put Premium",$B365="Long Call/Put","Long Call/Put P/L",$B365="Debit Spread","Long Call/Put P/L",$B365="Stock Sale","Stock Sales",TRUE,"Other"))</f>
        <v/>
      </c>
      <c r="T365" s="11">
        <f>IF($A365="","",IF($B365="Cash Secured Put",$K365*$M365*100,IF($B365="Covered Call",$K365*$M365*100,IF($H365="Stock",$M365*$N365,""))))</f>
        <v/>
      </c>
      <c r="U365" s="19">
        <f>IF(OR($A365="",$C365&lt;&gt;"Closed",$D365="",$E365="",$T365=0),"",$R365/$T365*365/MAX(1,$E365-$D365))</f>
        <v/>
      </c>
      <c r="V365" s="14" t="n"/>
      <c r="W365" s="12" t="n"/>
    </row>
    <row r="366">
      <c r="A366" s="12" t="n"/>
      <c r="B366" s="14" t="n"/>
      <c r="C366" s="14" t="n"/>
      <c r="D366" s="15" t="n"/>
      <c r="E366" s="15" t="n"/>
      <c r="F366" s="16">
        <f>IF($E366="","",DATE(YEAR($E366),MONTH($E366),1))</f>
        <v/>
      </c>
      <c r="G366" s="14" t="n"/>
      <c r="H366" s="14" t="n"/>
      <c r="I366" s="14" t="n"/>
      <c r="J366" s="14" t="n"/>
      <c r="K366" s="17" t="n"/>
      <c r="L366" s="15" t="n"/>
      <c r="M366" s="14" t="n"/>
      <c r="N366" s="17" t="n"/>
      <c r="O366" s="17" t="n"/>
      <c r="P366" s="18" t="n"/>
      <c r="Q366" s="11">
        <f>IF($A366="","",IF($H366="Stock",IF($I366="Buy",-$M366*$N366-$P366,IF($I366="Sell",IF($N366="", $M366*$O366-$P366,($O366-$N366)*$M366-$P366),"")),IF($I366="Sell",($N366-IF($O366="",0,$O366))*$M366*100-$P366,IF($I366="Buy",(IF($O366="",0,$O366)-$N366)*$M366*100-$P366,""))))</f>
        <v/>
      </c>
      <c r="R366" s="11">
        <f>IF($A366="","",IF($C366="Open","",$Q366))</f>
        <v/>
      </c>
      <c r="S366" s="12">
        <f>IF($A366="","",IFS($B366="Covered Call","Covered Call Premium",$B366="Cash Secured Put","Cash Secured Put Premium",$B366="Long Call/Put","Long Call/Put P/L",$B366="Debit Spread","Long Call/Put P/L",$B366="Stock Sale","Stock Sales",TRUE,"Other"))</f>
        <v/>
      </c>
      <c r="T366" s="11">
        <f>IF($A366="","",IF($B366="Cash Secured Put",$K366*$M366*100,IF($B366="Covered Call",$K366*$M366*100,IF($H366="Stock",$M366*$N366,""))))</f>
        <v/>
      </c>
      <c r="U366" s="19">
        <f>IF(OR($A366="",$C366&lt;&gt;"Closed",$D366="",$E366="",$T366=0),"",$R366/$T366*365/MAX(1,$E366-$D366))</f>
        <v/>
      </c>
      <c r="V366" s="14" t="n"/>
      <c r="W366" s="12" t="n"/>
    </row>
    <row r="367">
      <c r="A367" s="12" t="n"/>
      <c r="B367" s="14" t="n"/>
      <c r="C367" s="14" t="n"/>
      <c r="D367" s="15" t="n"/>
      <c r="E367" s="15" t="n"/>
      <c r="F367" s="16">
        <f>IF($E367="","",DATE(YEAR($E367),MONTH($E367),1))</f>
        <v/>
      </c>
      <c r="G367" s="14" t="n"/>
      <c r="H367" s="14" t="n"/>
      <c r="I367" s="14" t="n"/>
      <c r="J367" s="14" t="n"/>
      <c r="K367" s="17" t="n"/>
      <c r="L367" s="15" t="n"/>
      <c r="M367" s="14" t="n"/>
      <c r="N367" s="17" t="n"/>
      <c r="O367" s="17" t="n"/>
      <c r="P367" s="18" t="n"/>
      <c r="Q367" s="11">
        <f>IF($A367="","",IF($H367="Stock",IF($I367="Buy",-$M367*$N367-$P367,IF($I367="Sell",IF($N367="", $M367*$O367-$P367,($O367-$N367)*$M367-$P367),"")),IF($I367="Sell",($N367-IF($O367="",0,$O367))*$M367*100-$P367,IF($I367="Buy",(IF($O367="",0,$O367)-$N367)*$M367*100-$P367,""))))</f>
        <v/>
      </c>
      <c r="R367" s="11">
        <f>IF($A367="","",IF($C367="Open","",$Q367))</f>
        <v/>
      </c>
      <c r="S367" s="12">
        <f>IF($A367="","",IFS($B367="Covered Call","Covered Call Premium",$B367="Cash Secured Put","Cash Secured Put Premium",$B367="Long Call/Put","Long Call/Put P/L",$B367="Debit Spread","Long Call/Put P/L",$B367="Stock Sale","Stock Sales",TRUE,"Other"))</f>
        <v/>
      </c>
      <c r="T367" s="11">
        <f>IF($A367="","",IF($B367="Cash Secured Put",$K367*$M367*100,IF($B367="Covered Call",$K367*$M367*100,IF($H367="Stock",$M367*$N367,""))))</f>
        <v/>
      </c>
      <c r="U367" s="19">
        <f>IF(OR($A367="",$C367&lt;&gt;"Closed",$D367="",$E367="",$T367=0),"",$R367/$T367*365/MAX(1,$E367-$D367))</f>
        <v/>
      </c>
      <c r="V367" s="14" t="n"/>
      <c r="W367" s="12" t="n"/>
    </row>
    <row r="368">
      <c r="A368" s="12" t="n"/>
      <c r="B368" s="14" t="n"/>
      <c r="C368" s="14" t="n"/>
      <c r="D368" s="15" t="n"/>
      <c r="E368" s="15" t="n"/>
      <c r="F368" s="16">
        <f>IF($E368="","",DATE(YEAR($E368),MONTH($E368),1))</f>
        <v/>
      </c>
      <c r="G368" s="14" t="n"/>
      <c r="H368" s="14" t="n"/>
      <c r="I368" s="14" t="n"/>
      <c r="J368" s="14" t="n"/>
      <c r="K368" s="17" t="n"/>
      <c r="L368" s="15" t="n"/>
      <c r="M368" s="14" t="n"/>
      <c r="N368" s="17" t="n"/>
      <c r="O368" s="17" t="n"/>
      <c r="P368" s="18" t="n"/>
      <c r="Q368" s="11">
        <f>IF($A368="","",IF($H368="Stock",IF($I368="Buy",-$M368*$N368-$P368,IF($I368="Sell",IF($N368="", $M368*$O368-$P368,($O368-$N368)*$M368-$P368),"")),IF($I368="Sell",($N368-IF($O368="",0,$O368))*$M368*100-$P368,IF($I368="Buy",(IF($O368="",0,$O368)-$N368)*$M368*100-$P368,""))))</f>
        <v/>
      </c>
      <c r="R368" s="11">
        <f>IF($A368="","",IF($C368="Open","",$Q368))</f>
        <v/>
      </c>
      <c r="S368" s="12">
        <f>IF($A368="","",IFS($B368="Covered Call","Covered Call Premium",$B368="Cash Secured Put","Cash Secured Put Premium",$B368="Long Call/Put","Long Call/Put P/L",$B368="Debit Spread","Long Call/Put P/L",$B368="Stock Sale","Stock Sales",TRUE,"Other"))</f>
        <v/>
      </c>
      <c r="T368" s="11">
        <f>IF($A368="","",IF($B368="Cash Secured Put",$K368*$M368*100,IF($B368="Covered Call",$K368*$M368*100,IF($H368="Stock",$M368*$N368,""))))</f>
        <v/>
      </c>
      <c r="U368" s="19">
        <f>IF(OR($A368="",$C368&lt;&gt;"Closed",$D368="",$E368="",$T368=0),"",$R368/$T368*365/MAX(1,$E368-$D368))</f>
        <v/>
      </c>
      <c r="V368" s="14" t="n"/>
      <c r="W368" s="12" t="n"/>
    </row>
    <row r="369">
      <c r="A369" s="12" t="n"/>
      <c r="B369" s="14" t="n"/>
      <c r="C369" s="14" t="n"/>
      <c r="D369" s="15" t="n"/>
      <c r="E369" s="15" t="n"/>
      <c r="F369" s="16">
        <f>IF($E369="","",DATE(YEAR($E369),MONTH($E369),1))</f>
        <v/>
      </c>
      <c r="G369" s="14" t="n"/>
      <c r="H369" s="14" t="n"/>
      <c r="I369" s="14" t="n"/>
      <c r="J369" s="14" t="n"/>
      <c r="K369" s="17" t="n"/>
      <c r="L369" s="15" t="n"/>
      <c r="M369" s="14" t="n"/>
      <c r="N369" s="17" t="n"/>
      <c r="O369" s="17" t="n"/>
      <c r="P369" s="18" t="n"/>
      <c r="Q369" s="11">
        <f>IF($A369="","",IF($H369="Stock",IF($I369="Buy",-$M369*$N369-$P369,IF($I369="Sell",IF($N369="", $M369*$O369-$P369,($O369-$N369)*$M369-$P369),"")),IF($I369="Sell",($N369-IF($O369="",0,$O369))*$M369*100-$P369,IF($I369="Buy",(IF($O369="",0,$O369)-$N369)*$M369*100-$P369,""))))</f>
        <v/>
      </c>
      <c r="R369" s="11">
        <f>IF($A369="","",IF($C369="Open","",$Q369))</f>
        <v/>
      </c>
      <c r="S369" s="12">
        <f>IF($A369="","",IFS($B369="Covered Call","Covered Call Premium",$B369="Cash Secured Put","Cash Secured Put Premium",$B369="Long Call/Put","Long Call/Put P/L",$B369="Debit Spread","Long Call/Put P/L",$B369="Stock Sale","Stock Sales",TRUE,"Other"))</f>
        <v/>
      </c>
      <c r="T369" s="11">
        <f>IF($A369="","",IF($B369="Cash Secured Put",$K369*$M369*100,IF($B369="Covered Call",$K369*$M369*100,IF($H369="Stock",$M369*$N369,""))))</f>
        <v/>
      </c>
      <c r="U369" s="19">
        <f>IF(OR($A369="",$C369&lt;&gt;"Closed",$D369="",$E369="",$T369=0),"",$R369/$T369*365/MAX(1,$E369-$D369))</f>
        <v/>
      </c>
      <c r="V369" s="14" t="n"/>
      <c r="W369" s="12" t="n"/>
    </row>
    <row r="370">
      <c r="A370" s="12" t="n"/>
      <c r="B370" s="14" t="n"/>
      <c r="C370" s="14" t="n"/>
      <c r="D370" s="15" t="n"/>
      <c r="E370" s="15" t="n"/>
      <c r="F370" s="16">
        <f>IF($E370="","",DATE(YEAR($E370),MONTH($E370),1))</f>
        <v/>
      </c>
      <c r="G370" s="14" t="n"/>
      <c r="H370" s="14" t="n"/>
      <c r="I370" s="14" t="n"/>
      <c r="J370" s="14" t="n"/>
      <c r="K370" s="17" t="n"/>
      <c r="L370" s="15" t="n"/>
      <c r="M370" s="14" t="n"/>
      <c r="N370" s="17" t="n"/>
      <c r="O370" s="17" t="n"/>
      <c r="P370" s="18" t="n"/>
      <c r="Q370" s="11">
        <f>IF($A370="","",IF($H370="Stock",IF($I370="Buy",-$M370*$N370-$P370,IF($I370="Sell",IF($N370="", $M370*$O370-$P370,($O370-$N370)*$M370-$P370),"")),IF($I370="Sell",($N370-IF($O370="",0,$O370))*$M370*100-$P370,IF($I370="Buy",(IF($O370="",0,$O370)-$N370)*$M370*100-$P370,""))))</f>
        <v/>
      </c>
      <c r="R370" s="11">
        <f>IF($A370="","",IF($C370="Open","",$Q370))</f>
        <v/>
      </c>
      <c r="S370" s="12">
        <f>IF($A370="","",IFS($B370="Covered Call","Covered Call Premium",$B370="Cash Secured Put","Cash Secured Put Premium",$B370="Long Call/Put","Long Call/Put P/L",$B370="Debit Spread","Long Call/Put P/L",$B370="Stock Sale","Stock Sales",TRUE,"Other"))</f>
        <v/>
      </c>
      <c r="T370" s="11">
        <f>IF($A370="","",IF($B370="Cash Secured Put",$K370*$M370*100,IF($B370="Covered Call",$K370*$M370*100,IF($H370="Stock",$M370*$N370,""))))</f>
        <v/>
      </c>
      <c r="U370" s="19">
        <f>IF(OR($A370="",$C370&lt;&gt;"Closed",$D370="",$E370="",$T370=0),"",$R370/$T370*365/MAX(1,$E370-$D370))</f>
        <v/>
      </c>
      <c r="V370" s="14" t="n"/>
      <c r="W370" s="12" t="n"/>
    </row>
    <row r="371">
      <c r="A371" s="12" t="n"/>
      <c r="B371" s="14" t="n"/>
      <c r="C371" s="14" t="n"/>
      <c r="D371" s="15" t="n"/>
      <c r="E371" s="15" t="n"/>
      <c r="F371" s="16">
        <f>IF($E371="","",DATE(YEAR($E371),MONTH($E371),1))</f>
        <v/>
      </c>
      <c r="G371" s="14" t="n"/>
      <c r="H371" s="14" t="n"/>
      <c r="I371" s="14" t="n"/>
      <c r="J371" s="14" t="n"/>
      <c r="K371" s="17" t="n"/>
      <c r="L371" s="15" t="n"/>
      <c r="M371" s="14" t="n"/>
      <c r="N371" s="17" t="n"/>
      <c r="O371" s="17" t="n"/>
      <c r="P371" s="18" t="n"/>
      <c r="Q371" s="11">
        <f>IF($A371="","",IF($H371="Stock",IF($I371="Buy",-$M371*$N371-$P371,IF($I371="Sell",IF($N371="", $M371*$O371-$P371,($O371-$N371)*$M371-$P371),"")),IF($I371="Sell",($N371-IF($O371="",0,$O371))*$M371*100-$P371,IF($I371="Buy",(IF($O371="",0,$O371)-$N371)*$M371*100-$P371,""))))</f>
        <v/>
      </c>
      <c r="R371" s="11">
        <f>IF($A371="","",IF($C371="Open","",$Q371))</f>
        <v/>
      </c>
      <c r="S371" s="12">
        <f>IF($A371="","",IFS($B371="Covered Call","Covered Call Premium",$B371="Cash Secured Put","Cash Secured Put Premium",$B371="Long Call/Put","Long Call/Put P/L",$B371="Debit Spread","Long Call/Put P/L",$B371="Stock Sale","Stock Sales",TRUE,"Other"))</f>
        <v/>
      </c>
      <c r="T371" s="11">
        <f>IF($A371="","",IF($B371="Cash Secured Put",$K371*$M371*100,IF($B371="Covered Call",$K371*$M371*100,IF($H371="Stock",$M371*$N371,""))))</f>
        <v/>
      </c>
      <c r="U371" s="19">
        <f>IF(OR($A371="",$C371&lt;&gt;"Closed",$D371="",$E371="",$T371=0),"",$R371/$T371*365/MAX(1,$E371-$D371))</f>
        <v/>
      </c>
      <c r="V371" s="14" t="n"/>
      <c r="W371" s="12" t="n"/>
    </row>
    <row r="372">
      <c r="A372" s="12" t="n"/>
      <c r="B372" s="14" t="n"/>
      <c r="C372" s="14" t="n"/>
      <c r="D372" s="15" t="n"/>
      <c r="E372" s="15" t="n"/>
      <c r="F372" s="16">
        <f>IF($E372="","",DATE(YEAR($E372),MONTH($E372),1))</f>
        <v/>
      </c>
      <c r="G372" s="14" t="n"/>
      <c r="H372" s="14" t="n"/>
      <c r="I372" s="14" t="n"/>
      <c r="J372" s="14" t="n"/>
      <c r="K372" s="17" t="n"/>
      <c r="L372" s="15" t="n"/>
      <c r="M372" s="14" t="n"/>
      <c r="N372" s="17" t="n"/>
      <c r="O372" s="17" t="n"/>
      <c r="P372" s="18" t="n"/>
      <c r="Q372" s="11">
        <f>IF($A372="","",IF($H372="Stock",IF($I372="Buy",-$M372*$N372-$P372,IF($I372="Sell",IF($N372="", $M372*$O372-$P372,($O372-$N372)*$M372-$P372),"")),IF($I372="Sell",($N372-IF($O372="",0,$O372))*$M372*100-$P372,IF($I372="Buy",(IF($O372="",0,$O372)-$N372)*$M372*100-$P372,""))))</f>
        <v/>
      </c>
      <c r="R372" s="11">
        <f>IF($A372="","",IF($C372="Open","",$Q372))</f>
        <v/>
      </c>
      <c r="S372" s="12">
        <f>IF($A372="","",IFS($B372="Covered Call","Covered Call Premium",$B372="Cash Secured Put","Cash Secured Put Premium",$B372="Long Call/Put","Long Call/Put P/L",$B372="Debit Spread","Long Call/Put P/L",$B372="Stock Sale","Stock Sales",TRUE,"Other"))</f>
        <v/>
      </c>
      <c r="T372" s="11">
        <f>IF($A372="","",IF($B372="Cash Secured Put",$K372*$M372*100,IF($B372="Covered Call",$K372*$M372*100,IF($H372="Stock",$M372*$N372,""))))</f>
        <v/>
      </c>
      <c r="U372" s="19">
        <f>IF(OR($A372="",$C372&lt;&gt;"Closed",$D372="",$E372="",$T372=0),"",$R372/$T372*365/MAX(1,$E372-$D372))</f>
        <v/>
      </c>
      <c r="V372" s="14" t="n"/>
      <c r="W372" s="12" t="n"/>
    </row>
    <row r="373">
      <c r="A373" s="12" t="n"/>
      <c r="B373" s="14" t="n"/>
      <c r="C373" s="14" t="n"/>
      <c r="D373" s="15" t="n"/>
      <c r="E373" s="15" t="n"/>
      <c r="F373" s="16">
        <f>IF($E373="","",DATE(YEAR($E373),MONTH($E373),1))</f>
        <v/>
      </c>
      <c r="G373" s="14" t="n"/>
      <c r="H373" s="14" t="n"/>
      <c r="I373" s="14" t="n"/>
      <c r="J373" s="14" t="n"/>
      <c r="K373" s="17" t="n"/>
      <c r="L373" s="15" t="n"/>
      <c r="M373" s="14" t="n"/>
      <c r="N373" s="17" t="n"/>
      <c r="O373" s="17" t="n"/>
      <c r="P373" s="18" t="n"/>
      <c r="Q373" s="11">
        <f>IF($A373="","",IF($H373="Stock",IF($I373="Buy",-$M373*$N373-$P373,IF($I373="Sell",IF($N373="", $M373*$O373-$P373,($O373-$N373)*$M373-$P373),"")),IF($I373="Sell",($N373-IF($O373="",0,$O373))*$M373*100-$P373,IF($I373="Buy",(IF($O373="",0,$O373)-$N373)*$M373*100-$P373,""))))</f>
        <v/>
      </c>
      <c r="R373" s="11">
        <f>IF($A373="","",IF($C373="Open","",$Q373))</f>
        <v/>
      </c>
      <c r="S373" s="12">
        <f>IF($A373="","",IFS($B373="Covered Call","Covered Call Premium",$B373="Cash Secured Put","Cash Secured Put Premium",$B373="Long Call/Put","Long Call/Put P/L",$B373="Debit Spread","Long Call/Put P/L",$B373="Stock Sale","Stock Sales",TRUE,"Other"))</f>
        <v/>
      </c>
      <c r="T373" s="11">
        <f>IF($A373="","",IF($B373="Cash Secured Put",$K373*$M373*100,IF($B373="Covered Call",$K373*$M373*100,IF($H373="Stock",$M373*$N373,""))))</f>
        <v/>
      </c>
      <c r="U373" s="19">
        <f>IF(OR($A373="",$C373&lt;&gt;"Closed",$D373="",$E373="",$T373=0),"",$R373/$T373*365/MAX(1,$E373-$D373))</f>
        <v/>
      </c>
      <c r="V373" s="14" t="n"/>
      <c r="W373" s="12" t="n"/>
    </row>
    <row r="374">
      <c r="A374" s="12" t="n"/>
      <c r="B374" s="14" t="n"/>
      <c r="C374" s="14" t="n"/>
      <c r="D374" s="15" t="n"/>
      <c r="E374" s="15" t="n"/>
      <c r="F374" s="16">
        <f>IF($E374="","",DATE(YEAR($E374),MONTH($E374),1))</f>
        <v/>
      </c>
      <c r="G374" s="14" t="n"/>
      <c r="H374" s="14" t="n"/>
      <c r="I374" s="14" t="n"/>
      <c r="J374" s="14" t="n"/>
      <c r="K374" s="17" t="n"/>
      <c r="L374" s="15" t="n"/>
      <c r="M374" s="14" t="n"/>
      <c r="N374" s="17" t="n"/>
      <c r="O374" s="17" t="n"/>
      <c r="P374" s="18" t="n"/>
      <c r="Q374" s="11">
        <f>IF($A374="","",IF($H374="Stock",IF($I374="Buy",-$M374*$N374-$P374,IF($I374="Sell",IF($N374="", $M374*$O374-$P374,($O374-$N374)*$M374-$P374),"")),IF($I374="Sell",($N374-IF($O374="",0,$O374))*$M374*100-$P374,IF($I374="Buy",(IF($O374="",0,$O374)-$N374)*$M374*100-$P374,""))))</f>
        <v/>
      </c>
      <c r="R374" s="11">
        <f>IF($A374="","",IF($C374="Open","",$Q374))</f>
        <v/>
      </c>
      <c r="S374" s="12">
        <f>IF($A374="","",IFS($B374="Covered Call","Covered Call Premium",$B374="Cash Secured Put","Cash Secured Put Premium",$B374="Long Call/Put","Long Call/Put P/L",$B374="Debit Spread","Long Call/Put P/L",$B374="Stock Sale","Stock Sales",TRUE,"Other"))</f>
        <v/>
      </c>
      <c r="T374" s="11">
        <f>IF($A374="","",IF($B374="Cash Secured Put",$K374*$M374*100,IF($B374="Covered Call",$K374*$M374*100,IF($H374="Stock",$M374*$N374,""))))</f>
        <v/>
      </c>
      <c r="U374" s="19">
        <f>IF(OR($A374="",$C374&lt;&gt;"Closed",$D374="",$E374="",$T374=0),"",$R374/$T374*365/MAX(1,$E374-$D374))</f>
        <v/>
      </c>
      <c r="V374" s="14" t="n"/>
      <c r="W374" s="12" t="n"/>
    </row>
    <row r="375">
      <c r="A375" s="12" t="n"/>
      <c r="B375" s="14" t="n"/>
      <c r="C375" s="14" t="n"/>
      <c r="D375" s="15" t="n"/>
      <c r="E375" s="15" t="n"/>
      <c r="F375" s="16">
        <f>IF($E375="","",DATE(YEAR($E375),MONTH($E375),1))</f>
        <v/>
      </c>
      <c r="G375" s="14" t="n"/>
      <c r="H375" s="14" t="n"/>
      <c r="I375" s="14" t="n"/>
      <c r="J375" s="14" t="n"/>
      <c r="K375" s="17" t="n"/>
      <c r="L375" s="15" t="n"/>
      <c r="M375" s="14" t="n"/>
      <c r="N375" s="17" t="n"/>
      <c r="O375" s="17" t="n"/>
      <c r="P375" s="18" t="n"/>
      <c r="Q375" s="11">
        <f>IF($A375="","",IF($H375="Stock",IF($I375="Buy",-$M375*$N375-$P375,IF($I375="Sell",IF($N375="", $M375*$O375-$P375,($O375-$N375)*$M375-$P375),"")),IF($I375="Sell",($N375-IF($O375="",0,$O375))*$M375*100-$P375,IF($I375="Buy",(IF($O375="",0,$O375)-$N375)*$M375*100-$P375,""))))</f>
        <v/>
      </c>
      <c r="R375" s="11">
        <f>IF($A375="","",IF($C375="Open","",$Q375))</f>
        <v/>
      </c>
      <c r="S375" s="12">
        <f>IF($A375="","",IFS($B375="Covered Call","Covered Call Premium",$B375="Cash Secured Put","Cash Secured Put Premium",$B375="Long Call/Put","Long Call/Put P/L",$B375="Debit Spread","Long Call/Put P/L",$B375="Stock Sale","Stock Sales",TRUE,"Other"))</f>
        <v/>
      </c>
      <c r="T375" s="11">
        <f>IF($A375="","",IF($B375="Cash Secured Put",$K375*$M375*100,IF($B375="Covered Call",$K375*$M375*100,IF($H375="Stock",$M375*$N375,""))))</f>
        <v/>
      </c>
      <c r="U375" s="19">
        <f>IF(OR($A375="",$C375&lt;&gt;"Closed",$D375="",$E375="",$T375=0),"",$R375/$T375*365/MAX(1,$E375-$D375))</f>
        <v/>
      </c>
      <c r="V375" s="14" t="n"/>
      <c r="W375" s="12" t="n"/>
    </row>
    <row r="376">
      <c r="A376" s="12" t="n"/>
      <c r="B376" s="14" t="n"/>
      <c r="C376" s="14" t="n"/>
      <c r="D376" s="15" t="n"/>
      <c r="E376" s="15" t="n"/>
      <c r="F376" s="16">
        <f>IF($E376="","",DATE(YEAR($E376),MONTH($E376),1))</f>
        <v/>
      </c>
      <c r="G376" s="14" t="n"/>
      <c r="H376" s="14" t="n"/>
      <c r="I376" s="14" t="n"/>
      <c r="J376" s="14" t="n"/>
      <c r="K376" s="17" t="n"/>
      <c r="L376" s="15" t="n"/>
      <c r="M376" s="14" t="n"/>
      <c r="N376" s="17" t="n"/>
      <c r="O376" s="17" t="n"/>
      <c r="P376" s="18" t="n"/>
      <c r="Q376" s="11">
        <f>IF($A376="","",IF($H376="Stock",IF($I376="Buy",-$M376*$N376-$P376,IF($I376="Sell",IF($N376="", $M376*$O376-$P376,($O376-$N376)*$M376-$P376),"")),IF($I376="Sell",($N376-IF($O376="",0,$O376))*$M376*100-$P376,IF($I376="Buy",(IF($O376="",0,$O376)-$N376)*$M376*100-$P376,""))))</f>
        <v/>
      </c>
      <c r="R376" s="11">
        <f>IF($A376="","",IF($C376="Open","",$Q376))</f>
        <v/>
      </c>
      <c r="S376" s="12">
        <f>IF($A376="","",IFS($B376="Covered Call","Covered Call Premium",$B376="Cash Secured Put","Cash Secured Put Premium",$B376="Long Call/Put","Long Call/Put P/L",$B376="Debit Spread","Long Call/Put P/L",$B376="Stock Sale","Stock Sales",TRUE,"Other"))</f>
        <v/>
      </c>
      <c r="T376" s="11">
        <f>IF($A376="","",IF($B376="Cash Secured Put",$K376*$M376*100,IF($B376="Covered Call",$K376*$M376*100,IF($H376="Stock",$M376*$N376,""))))</f>
        <v/>
      </c>
      <c r="U376" s="19">
        <f>IF(OR($A376="",$C376&lt;&gt;"Closed",$D376="",$E376="",$T376=0),"",$R376/$T376*365/MAX(1,$E376-$D376))</f>
        <v/>
      </c>
      <c r="V376" s="14" t="n"/>
      <c r="W376" s="12" t="n"/>
    </row>
    <row r="377">
      <c r="A377" s="12" t="n"/>
      <c r="B377" s="14" t="n"/>
      <c r="C377" s="14" t="n"/>
      <c r="D377" s="15" t="n"/>
      <c r="E377" s="15" t="n"/>
      <c r="F377" s="16">
        <f>IF($E377="","",DATE(YEAR($E377),MONTH($E377),1))</f>
        <v/>
      </c>
      <c r="G377" s="14" t="n"/>
      <c r="H377" s="14" t="n"/>
      <c r="I377" s="14" t="n"/>
      <c r="J377" s="14" t="n"/>
      <c r="K377" s="17" t="n"/>
      <c r="L377" s="15" t="n"/>
      <c r="M377" s="14" t="n"/>
      <c r="N377" s="17" t="n"/>
      <c r="O377" s="17" t="n"/>
      <c r="P377" s="18" t="n"/>
      <c r="Q377" s="11">
        <f>IF($A377="","",IF($H377="Stock",IF($I377="Buy",-$M377*$N377-$P377,IF($I377="Sell",IF($N377="", $M377*$O377-$P377,($O377-$N377)*$M377-$P377),"")),IF($I377="Sell",($N377-IF($O377="",0,$O377))*$M377*100-$P377,IF($I377="Buy",(IF($O377="",0,$O377)-$N377)*$M377*100-$P377,""))))</f>
        <v/>
      </c>
      <c r="R377" s="11">
        <f>IF($A377="","",IF($C377="Open","",$Q377))</f>
        <v/>
      </c>
      <c r="S377" s="12">
        <f>IF($A377="","",IFS($B377="Covered Call","Covered Call Premium",$B377="Cash Secured Put","Cash Secured Put Premium",$B377="Long Call/Put","Long Call/Put P/L",$B377="Debit Spread","Long Call/Put P/L",$B377="Stock Sale","Stock Sales",TRUE,"Other"))</f>
        <v/>
      </c>
      <c r="T377" s="11">
        <f>IF($A377="","",IF($B377="Cash Secured Put",$K377*$M377*100,IF($B377="Covered Call",$K377*$M377*100,IF($H377="Stock",$M377*$N377,""))))</f>
        <v/>
      </c>
      <c r="U377" s="19">
        <f>IF(OR($A377="",$C377&lt;&gt;"Closed",$D377="",$E377="",$T377=0),"",$R377/$T377*365/MAX(1,$E377-$D377))</f>
        <v/>
      </c>
      <c r="V377" s="14" t="n"/>
      <c r="W377" s="12" t="n"/>
    </row>
    <row r="378">
      <c r="A378" s="12" t="n"/>
      <c r="B378" s="14" t="n"/>
      <c r="C378" s="14" t="n"/>
      <c r="D378" s="15" t="n"/>
      <c r="E378" s="15" t="n"/>
      <c r="F378" s="16">
        <f>IF($E378="","",DATE(YEAR($E378),MONTH($E378),1))</f>
        <v/>
      </c>
      <c r="G378" s="14" t="n"/>
      <c r="H378" s="14" t="n"/>
      <c r="I378" s="14" t="n"/>
      <c r="J378" s="14" t="n"/>
      <c r="K378" s="17" t="n"/>
      <c r="L378" s="15" t="n"/>
      <c r="M378" s="14" t="n"/>
      <c r="N378" s="17" t="n"/>
      <c r="O378" s="17" t="n"/>
      <c r="P378" s="18" t="n"/>
      <c r="Q378" s="11">
        <f>IF($A378="","",IF($H378="Stock",IF($I378="Buy",-$M378*$N378-$P378,IF($I378="Sell",IF($N378="", $M378*$O378-$P378,($O378-$N378)*$M378-$P378),"")),IF($I378="Sell",($N378-IF($O378="",0,$O378))*$M378*100-$P378,IF($I378="Buy",(IF($O378="",0,$O378)-$N378)*$M378*100-$P378,""))))</f>
        <v/>
      </c>
      <c r="R378" s="11">
        <f>IF($A378="","",IF($C378="Open","",$Q378))</f>
        <v/>
      </c>
      <c r="S378" s="12">
        <f>IF($A378="","",IFS($B378="Covered Call","Covered Call Premium",$B378="Cash Secured Put","Cash Secured Put Premium",$B378="Long Call/Put","Long Call/Put P/L",$B378="Debit Spread","Long Call/Put P/L",$B378="Stock Sale","Stock Sales",TRUE,"Other"))</f>
        <v/>
      </c>
      <c r="T378" s="11">
        <f>IF($A378="","",IF($B378="Cash Secured Put",$K378*$M378*100,IF($B378="Covered Call",$K378*$M378*100,IF($H378="Stock",$M378*$N378,""))))</f>
        <v/>
      </c>
      <c r="U378" s="19">
        <f>IF(OR($A378="",$C378&lt;&gt;"Closed",$D378="",$E378="",$T378=0),"",$R378/$T378*365/MAX(1,$E378-$D378))</f>
        <v/>
      </c>
      <c r="V378" s="14" t="n"/>
      <c r="W378" s="12" t="n"/>
    </row>
    <row r="379">
      <c r="A379" s="12" t="n"/>
      <c r="B379" s="14" t="n"/>
      <c r="C379" s="14" t="n"/>
      <c r="D379" s="15" t="n"/>
      <c r="E379" s="15" t="n"/>
      <c r="F379" s="16">
        <f>IF($E379="","",DATE(YEAR($E379),MONTH($E379),1))</f>
        <v/>
      </c>
      <c r="G379" s="14" t="n"/>
      <c r="H379" s="14" t="n"/>
      <c r="I379" s="14" t="n"/>
      <c r="J379" s="14" t="n"/>
      <c r="K379" s="17" t="n"/>
      <c r="L379" s="15" t="n"/>
      <c r="M379" s="14" t="n"/>
      <c r="N379" s="17" t="n"/>
      <c r="O379" s="17" t="n"/>
      <c r="P379" s="18" t="n"/>
      <c r="Q379" s="11">
        <f>IF($A379="","",IF($H379="Stock",IF($I379="Buy",-$M379*$N379-$P379,IF($I379="Sell",IF($N379="", $M379*$O379-$P379,($O379-$N379)*$M379-$P379),"")),IF($I379="Sell",($N379-IF($O379="",0,$O379))*$M379*100-$P379,IF($I379="Buy",(IF($O379="",0,$O379)-$N379)*$M379*100-$P379,""))))</f>
        <v/>
      </c>
      <c r="R379" s="11">
        <f>IF($A379="","",IF($C379="Open","",$Q379))</f>
        <v/>
      </c>
      <c r="S379" s="12">
        <f>IF($A379="","",IFS($B379="Covered Call","Covered Call Premium",$B379="Cash Secured Put","Cash Secured Put Premium",$B379="Long Call/Put","Long Call/Put P/L",$B379="Debit Spread","Long Call/Put P/L",$B379="Stock Sale","Stock Sales",TRUE,"Other"))</f>
        <v/>
      </c>
      <c r="T379" s="11">
        <f>IF($A379="","",IF($B379="Cash Secured Put",$K379*$M379*100,IF($B379="Covered Call",$K379*$M379*100,IF($H379="Stock",$M379*$N379,""))))</f>
        <v/>
      </c>
      <c r="U379" s="19">
        <f>IF(OR($A379="",$C379&lt;&gt;"Closed",$D379="",$E379="",$T379=0),"",$R379/$T379*365/MAX(1,$E379-$D379))</f>
        <v/>
      </c>
      <c r="V379" s="14" t="n"/>
      <c r="W379" s="12" t="n"/>
    </row>
    <row r="380">
      <c r="A380" s="12" t="n"/>
      <c r="B380" s="14" t="n"/>
      <c r="C380" s="14" t="n"/>
      <c r="D380" s="15" t="n"/>
      <c r="E380" s="15" t="n"/>
      <c r="F380" s="16">
        <f>IF($E380="","",DATE(YEAR($E380),MONTH($E380),1))</f>
        <v/>
      </c>
      <c r="G380" s="14" t="n"/>
      <c r="H380" s="14" t="n"/>
      <c r="I380" s="14" t="n"/>
      <c r="J380" s="14" t="n"/>
      <c r="K380" s="17" t="n"/>
      <c r="L380" s="15" t="n"/>
      <c r="M380" s="14" t="n"/>
      <c r="N380" s="17" t="n"/>
      <c r="O380" s="17" t="n"/>
      <c r="P380" s="18" t="n"/>
      <c r="Q380" s="11">
        <f>IF($A380="","",IF($H380="Stock",IF($I380="Buy",-$M380*$N380-$P380,IF($I380="Sell",IF($N380="", $M380*$O380-$P380,($O380-$N380)*$M380-$P380),"")),IF($I380="Sell",($N380-IF($O380="",0,$O380))*$M380*100-$P380,IF($I380="Buy",(IF($O380="",0,$O380)-$N380)*$M380*100-$P380,""))))</f>
        <v/>
      </c>
      <c r="R380" s="11">
        <f>IF($A380="","",IF($C380="Open","",$Q380))</f>
        <v/>
      </c>
      <c r="S380" s="12">
        <f>IF($A380="","",IFS($B380="Covered Call","Covered Call Premium",$B380="Cash Secured Put","Cash Secured Put Premium",$B380="Long Call/Put","Long Call/Put P/L",$B380="Debit Spread","Long Call/Put P/L",$B380="Stock Sale","Stock Sales",TRUE,"Other"))</f>
        <v/>
      </c>
      <c r="T380" s="11">
        <f>IF($A380="","",IF($B380="Cash Secured Put",$K380*$M380*100,IF($B380="Covered Call",$K380*$M380*100,IF($H380="Stock",$M380*$N380,""))))</f>
        <v/>
      </c>
      <c r="U380" s="19">
        <f>IF(OR($A380="",$C380&lt;&gt;"Closed",$D380="",$E380="",$T380=0),"",$R380/$T380*365/MAX(1,$E380-$D380))</f>
        <v/>
      </c>
      <c r="V380" s="14" t="n"/>
      <c r="W380" s="12" t="n"/>
    </row>
    <row r="381">
      <c r="A381" s="12" t="n"/>
      <c r="B381" s="14" t="n"/>
      <c r="C381" s="14" t="n"/>
      <c r="D381" s="15" t="n"/>
      <c r="E381" s="15" t="n"/>
      <c r="F381" s="16">
        <f>IF($E381="","",DATE(YEAR($E381),MONTH($E381),1))</f>
        <v/>
      </c>
      <c r="G381" s="14" t="n"/>
      <c r="H381" s="14" t="n"/>
      <c r="I381" s="14" t="n"/>
      <c r="J381" s="14" t="n"/>
      <c r="K381" s="17" t="n"/>
      <c r="L381" s="15" t="n"/>
      <c r="M381" s="14" t="n"/>
      <c r="N381" s="17" t="n"/>
      <c r="O381" s="17" t="n"/>
      <c r="P381" s="18" t="n"/>
      <c r="Q381" s="11">
        <f>IF($A381="","",IF($H381="Stock",IF($I381="Buy",-$M381*$N381-$P381,IF($I381="Sell",IF($N381="", $M381*$O381-$P381,($O381-$N381)*$M381-$P381),"")),IF($I381="Sell",($N381-IF($O381="",0,$O381))*$M381*100-$P381,IF($I381="Buy",(IF($O381="",0,$O381)-$N381)*$M381*100-$P381,""))))</f>
        <v/>
      </c>
      <c r="R381" s="11">
        <f>IF($A381="","",IF($C381="Open","",$Q381))</f>
        <v/>
      </c>
      <c r="S381" s="12">
        <f>IF($A381="","",IFS($B381="Covered Call","Covered Call Premium",$B381="Cash Secured Put","Cash Secured Put Premium",$B381="Long Call/Put","Long Call/Put P/L",$B381="Debit Spread","Long Call/Put P/L",$B381="Stock Sale","Stock Sales",TRUE,"Other"))</f>
        <v/>
      </c>
      <c r="T381" s="11">
        <f>IF($A381="","",IF($B381="Cash Secured Put",$K381*$M381*100,IF($B381="Covered Call",$K381*$M381*100,IF($H381="Stock",$M381*$N381,""))))</f>
        <v/>
      </c>
      <c r="U381" s="19">
        <f>IF(OR($A381="",$C381&lt;&gt;"Closed",$D381="",$E381="",$T381=0),"",$R381/$T381*365/MAX(1,$E381-$D381))</f>
        <v/>
      </c>
      <c r="V381" s="14" t="n"/>
      <c r="W381" s="12" t="n"/>
    </row>
    <row r="382">
      <c r="A382" s="12" t="n"/>
      <c r="B382" s="14" t="n"/>
      <c r="C382" s="14" t="n"/>
      <c r="D382" s="15" t="n"/>
      <c r="E382" s="15" t="n"/>
      <c r="F382" s="16">
        <f>IF($E382="","",DATE(YEAR($E382),MONTH($E382),1))</f>
        <v/>
      </c>
      <c r="G382" s="14" t="n"/>
      <c r="H382" s="14" t="n"/>
      <c r="I382" s="14" t="n"/>
      <c r="J382" s="14" t="n"/>
      <c r="K382" s="17" t="n"/>
      <c r="L382" s="15" t="n"/>
      <c r="M382" s="14" t="n"/>
      <c r="N382" s="17" t="n"/>
      <c r="O382" s="17" t="n"/>
      <c r="P382" s="18" t="n"/>
      <c r="Q382" s="11">
        <f>IF($A382="","",IF($H382="Stock",IF($I382="Buy",-$M382*$N382-$P382,IF($I382="Sell",IF($N382="", $M382*$O382-$P382,($O382-$N382)*$M382-$P382),"")),IF($I382="Sell",($N382-IF($O382="",0,$O382))*$M382*100-$P382,IF($I382="Buy",(IF($O382="",0,$O382)-$N382)*$M382*100-$P382,""))))</f>
        <v/>
      </c>
      <c r="R382" s="11">
        <f>IF($A382="","",IF($C382="Open","",$Q382))</f>
        <v/>
      </c>
      <c r="S382" s="12">
        <f>IF($A382="","",IFS($B382="Covered Call","Covered Call Premium",$B382="Cash Secured Put","Cash Secured Put Premium",$B382="Long Call/Put","Long Call/Put P/L",$B382="Debit Spread","Long Call/Put P/L",$B382="Stock Sale","Stock Sales",TRUE,"Other"))</f>
        <v/>
      </c>
      <c r="T382" s="11">
        <f>IF($A382="","",IF($B382="Cash Secured Put",$K382*$M382*100,IF($B382="Covered Call",$K382*$M382*100,IF($H382="Stock",$M382*$N382,""))))</f>
        <v/>
      </c>
      <c r="U382" s="19">
        <f>IF(OR($A382="",$C382&lt;&gt;"Closed",$D382="",$E382="",$T382=0),"",$R382/$T382*365/MAX(1,$E382-$D382))</f>
        <v/>
      </c>
      <c r="V382" s="14" t="n"/>
      <c r="W382" s="12" t="n"/>
    </row>
    <row r="383">
      <c r="A383" s="12" t="n"/>
      <c r="B383" s="14" t="n"/>
      <c r="C383" s="14" t="n"/>
      <c r="D383" s="15" t="n"/>
      <c r="E383" s="15" t="n"/>
      <c r="F383" s="16">
        <f>IF($E383="","",DATE(YEAR($E383),MONTH($E383),1))</f>
        <v/>
      </c>
      <c r="G383" s="14" t="n"/>
      <c r="H383" s="14" t="n"/>
      <c r="I383" s="14" t="n"/>
      <c r="J383" s="14" t="n"/>
      <c r="K383" s="17" t="n"/>
      <c r="L383" s="15" t="n"/>
      <c r="M383" s="14" t="n"/>
      <c r="N383" s="17" t="n"/>
      <c r="O383" s="17" t="n"/>
      <c r="P383" s="18" t="n"/>
      <c r="Q383" s="11">
        <f>IF($A383="","",IF($H383="Stock",IF($I383="Buy",-$M383*$N383-$P383,IF($I383="Sell",IF($N383="", $M383*$O383-$P383,($O383-$N383)*$M383-$P383),"")),IF($I383="Sell",($N383-IF($O383="",0,$O383))*$M383*100-$P383,IF($I383="Buy",(IF($O383="",0,$O383)-$N383)*$M383*100-$P383,""))))</f>
        <v/>
      </c>
      <c r="R383" s="11">
        <f>IF($A383="","",IF($C383="Open","",$Q383))</f>
        <v/>
      </c>
      <c r="S383" s="12">
        <f>IF($A383="","",IFS($B383="Covered Call","Covered Call Premium",$B383="Cash Secured Put","Cash Secured Put Premium",$B383="Long Call/Put","Long Call/Put P/L",$B383="Debit Spread","Long Call/Put P/L",$B383="Stock Sale","Stock Sales",TRUE,"Other"))</f>
        <v/>
      </c>
      <c r="T383" s="11">
        <f>IF($A383="","",IF($B383="Cash Secured Put",$K383*$M383*100,IF($B383="Covered Call",$K383*$M383*100,IF($H383="Stock",$M383*$N383,""))))</f>
        <v/>
      </c>
      <c r="U383" s="19">
        <f>IF(OR($A383="",$C383&lt;&gt;"Closed",$D383="",$E383="",$T383=0),"",$R383/$T383*365/MAX(1,$E383-$D383))</f>
        <v/>
      </c>
      <c r="V383" s="14" t="n"/>
      <c r="W383" s="12" t="n"/>
    </row>
    <row r="384">
      <c r="A384" s="12" t="n"/>
      <c r="B384" s="14" t="n"/>
      <c r="C384" s="14" t="n"/>
      <c r="D384" s="15" t="n"/>
      <c r="E384" s="15" t="n"/>
      <c r="F384" s="16">
        <f>IF($E384="","",DATE(YEAR($E384),MONTH($E384),1))</f>
        <v/>
      </c>
      <c r="G384" s="14" t="n"/>
      <c r="H384" s="14" t="n"/>
      <c r="I384" s="14" t="n"/>
      <c r="J384" s="14" t="n"/>
      <c r="K384" s="17" t="n"/>
      <c r="L384" s="15" t="n"/>
      <c r="M384" s="14" t="n"/>
      <c r="N384" s="17" t="n"/>
      <c r="O384" s="17" t="n"/>
      <c r="P384" s="18" t="n"/>
      <c r="Q384" s="11">
        <f>IF($A384="","",IF($H384="Stock",IF($I384="Buy",-$M384*$N384-$P384,IF($I384="Sell",IF($N384="", $M384*$O384-$P384,($O384-$N384)*$M384-$P384),"")),IF($I384="Sell",($N384-IF($O384="",0,$O384))*$M384*100-$P384,IF($I384="Buy",(IF($O384="",0,$O384)-$N384)*$M384*100-$P384,""))))</f>
        <v/>
      </c>
      <c r="R384" s="11">
        <f>IF($A384="","",IF($C384="Open","",$Q384))</f>
        <v/>
      </c>
      <c r="S384" s="12">
        <f>IF($A384="","",IFS($B384="Covered Call","Covered Call Premium",$B384="Cash Secured Put","Cash Secured Put Premium",$B384="Long Call/Put","Long Call/Put P/L",$B384="Debit Spread","Long Call/Put P/L",$B384="Stock Sale","Stock Sales",TRUE,"Other"))</f>
        <v/>
      </c>
      <c r="T384" s="11">
        <f>IF($A384="","",IF($B384="Cash Secured Put",$K384*$M384*100,IF($B384="Covered Call",$K384*$M384*100,IF($H384="Stock",$M384*$N384,""))))</f>
        <v/>
      </c>
      <c r="U384" s="19">
        <f>IF(OR($A384="",$C384&lt;&gt;"Closed",$D384="",$E384="",$T384=0),"",$R384/$T384*365/MAX(1,$E384-$D384))</f>
        <v/>
      </c>
      <c r="V384" s="14" t="n"/>
      <c r="W384" s="12" t="n"/>
    </row>
    <row r="385">
      <c r="A385" s="12" t="n"/>
      <c r="B385" s="14" t="n"/>
      <c r="C385" s="14" t="n"/>
      <c r="D385" s="15" t="n"/>
      <c r="E385" s="15" t="n"/>
      <c r="F385" s="16">
        <f>IF($E385="","",DATE(YEAR($E385),MONTH($E385),1))</f>
        <v/>
      </c>
      <c r="G385" s="14" t="n"/>
      <c r="H385" s="14" t="n"/>
      <c r="I385" s="14" t="n"/>
      <c r="J385" s="14" t="n"/>
      <c r="K385" s="17" t="n"/>
      <c r="L385" s="15" t="n"/>
      <c r="M385" s="14" t="n"/>
      <c r="N385" s="17" t="n"/>
      <c r="O385" s="17" t="n"/>
      <c r="P385" s="18" t="n"/>
      <c r="Q385" s="11">
        <f>IF($A385="","",IF($H385="Stock",IF($I385="Buy",-$M385*$N385-$P385,IF($I385="Sell",IF($N385="", $M385*$O385-$P385,($O385-$N385)*$M385-$P385),"")),IF($I385="Sell",($N385-IF($O385="",0,$O385))*$M385*100-$P385,IF($I385="Buy",(IF($O385="",0,$O385)-$N385)*$M385*100-$P385,""))))</f>
        <v/>
      </c>
      <c r="R385" s="11">
        <f>IF($A385="","",IF($C385="Open","",$Q385))</f>
        <v/>
      </c>
      <c r="S385" s="12">
        <f>IF($A385="","",IFS($B385="Covered Call","Covered Call Premium",$B385="Cash Secured Put","Cash Secured Put Premium",$B385="Long Call/Put","Long Call/Put P/L",$B385="Debit Spread","Long Call/Put P/L",$B385="Stock Sale","Stock Sales",TRUE,"Other"))</f>
        <v/>
      </c>
      <c r="T385" s="11">
        <f>IF($A385="","",IF($B385="Cash Secured Put",$K385*$M385*100,IF($B385="Covered Call",$K385*$M385*100,IF($H385="Stock",$M385*$N385,""))))</f>
        <v/>
      </c>
      <c r="U385" s="19">
        <f>IF(OR($A385="",$C385&lt;&gt;"Closed",$D385="",$E385="",$T385=0),"",$R385/$T385*365/MAX(1,$E385-$D385))</f>
        <v/>
      </c>
      <c r="V385" s="14" t="n"/>
      <c r="W385" s="12" t="n"/>
    </row>
    <row r="386">
      <c r="A386" s="12" t="n"/>
      <c r="B386" s="14" t="n"/>
      <c r="C386" s="14" t="n"/>
      <c r="D386" s="15" t="n"/>
      <c r="E386" s="15" t="n"/>
      <c r="F386" s="16">
        <f>IF($E386="","",DATE(YEAR($E386),MONTH($E386),1))</f>
        <v/>
      </c>
      <c r="G386" s="14" t="n"/>
      <c r="H386" s="14" t="n"/>
      <c r="I386" s="14" t="n"/>
      <c r="J386" s="14" t="n"/>
      <c r="K386" s="17" t="n"/>
      <c r="L386" s="15" t="n"/>
      <c r="M386" s="14" t="n"/>
      <c r="N386" s="17" t="n"/>
      <c r="O386" s="17" t="n"/>
      <c r="P386" s="18" t="n"/>
      <c r="Q386" s="11">
        <f>IF($A386="","",IF($H386="Stock",IF($I386="Buy",-$M386*$N386-$P386,IF($I386="Sell",IF($N386="", $M386*$O386-$P386,($O386-$N386)*$M386-$P386),"")),IF($I386="Sell",($N386-IF($O386="",0,$O386))*$M386*100-$P386,IF($I386="Buy",(IF($O386="",0,$O386)-$N386)*$M386*100-$P386,""))))</f>
        <v/>
      </c>
      <c r="R386" s="11">
        <f>IF($A386="","",IF($C386="Open","",$Q386))</f>
        <v/>
      </c>
      <c r="S386" s="12">
        <f>IF($A386="","",IFS($B386="Covered Call","Covered Call Premium",$B386="Cash Secured Put","Cash Secured Put Premium",$B386="Long Call/Put","Long Call/Put P/L",$B386="Debit Spread","Long Call/Put P/L",$B386="Stock Sale","Stock Sales",TRUE,"Other"))</f>
        <v/>
      </c>
      <c r="T386" s="11">
        <f>IF($A386="","",IF($B386="Cash Secured Put",$K386*$M386*100,IF($B386="Covered Call",$K386*$M386*100,IF($H386="Stock",$M386*$N386,""))))</f>
        <v/>
      </c>
      <c r="U386" s="19">
        <f>IF(OR($A386="",$C386&lt;&gt;"Closed",$D386="",$E386="",$T386=0),"",$R386/$T386*365/MAX(1,$E386-$D386))</f>
        <v/>
      </c>
      <c r="V386" s="14" t="n"/>
      <c r="W386" s="12" t="n"/>
    </row>
    <row r="387">
      <c r="A387" s="12" t="n"/>
      <c r="B387" s="14" t="n"/>
      <c r="C387" s="14" t="n"/>
      <c r="D387" s="15" t="n"/>
      <c r="E387" s="15" t="n"/>
      <c r="F387" s="16">
        <f>IF($E387="","",DATE(YEAR($E387),MONTH($E387),1))</f>
        <v/>
      </c>
      <c r="G387" s="14" t="n"/>
      <c r="H387" s="14" t="n"/>
      <c r="I387" s="14" t="n"/>
      <c r="J387" s="14" t="n"/>
      <c r="K387" s="17" t="n"/>
      <c r="L387" s="15" t="n"/>
      <c r="M387" s="14" t="n"/>
      <c r="N387" s="17" t="n"/>
      <c r="O387" s="17" t="n"/>
      <c r="P387" s="18" t="n"/>
      <c r="Q387" s="11">
        <f>IF($A387="","",IF($H387="Stock",IF($I387="Buy",-$M387*$N387-$P387,IF($I387="Sell",IF($N387="", $M387*$O387-$P387,($O387-$N387)*$M387-$P387),"")),IF($I387="Sell",($N387-IF($O387="",0,$O387))*$M387*100-$P387,IF($I387="Buy",(IF($O387="",0,$O387)-$N387)*$M387*100-$P387,""))))</f>
        <v/>
      </c>
      <c r="R387" s="11">
        <f>IF($A387="","",IF($C387="Open","",$Q387))</f>
        <v/>
      </c>
      <c r="S387" s="12">
        <f>IF($A387="","",IFS($B387="Covered Call","Covered Call Premium",$B387="Cash Secured Put","Cash Secured Put Premium",$B387="Long Call/Put","Long Call/Put P/L",$B387="Debit Spread","Long Call/Put P/L",$B387="Stock Sale","Stock Sales",TRUE,"Other"))</f>
        <v/>
      </c>
      <c r="T387" s="11">
        <f>IF($A387="","",IF($B387="Cash Secured Put",$K387*$M387*100,IF($B387="Covered Call",$K387*$M387*100,IF($H387="Stock",$M387*$N387,""))))</f>
        <v/>
      </c>
      <c r="U387" s="19">
        <f>IF(OR($A387="",$C387&lt;&gt;"Closed",$D387="",$E387="",$T387=0),"",$R387/$T387*365/MAX(1,$E387-$D387))</f>
        <v/>
      </c>
      <c r="V387" s="14" t="n"/>
      <c r="W387" s="12" t="n"/>
    </row>
    <row r="388">
      <c r="A388" s="12" t="n"/>
      <c r="B388" s="14" t="n"/>
      <c r="C388" s="14" t="n"/>
      <c r="D388" s="15" t="n"/>
      <c r="E388" s="15" t="n"/>
      <c r="F388" s="16">
        <f>IF($E388="","",DATE(YEAR($E388),MONTH($E388),1))</f>
        <v/>
      </c>
      <c r="G388" s="14" t="n"/>
      <c r="H388" s="14" t="n"/>
      <c r="I388" s="14" t="n"/>
      <c r="J388" s="14" t="n"/>
      <c r="K388" s="17" t="n"/>
      <c r="L388" s="15" t="n"/>
      <c r="M388" s="14" t="n"/>
      <c r="N388" s="17" t="n"/>
      <c r="O388" s="17" t="n"/>
      <c r="P388" s="18" t="n"/>
      <c r="Q388" s="11">
        <f>IF($A388="","",IF($H388="Stock",IF($I388="Buy",-$M388*$N388-$P388,IF($I388="Sell",IF($N388="", $M388*$O388-$P388,($O388-$N388)*$M388-$P388),"")),IF($I388="Sell",($N388-IF($O388="",0,$O388))*$M388*100-$P388,IF($I388="Buy",(IF($O388="",0,$O388)-$N388)*$M388*100-$P388,""))))</f>
        <v/>
      </c>
      <c r="R388" s="11">
        <f>IF($A388="","",IF($C388="Open","",$Q388))</f>
        <v/>
      </c>
      <c r="S388" s="12">
        <f>IF($A388="","",IFS($B388="Covered Call","Covered Call Premium",$B388="Cash Secured Put","Cash Secured Put Premium",$B388="Long Call/Put","Long Call/Put P/L",$B388="Debit Spread","Long Call/Put P/L",$B388="Stock Sale","Stock Sales",TRUE,"Other"))</f>
        <v/>
      </c>
      <c r="T388" s="11">
        <f>IF($A388="","",IF($B388="Cash Secured Put",$K388*$M388*100,IF($B388="Covered Call",$K388*$M388*100,IF($H388="Stock",$M388*$N388,""))))</f>
        <v/>
      </c>
      <c r="U388" s="19">
        <f>IF(OR($A388="",$C388&lt;&gt;"Closed",$D388="",$E388="",$T388=0),"",$R388/$T388*365/MAX(1,$E388-$D388))</f>
        <v/>
      </c>
      <c r="V388" s="14" t="n"/>
      <c r="W388" s="12" t="n"/>
    </row>
    <row r="389">
      <c r="A389" s="12" t="n"/>
      <c r="B389" s="14" t="n"/>
      <c r="C389" s="14" t="n"/>
      <c r="D389" s="15" t="n"/>
      <c r="E389" s="15" t="n"/>
      <c r="F389" s="16">
        <f>IF($E389="","",DATE(YEAR($E389),MONTH($E389),1))</f>
        <v/>
      </c>
      <c r="G389" s="14" t="n"/>
      <c r="H389" s="14" t="n"/>
      <c r="I389" s="14" t="n"/>
      <c r="J389" s="14" t="n"/>
      <c r="K389" s="17" t="n"/>
      <c r="L389" s="15" t="n"/>
      <c r="M389" s="14" t="n"/>
      <c r="N389" s="17" t="n"/>
      <c r="O389" s="17" t="n"/>
      <c r="P389" s="18" t="n"/>
      <c r="Q389" s="11">
        <f>IF($A389="","",IF($H389="Stock",IF($I389="Buy",-$M389*$N389-$P389,IF($I389="Sell",IF($N389="", $M389*$O389-$P389,($O389-$N389)*$M389-$P389),"")),IF($I389="Sell",($N389-IF($O389="",0,$O389))*$M389*100-$P389,IF($I389="Buy",(IF($O389="",0,$O389)-$N389)*$M389*100-$P389,""))))</f>
        <v/>
      </c>
      <c r="R389" s="11">
        <f>IF($A389="","",IF($C389="Open","",$Q389))</f>
        <v/>
      </c>
      <c r="S389" s="12">
        <f>IF($A389="","",IFS($B389="Covered Call","Covered Call Premium",$B389="Cash Secured Put","Cash Secured Put Premium",$B389="Long Call/Put","Long Call/Put P/L",$B389="Debit Spread","Long Call/Put P/L",$B389="Stock Sale","Stock Sales",TRUE,"Other"))</f>
        <v/>
      </c>
      <c r="T389" s="11">
        <f>IF($A389="","",IF($B389="Cash Secured Put",$K389*$M389*100,IF($B389="Covered Call",$K389*$M389*100,IF($H389="Stock",$M389*$N389,""))))</f>
        <v/>
      </c>
      <c r="U389" s="19">
        <f>IF(OR($A389="",$C389&lt;&gt;"Closed",$D389="",$E389="",$T389=0),"",$R389/$T389*365/MAX(1,$E389-$D389))</f>
        <v/>
      </c>
      <c r="V389" s="14" t="n"/>
      <c r="W389" s="12" t="n"/>
    </row>
    <row r="390">
      <c r="A390" s="12" t="n"/>
      <c r="B390" s="14" t="n"/>
      <c r="C390" s="14" t="n"/>
      <c r="D390" s="15" t="n"/>
      <c r="E390" s="15" t="n"/>
      <c r="F390" s="16">
        <f>IF($E390="","",DATE(YEAR($E390),MONTH($E390),1))</f>
        <v/>
      </c>
      <c r="G390" s="14" t="n"/>
      <c r="H390" s="14" t="n"/>
      <c r="I390" s="14" t="n"/>
      <c r="J390" s="14" t="n"/>
      <c r="K390" s="17" t="n"/>
      <c r="L390" s="15" t="n"/>
      <c r="M390" s="14" t="n"/>
      <c r="N390" s="17" t="n"/>
      <c r="O390" s="17" t="n"/>
      <c r="P390" s="18" t="n"/>
      <c r="Q390" s="11">
        <f>IF($A390="","",IF($H390="Stock",IF($I390="Buy",-$M390*$N390-$P390,IF($I390="Sell",IF($N390="", $M390*$O390-$P390,($O390-$N390)*$M390-$P390),"")),IF($I390="Sell",($N390-IF($O390="",0,$O390))*$M390*100-$P390,IF($I390="Buy",(IF($O390="",0,$O390)-$N390)*$M390*100-$P390,""))))</f>
        <v/>
      </c>
      <c r="R390" s="11">
        <f>IF($A390="","",IF($C390="Open","",$Q390))</f>
        <v/>
      </c>
      <c r="S390" s="12">
        <f>IF($A390="","",IFS($B390="Covered Call","Covered Call Premium",$B390="Cash Secured Put","Cash Secured Put Premium",$B390="Long Call/Put","Long Call/Put P/L",$B390="Debit Spread","Long Call/Put P/L",$B390="Stock Sale","Stock Sales",TRUE,"Other"))</f>
        <v/>
      </c>
      <c r="T390" s="11">
        <f>IF($A390="","",IF($B390="Cash Secured Put",$K390*$M390*100,IF($B390="Covered Call",$K390*$M390*100,IF($H390="Stock",$M390*$N390,""))))</f>
        <v/>
      </c>
      <c r="U390" s="19">
        <f>IF(OR($A390="",$C390&lt;&gt;"Closed",$D390="",$E390="",$T390=0),"",$R390/$T390*365/MAX(1,$E390-$D390))</f>
        <v/>
      </c>
      <c r="V390" s="14" t="n"/>
      <c r="W390" s="12" t="n"/>
    </row>
    <row r="391">
      <c r="A391" s="12" t="n"/>
      <c r="B391" s="14" t="n"/>
      <c r="C391" s="14" t="n"/>
      <c r="D391" s="15" t="n"/>
      <c r="E391" s="15" t="n"/>
      <c r="F391" s="16">
        <f>IF($E391="","",DATE(YEAR($E391),MONTH($E391),1))</f>
        <v/>
      </c>
      <c r="G391" s="14" t="n"/>
      <c r="H391" s="14" t="n"/>
      <c r="I391" s="14" t="n"/>
      <c r="J391" s="14" t="n"/>
      <c r="K391" s="17" t="n"/>
      <c r="L391" s="15" t="n"/>
      <c r="M391" s="14" t="n"/>
      <c r="N391" s="17" t="n"/>
      <c r="O391" s="17" t="n"/>
      <c r="P391" s="18" t="n"/>
      <c r="Q391" s="11">
        <f>IF($A391="","",IF($H391="Stock",IF($I391="Buy",-$M391*$N391-$P391,IF($I391="Sell",IF($N391="", $M391*$O391-$P391,($O391-$N391)*$M391-$P391),"")),IF($I391="Sell",($N391-IF($O391="",0,$O391))*$M391*100-$P391,IF($I391="Buy",(IF($O391="",0,$O391)-$N391)*$M391*100-$P391,""))))</f>
        <v/>
      </c>
      <c r="R391" s="11">
        <f>IF($A391="","",IF($C391="Open","",$Q391))</f>
        <v/>
      </c>
      <c r="S391" s="12">
        <f>IF($A391="","",IFS($B391="Covered Call","Covered Call Premium",$B391="Cash Secured Put","Cash Secured Put Premium",$B391="Long Call/Put","Long Call/Put P/L",$B391="Debit Spread","Long Call/Put P/L",$B391="Stock Sale","Stock Sales",TRUE,"Other"))</f>
        <v/>
      </c>
      <c r="T391" s="11">
        <f>IF($A391="","",IF($B391="Cash Secured Put",$K391*$M391*100,IF($B391="Covered Call",$K391*$M391*100,IF($H391="Stock",$M391*$N391,""))))</f>
        <v/>
      </c>
      <c r="U391" s="19">
        <f>IF(OR($A391="",$C391&lt;&gt;"Closed",$D391="",$E391="",$T391=0),"",$R391/$T391*365/MAX(1,$E391-$D391))</f>
        <v/>
      </c>
      <c r="V391" s="14" t="n"/>
      <c r="W391" s="12" t="n"/>
    </row>
    <row r="392">
      <c r="A392" s="12" t="n"/>
      <c r="B392" s="14" t="n"/>
      <c r="C392" s="14" t="n"/>
      <c r="D392" s="15" t="n"/>
      <c r="E392" s="15" t="n"/>
      <c r="F392" s="16">
        <f>IF($E392="","",DATE(YEAR($E392),MONTH($E392),1))</f>
        <v/>
      </c>
      <c r="G392" s="14" t="n"/>
      <c r="H392" s="14" t="n"/>
      <c r="I392" s="14" t="n"/>
      <c r="J392" s="14" t="n"/>
      <c r="K392" s="17" t="n"/>
      <c r="L392" s="15" t="n"/>
      <c r="M392" s="14" t="n"/>
      <c r="N392" s="17" t="n"/>
      <c r="O392" s="17" t="n"/>
      <c r="P392" s="18" t="n"/>
      <c r="Q392" s="11">
        <f>IF($A392="","",IF($H392="Stock",IF($I392="Buy",-$M392*$N392-$P392,IF($I392="Sell",IF($N392="", $M392*$O392-$P392,($O392-$N392)*$M392-$P392),"")),IF($I392="Sell",($N392-IF($O392="",0,$O392))*$M392*100-$P392,IF($I392="Buy",(IF($O392="",0,$O392)-$N392)*$M392*100-$P392,""))))</f>
        <v/>
      </c>
      <c r="R392" s="11">
        <f>IF($A392="","",IF($C392="Open","",$Q392))</f>
        <v/>
      </c>
      <c r="S392" s="12">
        <f>IF($A392="","",IFS($B392="Covered Call","Covered Call Premium",$B392="Cash Secured Put","Cash Secured Put Premium",$B392="Long Call/Put","Long Call/Put P/L",$B392="Debit Spread","Long Call/Put P/L",$B392="Stock Sale","Stock Sales",TRUE,"Other"))</f>
        <v/>
      </c>
      <c r="T392" s="11">
        <f>IF($A392="","",IF($B392="Cash Secured Put",$K392*$M392*100,IF($B392="Covered Call",$K392*$M392*100,IF($H392="Stock",$M392*$N392,""))))</f>
        <v/>
      </c>
      <c r="U392" s="19">
        <f>IF(OR($A392="",$C392&lt;&gt;"Closed",$D392="",$E392="",$T392=0),"",$R392/$T392*365/MAX(1,$E392-$D392))</f>
        <v/>
      </c>
      <c r="V392" s="14" t="n"/>
      <c r="W392" s="12" t="n"/>
    </row>
    <row r="393">
      <c r="A393" s="12" t="n"/>
      <c r="B393" s="14" t="n"/>
      <c r="C393" s="14" t="n"/>
      <c r="D393" s="15" t="n"/>
      <c r="E393" s="15" t="n"/>
      <c r="F393" s="16">
        <f>IF($E393="","",DATE(YEAR($E393),MONTH($E393),1))</f>
        <v/>
      </c>
      <c r="G393" s="14" t="n"/>
      <c r="H393" s="14" t="n"/>
      <c r="I393" s="14" t="n"/>
      <c r="J393" s="14" t="n"/>
      <c r="K393" s="17" t="n"/>
      <c r="L393" s="15" t="n"/>
      <c r="M393" s="14" t="n"/>
      <c r="N393" s="17" t="n"/>
      <c r="O393" s="17" t="n"/>
      <c r="P393" s="18" t="n"/>
      <c r="Q393" s="11">
        <f>IF($A393="","",IF($H393="Stock",IF($I393="Buy",-$M393*$N393-$P393,IF($I393="Sell",IF($N393="", $M393*$O393-$P393,($O393-$N393)*$M393-$P393),"")),IF($I393="Sell",($N393-IF($O393="",0,$O393))*$M393*100-$P393,IF($I393="Buy",(IF($O393="",0,$O393)-$N393)*$M393*100-$P393,""))))</f>
        <v/>
      </c>
      <c r="R393" s="11">
        <f>IF($A393="","",IF($C393="Open","",$Q393))</f>
        <v/>
      </c>
      <c r="S393" s="12">
        <f>IF($A393="","",IFS($B393="Covered Call","Covered Call Premium",$B393="Cash Secured Put","Cash Secured Put Premium",$B393="Long Call/Put","Long Call/Put P/L",$B393="Debit Spread","Long Call/Put P/L",$B393="Stock Sale","Stock Sales",TRUE,"Other"))</f>
        <v/>
      </c>
      <c r="T393" s="11">
        <f>IF($A393="","",IF($B393="Cash Secured Put",$K393*$M393*100,IF($B393="Covered Call",$K393*$M393*100,IF($H393="Stock",$M393*$N393,""))))</f>
        <v/>
      </c>
      <c r="U393" s="19">
        <f>IF(OR($A393="",$C393&lt;&gt;"Closed",$D393="",$E393="",$T393=0),"",$R393/$T393*365/MAX(1,$E393-$D393))</f>
        <v/>
      </c>
      <c r="V393" s="14" t="n"/>
      <c r="W393" s="12" t="n"/>
    </row>
    <row r="394">
      <c r="A394" s="12" t="n"/>
      <c r="B394" s="14" t="n"/>
      <c r="C394" s="14" t="n"/>
      <c r="D394" s="15" t="n"/>
      <c r="E394" s="15" t="n"/>
      <c r="F394" s="16">
        <f>IF($E394="","",DATE(YEAR($E394),MONTH($E394),1))</f>
        <v/>
      </c>
      <c r="G394" s="14" t="n"/>
      <c r="H394" s="14" t="n"/>
      <c r="I394" s="14" t="n"/>
      <c r="J394" s="14" t="n"/>
      <c r="K394" s="17" t="n"/>
      <c r="L394" s="15" t="n"/>
      <c r="M394" s="14" t="n"/>
      <c r="N394" s="17" t="n"/>
      <c r="O394" s="17" t="n"/>
      <c r="P394" s="18" t="n"/>
      <c r="Q394" s="11">
        <f>IF($A394="","",IF($H394="Stock",IF($I394="Buy",-$M394*$N394-$P394,IF($I394="Sell",IF($N394="", $M394*$O394-$P394,($O394-$N394)*$M394-$P394),"")),IF($I394="Sell",($N394-IF($O394="",0,$O394))*$M394*100-$P394,IF($I394="Buy",(IF($O394="",0,$O394)-$N394)*$M394*100-$P394,""))))</f>
        <v/>
      </c>
      <c r="R394" s="11">
        <f>IF($A394="","",IF($C394="Open","",$Q394))</f>
        <v/>
      </c>
      <c r="S394" s="12">
        <f>IF($A394="","",IFS($B394="Covered Call","Covered Call Premium",$B394="Cash Secured Put","Cash Secured Put Premium",$B394="Long Call/Put","Long Call/Put P/L",$B394="Debit Spread","Long Call/Put P/L",$B394="Stock Sale","Stock Sales",TRUE,"Other"))</f>
        <v/>
      </c>
      <c r="T394" s="11">
        <f>IF($A394="","",IF($B394="Cash Secured Put",$K394*$M394*100,IF($B394="Covered Call",$K394*$M394*100,IF($H394="Stock",$M394*$N394,""))))</f>
        <v/>
      </c>
      <c r="U394" s="19">
        <f>IF(OR($A394="",$C394&lt;&gt;"Closed",$D394="",$E394="",$T394=0),"",$R394/$T394*365/MAX(1,$E394-$D394))</f>
        <v/>
      </c>
      <c r="V394" s="14" t="n"/>
      <c r="W394" s="12" t="n"/>
    </row>
    <row r="395">
      <c r="A395" s="12" t="n"/>
      <c r="B395" s="14" t="n"/>
      <c r="C395" s="14" t="n"/>
      <c r="D395" s="15" t="n"/>
      <c r="E395" s="15" t="n"/>
      <c r="F395" s="16">
        <f>IF($E395="","",DATE(YEAR($E395),MONTH($E395),1))</f>
        <v/>
      </c>
      <c r="G395" s="14" t="n"/>
      <c r="H395" s="14" t="n"/>
      <c r="I395" s="14" t="n"/>
      <c r="J395" s="14" t="n"/>
      <c r="K395" s="17" t="n"/>
      <c r="L395" s="15" t="n"/>
      <c r="M395" s="14" t="n"/>
      <c r="N395" s="17" t="n"/>
      <c r="O395" s="17" t="n"/>
      <c r="P395" s="18" t="n"/>
      <c r="Q395" s="11">
        <f>IF($A395="","",IF($H395="Stock",IF($I395="Buy",-$M395*$N395-$P395,IF($I395="Sell",IF($N395="", $M395*$O395-$P395,($O395-$N395)*$M395-$P395),"")),IF($I395="Sell",($N395-IF($O395="",0,$O395))*$M395*100-$P395,IF($I395="Buy",(IF($O395="",0,$O395)-$N395)*$M395*100-$P395,""))))</f>
        <v/>
      </c>
      <c r="R395" s="11">
        <f>IF($A395="","",IF($C395="Open","",$Q395))</f>
        <v/>
      </c>
      <c r="S395" s="12">
        <f>IF($A395="","",IFS($B395="Covered Call","Covered Call Premium",$B395="Cash Secured Put","Cash Secured Put Premium",$B395="Long Call/Put","Long Call/Put P/L",$B395="Debit Spread","Long Call/Put P/L",$B395="Stock Sale","Stock Sales",TRUE,"Other"))</f>
        <v/>
      </c>
      <c r="T395" s="11">
        <f>IF($A395="","",IF($B395="Cash Secured Put",$K395*$M395*100,IF($B395="Covered Call",$K395*$M395*100,IF($H395="Stock",$M395*$N395,""))))</f>
        <v/>
      </c>
      <c r="U395" s="19">
        <f>IF(OR($A395="",$C395&lt;&gt;"Closed",$D395="",$E395="",$T395=0),"",$R395/$T395*365/MAX(1,$E395-$D395))</f>
        <v/>
      </c>
      <c r="V395" s="14" t="n"/>
      <c r="W395" s="12" t="n"/>
    </row>
    <row r="396">
      <c r="A396" s="12" t="n"/>
      <c r="B396" s="14" t="n"/>
      <c r="C396" s="14" t="n"/>
      <c r="D396" s="15" t="n"/>
      <c r="E396" s="15" t="n"/>
      <c r="F396" s="16">
        <f>IF($E396="","",DATE(YEAR($E396),MONTH($E396),1))</f>
        <v/>
      </c>
      <c r="G396" s="14" t="n"/>
      <c r="H396" s="14" t="n"/>
      <c r="I396" s="14" t="n"/>
      <c r="J396" s="14" t="n"/>
      <c r="K396" s="17" t="n"/>
      <c r="L396" s="15" t="n"/>
      <c r="M396" s="14" t="n"/>
      <c r="N396" s="17" t="n"/>
      <c r="O396" s="17" t="n"/>
      <c r="P396" s="18" t="n"/>
      <c r="Q396" s="11">
        <f>IF($A396="","",IF($H396="Stock",IF($I396="Buy",-$M396*$N396-$P396,IF($I396="Sell",IF($N396="", $M396*$O396-$P396,($O396-$N396)*$M396-$P396),"")),IF($I396="Sell",($N396-IF($O396="",0,$O396))*$M396*100-$P396,IF($I396="Buy",(IF($O396="",0,$O396)-$N396)*$M396*100-$P396,""))))</f>
        <v/>
      </c>
      <c r="R396" s="11">
        <f>IF($A396="","",IF($C396="Open","",$Q396))</f>
        <v/>
      </c>
      <c r="S396" s="12">
        <f>IF($A396="","",IFS($B396="Covered Call","Covered Call Premium",$B396="Cash Secured Put","Cash Secured Put Premium",$B396="Long Call/Put","Long Call/Put P/L",$B396="Debit Spread","Long Call/Put P/L",$B396="Stock Sale","Stock Sales",TRUE,"Other"))</f>
        <v/>
      </c>
      <c r="T396" s="11">
        <f>IF($A396="","",IF($B396="Cash Secured Put",$K396*$M396*100,IF($B396="Covered Call",$K396*$M396*100,IF($H396="Stock",$M396*$N396,""))))</f>
        <v/>
      </c>
      <c r="U396" s="19">
        <f>IF(OR($A396="",$C396&lt;&gt;"Closed",$D396="",$E396="",$T396=0),"",$R396/$T396*365/MAX(1,$E396-$D396))</f>
        <v/>
      </c>
      <c r="V396" s="14" t="n"/>
      <c r="W396" s="12" t="n"/>
    </row>
    <row r="397">
      <c r="A397" s="12" t="n"/>
      <c r="B397" s="14" t="n"/>
      <c r="C397" s="14" t="n"/>
      <c r="D397" s="15" t="n"/>
      <c r="E397" s="15" t="n"/>
      <c r="F397" s="16">
        <f>IF($E397="","",DATE(YEAR($E397),MONTH($E397),1))</f>
        <v/>
      </c>
      <c r="G397" s="14" t="n"/>
      <c r="H397" s="14" t="n"/>
      <c r="I397" s="14" t="n"/>
      <c r="J397" s="14" t="n"/>
      <c r="K397" s="17" t="n"/>
      <c r="L397" s="15" t="n"/>
      <c r="M397" s="14" t="n"/>
      <c r="N397" s="17" t="n"/>
      <c r="O397" s="17" t="n"/>
      <c r="P397" s="18" t="n"/>
      <c r="Q397" s="11">
        <f>IF($A397="","",IF($H397="Stock",IF($I397="Buy",-$M397*$N397-$P397,IF($I397="Sell",IF($N397="", $M397*$O397-$P397,($O397-$N397)*$M397-$P397),"")),IF($I397="Sell",($N397-IF($O397="",0,$O397))*$M397*100-$P397,IF($I397="Buy",(IF($O397="",0,$O397)-$N397)*$M397*100-$P397,""))))</f>
        <v/>
      </c>
      <c r="R397" s="11">
        <f>IF($A397="","",IF($C397="Open","",$Q397))</f>
        <v/>
      </c>
      <c r="S397" s="12">
        <f>IF($A397="","",IFS($B397="Covered Call","Covered Call Premium",$B397="Cash Secured Put","Cash Secured Put Premium",$B397="Long Call/Put","Long Call/Put P/L",$B397="Debit Spread","Long Call/Put P/L",$B397="Stock Sale","Stock Sales",TRUE,"Other"))</f>
        <v/>
      </c>
      <c r="T397" s="11">
        <f>IF($A397="","",IF($B397="Cash Secured Put",$K397*$M397*100,IF($B397="Covered Call",$K397*$M397*100,IF($H397="Stock",$M397*$N397,""))))</f>
        <v/>
      </c>
      <c r="U397" s="19">
        <f>IF(OR($A397="",$C397&lt;&gt;"Closed",$D397="",$E397="",$T397=0),"",$R397/$T397*365/MAX(1,$E397-$D397))</f>
        <v/>
      </c>
      <c r="V397" s="14" t="n"/>
      <c r="W397" s="12" t="n"/>
    </row>
    <row r="398">
      <c r="A398" s="12" t="n"/>
      <c r="B398" s="14" t="n"/>
      <c r="C398" s="14" t="n"/>
      <c r="D398" s="15" t="n"/>
      <c r="E398" s="15" t="n"/>
      <c r="F398" s="16">
        <f>IF($E398="","",DATE(YEAR($E398),MONTH($E398),1))</f>
        <v/>
      </c>
      <c r="G398" s="14" t="n"/>
      <c r="H398" s="14" t="n"/>
      <c r="I398" s="14" t="n"/>
      <c r="J398" s="14" t="n"/>
      <c r="K398" s="17" t="n"/>
      <c r="L398" s="15" t="n"/>
      <c r="M398" s="14" t="n"/>
      <c r="N398" s="17" t="n"/>
      <c r="O398" s="17" t="n"/>
      <c r="P398" s="18" t="n"/>
      <c r="Q398" s="11">
        <f>IF($A398="","",IF($H398="Stock",IF($I398="Buy",-$M398*$N398-$P398,IF($I398="Sell",IF($N398="", $M398*$O398-$P398,($O398-$N398)*$M398-$P398),"")),IF($I398="Sell",($N398-IF($O398="",0,$O398))*$M398*100-$P398,IF($I398="Buy",(IF($O398="",0,$O398)-$N398)*$M398*100-$P398,""))))</f>
        <v/>
      </c>
      <c r="R398" s="11">
        <f>IF($A398="","",IF($C398="Open","",$Q398))</f>
        <v/>
      </c>
      <c r="S398" s="12">
        <f>IF($A398="","",IFS($B398="Covered Call","Covered Call Premium",$B398="Cash Secured Put","Cash Secured Put Premium",$B398="Long Call/Put","Long Call/Put P/L",$B398="Debit Spread","Long Call/Put P/L",$B398="Stock Sale","Stock Sales",TRUE,"Other"))</f>
        <v/>
      </c>
      <c r="T398" s="11">
        <f>IF($A398="","",IF($B398="Cash Secured Put",$K398*$M398*100,IF($B398="Covered Call",$K398*$M398*100,IF($H398="Stock",$M398*$N398,""))))</f>
        <v/>
      </c>
      <c r="U398" s="19">
        <f>IF(OR($A398="",$C398&lt;&gt;"Closed",$D398="",$E398="",$T398=0),"",$R398/$T398*365/MAX(1,$E398-$D398))</f>
        <v/>
      </c>
      <c r="V398" s="14" t="n"/>
      <c r="W398" s="12" t="n"/>
    </row>
    <row r="399">
      <c r="A399" s="12" t="n"/>
      <c r="B399" s="14" t="n"/>
      <c r="C399" s="14" t="n"/>
      <c r="D399" s="15" t="n"/>
      <c r="E399" s="15" t="n"/>
      <c r="F399" s="16">
        <f>IF($E399="","",DATE(YEAR($E399),MONTH($E399),1))</f>
        <v/>
      </c>
      <c r="G399" s="14" t="n"/>
      <c r="H399" s="14" t="n"/>
      <c r="I399" s="14" t="n"/>
      <c r="J399" s="14" t="n"/>
      <c r="K399" s="17" t="n"/>
      <c r="L399" s="15" t="n"/>
      <c r="M399" s="14" t="n"/>
      <c r="N399" s="17" t="n"/>
      <c r="O399" s="17" t="n"/>
      <c r="P399" s="18" t="n"/>
      <c r="Q399" s="11">
        <f>IF($A399="","",IF($H399="Stock",IF($I399="Buy",-$M399*$N399-$P399,IF($I399="Sell",IF($N399="", $M399*$O399-$P399,($O399-$N399)*$M399-$P399),"")),IF($I399="Sell",($N399-IF($O399="",0,$O399))*$M399*100-$P399,IF($I399="Buy",(IF($O399="",0,$O399)-$N399)*$M399*100-$P399,""))))</f>
        <v/>
      </c>
      <c r="R399" s="11">
        <f>IF($A399="","",IF($C399="Open","",$Q399))</f>
        <v/>
      </c>
      <c r="S399" s="12">
        <f>IF($A399="","",IFS($B399="Covered Call","Covered Call Premium",$B399="Cash Secured Put","Cash Secured Put Premium",$B399="Long Call/Put","Long Call/Put P/L",$B399="Debit Spread","Long Call/Put P/L",$B399="Stock Sale","Stock Sales",TRUE,"Other"))</f>
        <v/>
      </c>
      <c r="T399" s="11">
        <f>IF($A399="","",IF($B399="Cash Secured Put",$K399*$M399*100,IF($B399="Covered Call",$K399*$M399*100,IF($H399="Stock",$M399*$N399,""))))</f>
        <v/>
      </c>
      <c r="U399" s="19">
        <f>IF(OR($A399="",$C399&lt;&gt;"Closed",$D399="",$E399="",$T399=0),"",$R399/$T399*365/MAX(1,$E399-$D399))</f>
        <v/>
      </c>
      <c r="V399" s="14" t="n"/>
      <c r="W399" s="12" t="n"/>
    </row>
    <row r="400">
      <c r="A400" s="12" t="n"/>
      <c r="B400" s="14" t="n"/>
      <c r="C400" s="14" t="n"/>
      <c r="D400" s="15" t="n"/>
      <c r="E400" s="15" t="n"/>
      <c r="F400" s="16">
        <f>IF($E400="","",DATE(YEAR($E400),MONTH($E400),1))</f>
        <v/>
      </c>
      <c r="G400" s="14" t="n"/>
      <c r="H400" s="14" t="n"/>
      <c r="I400" s="14" t="n"/>
      <c r="J400" s="14" t="n"/>
      <c r="K400" s="17" t="n"/>
      <c r="L400" s="15" t="n"/>
      <c r="M400" s="14" t="n"/>
      <c r="N400" s="17" t="n"/>
      <c r="O400" s="17" t="n"/>
      <c r="P400" s="18" t="n"/>
      <c r="Q400" s="11">
        <f>IF($A400="","",IF($H400="Stock",IF($I400="Buy",-$M400*$N400-$P400,IF($I400="Sell",IF($N400="", $M400*$O400-$P400,($O400-$N400)*$M400-$P400),"")),IF($I400="Sell",($N400-IF($O400="",0,$O400))*$M400*100-$P400,IF($I400="Buy",(IF($O400="",0,$O400)-$N400)*$M400*100-$P400,""))))</f>
        <v/>
      </c>
      <c r="R400" s="11">
        <f>IF($A400="","",IF($C400="Open","",$Q400))</f>
        <v/>
      </c>
      <c r="S400" s="12">
        <f>IF($A400="","",IFS($B400="Covered Call","Covered Call Premium",$B400="Cash Secured Put","Cash Secured Put Premium",$B400="Long Call/Put","Long Call/Put P/L",$B400="Debit Spread","Long Call/Put P/L",$B400="Stock Sale","Stock Sales",TRUE,"Other"))</f>
        <v/>
      </c>
      <c r="T400" s="11">
        <f>IF($A400="","",IF($B400="Cash Secured Put",$K400*$M400*100,IF($B400="Covered Call",$K400*$M400*100,IF($H400="Stock",$M400*$N400,""))))</f>
        <v/>
      </c>
      <c r="U400" s="19">
        <f>IF(OR($A400="",$C400&lt;&gt;"Closed",$D400="",$E400="",$T400=0),"",$R400/$T400*365/MAX(1,$E400-$D400))</f>
        <v/>
      </c>
      <c r="V400" s="14" t="n"/>
      <c r="W400" s="12" t="n"/>
    </row>
    <row r="401">
      <c r="A401" s="12" t="n"/>
      <c r="B401" s="14" t="n"/>
      <c r="C401" s="14" t="n"/>
      <c r="D401" s="15" t="n"/>
      <c r="E401" s="15" t="n"/>
      <c r="F401" s="16">
        <f>IF($E401="","",DATE(YEAR($E401),MONTH($E401),1))</f>
        <v/>
      </c>
      <c r="G401" s="14" t="n"/>
      <c r="H401" s="14" t="n"/>
      <c r="I401" s="14" t="n"/>
      <c r="J401" s="14" t="n"/>
      <c r="K401" s="17" t="n"/>
      <c r="L401" s="15" t="n"/>
      <c r="M401" s="14" t="n"/>
      <c r="N401" s="17" t="n"/>
      <c r="O401" s="17" t="n"/>
      <c r="P401" s="18" t="n"/>
      <c r="Q401" s="11">
        <f>IF($A401="","",IF($H401="Stock",IF($I401="Buy",-$M401*$N401-$P401,IF($I401="Sell",IF($N401="", $M401*$O401-$P401,($O401-$N401)*$M401-$P401),"")),IF($I401="Sell",($N401-IF($O401="",0,$O401))*$M401*100-$P401,IF($I401="Buy",(IF($O401="",0,$O401)-$N401)*$M401*100-$P401,""))))</f>
        <v/>
      </c>
      <c r="R401" s="11">
        <f>IF($A401="","",IF($C401="Open","",$Q401))</f>
        <v/>
      </c>
      <c r="S401" s="12">
        <f>IF($A401="","",IFS($B401="Covered Call","Covered Call Premium",$B401="Cash Secured Put","Cash Secured Put Premium",$B401="Long Call/Put","Long Call/Put P/L",$B401="Debit Spread","Long Call/Put P/L",$B401="Stock Sale","Stock Sales",TRUE,"Other"))</f>
        <v/>
      </c>
      <c r="T401" s="11">
        <f>IF($A401="","",IF($B401="Cash Secured Put",$K401*$M401*100,IF($B401="Covered Call",$K401*$M401*100,IF($H401="Stock",$M401*$N401,""))))</f>
        <v/>
      </c>
      <c r="U401" s="19">
        <f>IF(OR($A401="",$C401&lt;&gt;"Closed",$D401="",$E401="",$T401=0),"",$R401/$T401*365/MAX(1,$E401-$D401))</f>
        <v/>
      </c>
      <c r="V401" s="14" t="n"/>
      <c r="W401" s="12" t="n"/>
    </row>
    <row r="402">
      <c r="A402" s="12" t="n"/>
      <c r="B402" s="14" t="n"/>
      <c r="C402" s="14" t="n"/>
      <c r="D402" s="15" t="n"/>
      <c r="E402" s="15" t="n"/>
      <c r="F402" s="16">
        <f>IF($E402="","",DATE(YEAR($E402),MONTH($E402),1))</f>
        <v/>
      </c>
      <c r="G402" s="14" t="n"/>
      <c r="H402" s="14" t="n"/>
      <c r="I402" s="14" t="n"/>
      <c r="J402" s="14" t="n"/>
      <c r="K402" s="17" t="n"/>
      <c r="L402" s="15" t="n"/>
      <c r="M402" s="14" t="n"/>
      <c r="N402" s="17" t="n"/>
      <c r="O402" s="17" t="n"/>
      <c r="P402" s="18" t="n"/>
      <c r="Q402" s="11">
        <f>IF($A402="","",IF($H402="Stock",IF($I402="Buy",-$M402*$N402-$P402,IF($I402="Sell",IF($N402="", $M402*$O402-$P402,($O402-$N402)*$M402-$P402),"")),IF($I402="Sell",($N402-IF($O402="",0,$O402))*$M402*100-$P402,IF($I402="Buy",(IF($O402="",0,$O402)-$N402)*$M402*100-$P402,""))))</f>
        <v/>
      </c>
      <c r="R402" s="11">
        <f>IF($A402="","",IF($C402="Open","",$Q402))</f>
        <v/>
      </c>
      <c r="S402" s="12">
        <f>IF($A402="","",IFS($B402="Covered Call","Covered Call Premium",$B402="Cash Secured Put","Cash Secured Put Premium",$B402="Long Call/Put","Long Call/Put P/L",$B402="Debit Spread","Long Call/Put P/L",$B402="Stock Sale","Stock Sales",TRUE,"Other"))</f>
        <v/>
      </c>
      <c r="T402" s="11">
        <f>IF($A402="","",IF($B402="Cash Secured Put",$K402*$M402*100,IF($B402="Covered Call",$K402*$M402*100,IF($H402="Stock",$M402*$N402,""))))</f>
        <v/>
      </c>
      <c r="U402" s="19">
        <f>IF(OR($A402="",$C402&lt;&gt;"Closed",$D402="",$E402="",$T402=0),"",$R402/$T402*365/MAX(1,$E402-$D402))</f>
        <v/>
      </c>
      <c r="V402" s="14" t="n"/>
      <c r="W402" s="12" t="n"/>
    </row>
    <row r="403">
      <c r="A403" s="12" t="n"/>
      <c r="B403" s="14" t="n"/>
      <c r="C403" s="14" t="n"/>
      <c r="D403" s="15" t="n"/>
      <c r="E403" s="15" t="n"/>
      <c r="F403" s="16">
        <f>IF($E403="","",DATE(YEAR($E403),MONTH($E403),1))</f>
        <v/>
      </c>
      <c r="G403" s="14" t="n"/>
      <c r="H403" s="14" t="n"/>
      <c r="I403" s="14" t="n"/>
      <c r="J403" s="14" t="n"/>
      <c r="K403" s="17" t="n"/>
      <c r="L403" s="15" t="n"/>
      <c r="M403" s="14" t="n"/>
      <c r="N403" s="17" t="n"/>
      <c r="O403" s="17" t="n"/>
      <c r="P403" s="18" t="n"/>
      <c r="Q403" s="11">
        <f>IF($A403="","",IF($H403="Stock",IF($I403="Buy",-$M403*$N403-$P403,IF($I403="Sell",IF($N403="", $M403*$O403-$P403,($O403-$N403)*$M403-$P403),"")),IF($I403="Sell",($N403-IF($O403="",0,$O403))*$M403*100-$P403,IF($I403="Buy",(IF($O403="",0,$O403)-$N403)*$M403*100-$P403,""))))</f>
        <v/>
      </c>
      <c r="R403" s="11">
        <f>IF($A403="","",IF($C403="Open","",$Q403))</f>
        <v/>
      </c>
      <c r="S403" s="12">
        <f>IF($A403="","",IFS($B403="Covered Call","Covered Call Premium",$B403="Cash Secured Put","Cash Secured Put Premium",$B403="Long Call/Put","Long Call/Put P/L",$B403="Debit Spread","Long Call/Put P/L",$B403="Stock Sale","Stock Sales",TRUE,"Other"))</f>
        <v/>
      </c>
      <c r="T403" s="11">
        <f>IF($A403="","",IF($B403="Cash Secured Put",$K403*$M403*100,IF($B403="Covered Call",$K403*$M403*100,IF($H403="Stock",$M403*$N403,""))))</f>
        <v/>
      </c>
      <c r="U403" s="19">
        <f>IF(OR($A403="",$C403&lt;&gt;"Closed",$D403="",$E403="",$T403=0),"",$R403/$T403*365/MAX(1,$E403-$D403))</f>
        <v/>
      </c>
      <c r="V403" s="14" t="n"/>
      <c r="W403" s="12" t="n"/>
    </row>
    <row r="404">
      <c r="A404" s="12" t="n"/>
      <c r="B404" s="14" t="n"/>
      <c r="C404" s="14" t="n"/>
      <c r="D404" s="15" t="n"/>
      <c r="E404" s="15" t="n"/>
      <c r="F404" s="16">
        <f>IF($E404="","",DATE(YEAR($E404),MONTH($E404),1))</f>
        <v/>
      </c>
      <c r="G404" s="14" t="n"/>
      <c r="H404" s="14" t="n"/>
      <c r="I404" s="14" t="n"/>
      <c r="J404" s="14" t="n"/>
      <c r="K404" s="17" t="n"/>
      <c r="L404" s="15" t="n"/>
      <c r="M404" s="14" t="n"/>
      <c r="N404" s="17" t="n"/>
      <c r="O404" s="17" t="n"/>
      <c r="P404" s="18" t="n"/>
      <c r="Q404" s="11">
        <f>IF($A404="","",IF($H404="Stock",IF($I404="Buy",-$M404*$N404-$P404,IF($I404="Sell",IF($N404="", $M404*$O404-$P404,($O404-$N404)*$M404-$P404),"")),IF($I404="Sell",($N404-IF($O404="",0,$O404))*$M404*100-$P404,IF($I404="Buy",(IF($O404="",0,$O404)-$N404)*$M404*100-$P404,""))))</f>
        <v/>
      </c>
      <c r="R404" s="11">
        <f>IF($A404="","",IF($C404="Open","",$Q404))</f>
        <v/>
      </c>
      <c r="S404" s="12">
        <f>IF($A404="","",IFS($B404="Covered Call","Covered Call Premium",$B404="Cash Secured Put","Cash Secured Put Premium",$B404="Long Call/Put","Long Call/Put P/L",$B404="Debit Spread","Long Call/Put P/L",$B404="Stock Sale","Stock Sales",TRUE,"Other"))</f>
        <v/>
      </c>
      <c r="T404" s="11">
        <f>IF($A404="","",IF($B404="Cash Secured Put",$K404*$M404*100,IF($B404="Covered Call",$K404*$M404*100,IF($H404="Stock",$M404*$N404,""))))</f>
        <v/>
      </c>
      <c r="U404" s="19">
        <f>IF(OR($A404="",$C404&lt;&gt;"Closed",$D404="",$E404="",$T404=0),"",$R404/$T404*365/MAX(1,$E404-$D404))</f>
        <v/>
      </c>
      <c r="V404" s="14" t="n"/>
      <c r="W404" s="12" t="n"/>
    </row>
    <row r="405">
      <c r="A405" s="12" t="n"/>
      <c r="B405" s="14" t="n"/>
      <c r="C405" s="14" t="n"/>
      <c r="D405" s="15" t="n"/>
      <c r="E405" s="15" t="n"/>
      <c r="F405" s="16">
        <f>IF($E405="","",DATE(YEAR($E405),MONTH($E405),1))</f>
        <v/>
      </c>
      <c r="G405" s="14" t="n"/>
      <c r="H405" s="14" t="n"/>
      <c r="I405" s="14" t="n"/>
      <c r="J405" s="14" t="n"/>
      <c r="K405" s="17" t="n"/>
      <c r="L405" s="15" t="n"/>
      <c r="M405" s="14" t="n"/>
      <c r="N405" s="17" t="n"/>
      <c r="O405" s="17" t="n"/>
      <c r="P405" s="18" t="n"/>
      <c r="Q405" s="11">
        <f>IF($A405="","",IF($H405="Stock",IF($I405="Buy",-$M405*$N405-$P405,IF($I405="Sell",IF($N405="", $M405*$O405-$P405,($O405-$N405)*$M405-$P405),"")),IF($I405="Sell",($N405-IF($O405="",0,$O405))*$M405*100-$P405,IF($I405="Buy",(IF($O405="",0,$O405)-$N405)*$M405*100-$P405,""))))</f>
        <v/>
      </c>
      <c r="R405" s="11">
        <f>IF($A405="","",IF($C405="Open","",$Q405))</f>
        <v/>
      </c>
      <c r="S405" s="12">
        <f>IF($A405="","",IFS($B405="Covered Call","Covered Call Premium",$B405="Cash Secured Put","Cash Secured Put Premium",$B405="Long Call/Put","Long Call/Put P/L",$B405="Debit Spread","Long Call/Put P/L",$B405="Stock Sale","Stock Sales",TRUE,"Other"))</f>
        <v/>
      </c>
      <c r="T405" s="11">
        <f>IF($A405="","",IF($B405="Cash Secured Put",$K405*$M405*100,IF($B405="Covered Call",$K405*$M405*100,IF($H405="Stock",$M405*$N405,""))))</f>
        <v/>
      </c>
      <c r="U405" s="19">
        <f>IF(OR($A405="",$C405&lt;&gt;"Closed",$D405="",$E405="",$T405=0),"",$R405/$T405*365/MAX(1,$E405-$D405))</f>
        <v/>
      </c>
      <c r="V405" s="14" t="n"/>
      <c r="W405" s="12" t="n"/>
    </row>
    <row r="406">
      <c r="A406" s="12" t="n"/>
      <c r="B406" s="14" t="n"/>
      <c r="C406" s="14" t="n"/>
      <c r="D406" s="15" t="n"/>
      <c r="E406" s="15" t="n"/>
      <c r="F406" s="16">
        <f>IF($E406="","",DATE(YEAR($E406),MONTH($E406),1))</f>
        <v/>
      </c>
      <c r="G406" s="14" t="n"/>
      <c r="H406" s="14" t="n"/>
      <c r="I406" s="14" t="n"/>
      <c r="J406" s="14" t="n"/>
      <c r="K406" s="17" t="n"/>
      <c r="L406" s="15" t="n"/>
      <c r="M406" s="14" t="n"/>
      <c r="N406" s="17" t="n"/>
      <c r="O406" s="17" t="n"/>
      <c r="P406" s="18" t="n"/>
      <c r="Q406" s="11">
        <f>IF($A406="","",IF($H406="Stock",IF($I406="Buy",-$M406*$N406-$P406,IF($I406="Sell",IF($N406="", $M406*$O406-$P406,($O406-$N406)*$M406-$P406),"")),IF($I406="Sell",($N406-IF($O406="",0,$O406))*$M406*100-$P406,IF($I406="Buy",(IF($O406="",0,$O406)-$N406)*$M406*100-$P406,""))))</f>
        <v/>
      </c>
      <c r="R406" s="11">
        <f>IF($A406="","",IF($C406="Open","",$Q406))</f>
        <v/>
      </c>
      <c r="S406" s="12">
        <f>IF($A406="","",IFS($B406="Covered Call","Covered Call Premium",$B406="Cash Secured Put","Cash Secured Put Premium",$B406="Long Call/Put","Long Call/Put P/L",$B406="Debit Spread","Long Call/Put P/L",$B406="Stock Sale","Stock Sales",TRUE,"Other"))</f>
        <v/>
      </c>
      <c r="T406" s="11">
        <f>IF($A406="","",IF($B406="Cash Secured Put",$K406*$M406*100,IF($B406="Covered Call",$K406*$M406*100,IF($H406="Stock",$M406*$N406,""))))</f>
        <v/>
      </c>
      <c r="U406" s="19">
        <f>IF(OR($A406="",$C406&lt;&gt;"Closed",$D406="",$E406="",$T406=0),"",$R406/$T406*365/MAX(1,$E406-$D406))</f>
        <v/>
      </c>
      <c r="V406" s="14" t="n"/>
      <c r="W406" s="12" t="n"/>
    </row>
    <row r="407">
      <c r="A407" s="12" t="n"/>
      <c r="B407" s="14" t="n"/>
      <c r="C407" s="14" t="n"/>
      <c r="D407" s="15" t="n"/>
      <c r="E407" s="15" t="n"/>
      <c r="F407" s="16">
        <f>IF($E407="","",DATE(YEAR($E407),MONTH($E407),1))</f>
        <v/>
      </c>
      <c r="G407" s="14" t="n"/>
      <c r="H407" s="14" t="n"/>
      <c r="I407" s="14" t="n"/>
      <c r="J407" s="14" t="n"/>
      <c r="K407" s="17" t="n"/>
      <c r="L407" s="15" t="n"/>
      <c r="M407" s="14" t="n"/>
      <c r="N407" s="17" t="n"/>
      <c r="O407" s="17" t="n"/>
      <c r="P407" s="18" t="n"/>
      <c r="Q407" s="11">
        <f>IF($A407="","",IF($H407="Stock",IF($I407="Buy",-$M407*$N407-$P407,IF($I407="Sell",IF($N407="", $M407*$O407-$P407,($O407-$N407)*$M407-$P407),"")),IF($I407="Sell",($N407-IF($O407="",0,$O407))*$M407*100-$P407,IF($I407="Buy",(IF($O407="",0,$O407)-$N407)*$M407*100-$P407,""))))</f>
        <v/>
      </c>
      <c r="R407" s="11">
        <f>IF($A407="","",IF($C407="Open","",$Q407))</f>
        <v/>
      </c>
      <c r="S407" s="12">
        <f>IF($A407="","",IFS($B407="Covered Call","Covered Call Premium",$B407="Cash Secured Put","Cash Secured Put Premium",$B407="Long Call/Put","Long Call/Put P/L",$B407="Debit Spread","Long Call/Put P/L",$B407="Stock Sale","Stock Sales",TRUE,"Other"))</f>
        <v/>
      </c>
      <c r="T407" s="11">
        <f>IF($A407="","",IF($B407="Cash Secured Put",$K407*$M407*100,IF($B407="Covered Call",$K407*$M407*100,IF($H407="Stock",$M407*$N407,""))))</f>
        <v/>
      </c>
      <c r="U407" s="19">
        <f>IF(OR($A407="",$C407&lt;&gt;"Closed",$D407="",$E407="",$T407=0),"",$R407/$T407*365/MAX(1,$E407-$D407))</f>
        <v/>
      </c>
      <c r="V407" s="14" t="n"/>
      <c r="W407" s="12" t="n"/>
    </row>
    <row r="408">
      <c r="A408" s="12" t="n"/>
      <c r="B408" s="14" t="n"/>
      <c r="C408" s="14" t="n"/>
      <c r="D408" s="15" t="n"/>
      <c r="E408" s="15" t="n"/>
      <c r="F408" s="16">
        <f>IF($E408="","",DATE(YEAR($E408),MONTH($E408),1))</f>
        <v/>
      </c>
      <c r="G408" s="14" t="n"/>
      <c r="H408" s="14" t="n"/>
      <c r="I408" s="14" t="n"/>
      <c r="J408" s="14" t="n"/>
      <c r="K408" s="17" t="n"/>
      <c r="L408" s="15" t="n"/>
      <c r="M408" s="14" t="n"/>
      <c r="N408" s="17" t="n"/>
      <c r="O408" s="17" t="n"/>
      <c r="P408" s="18" t="n"/>
      <c r="Q408" s="11">
        <f>IF($A408="","",IF($H408="Stock",IF($I408="Buy",-$M408*$N408-$P408,IF($I408="Sell",IF($N408="", $M408*$O408-$P408,($O408-$N408)*$M408-$P408),"")),IF($I408="Sell",($N408-IF($O408="",0,$O408))*$M408*100-$P408,IF($I408="Buy",(IF($O408="",0,$O408)-$N408)*$M408*100-$P408,""))))</f>
        <v/>
      </c>
      <c r="R408" s="11">
        <f>IF($A408="","",IF($C408="Open","",$Q408))</f>
        <v/>
      </c>
      <c r="S408" s="12">
        <f>IF($A408="","",IFS($B408="Covered Call","Covered Call Premium",$B408="Cash Secured Put","Cash Secured Put Premium",$B408="Long Call/Put","Long Call/Put P/L",$B408="Debit Spread","Long Call/Put P/L",$B408="Stock Sale","Stock Sales",TRUE,"Other"))</f>
        <v/>
      </c>
      <c r="T408" s="11">
        <f>IF($A408="","",IF($B408="Cash Secured Put",$K408*$M408*100,IF($B408="Covered Call",$K408*$M408*100,IF($H408="Stock",$M408*$N408,""))))</f>
        <v/>
      </c>
      <c r="U408" s="19">
        <f>IF(OR($A408="",$C408&lt;&gt;"Closed",$D408="",$E408="",$T408=0),"",$R408/$T408*365/MAX(1,$E408-$D408))</f>
        <v/>
      </c>
      <c r="V408" s="14" t="n"/>
      <c r="W408" s="12" t="n"/>
    </row>
    <row r="409">
      <c r="A409" s="12" t="n"/>
      <c r="B409" s="14" t="n"/>
      <c r="C409" s="14" t="n"/>
      <c r="D409" s="15" t="n"/>
      <c r="E409" s="15" t="n"/>
      <c r="F409" s="16">
        <f>IF($E409="","",DATE(YEAR($E409),MONTH($E409),1))</f>
        <v/>
      </c>
      <c r="G409" s="14" t="n"/>
      <c r="H409" s="14" t="n"/>
      <c r="I409" s="14" t="n"/>
      <c r="J409" s="14" t="n"/>
      <c r="K409" s="17" t="n"/>
      <c r="L409" s="15" t="n"/>
      <c r="M409" s="14" t="n"/>
      <c r="N409" s="17" t="n"/>
      <c r="O409" s="17" t="n"/>
      <c r="P409" s="18" t="n"/>
      <c r="Q409" s="11">
        <f>IF($A409="","",IF($H409="Stock",IF($I409="Buy",-$M409*$N409-$P409,IF($I409="Sell",IF($N409="", $M409*$O409-$P409,($O409-$N409)*$M409-$P409),"")),IF($I409="Sell",($N409-IF($O409="",0,$O409))*$M409*100-$P409,IF($I409="Buy",(IF($O409="",0,$O409)-$N409)*$M409*100-$P409,""))))</f>
        <v/>
      </c>
      <c r="R409" s="11">
        <f>IF($A409="","",IF($C409="Open","",$Q409))</f>
        <v/>
      </c>
      <c r="S409" s="12">
        <f>IF($A409="","",IFS($B409="Covered Call","Covered Call Premium",$B409="Cash Secured Put","Cash Secured Put Premium",$B409="Long Call/Put","Long Call/Put P/L",$B409="Debit Spread","Long Call/Put P/L",$B409="Stock Sale","Stock Sales",TRUE,"Other"))</f>
        <v/>
      </c>
      <c r="T409" s="11">
        <f>IF($A409="","",IF($B409="Cash Secured Put",$K409*$M409*100,IF($B409="Covered Call",$K409*$M409*100,IF($H409="Stock",$M409*$N409,""))))</f>
        <v/>
      </c>
      <c r="U409" s="19">
        <f>IF(OR($A409="",$C409&lt;&gt;"Closed",$D409="",$E409="",$T409=0),"",$R409/$T409*365/MAX(1,$E409-$D409))</f>
        <v/>
      </c>
      <c r="V409" s="14" t="n"/>
      <c r="W409" s="12" t="n"/>
    </row>
    <row r="410">
      <c r="A410" s="12" t="n"/>
      <c r="B410" s="14" t="n"/>
      <c r="C410" s="14" t="n"/>
      <c r="D410" s="15" t="n"/>
      <c r="E410" s="15" t="n"/>
      <c r="F410" s="16">
        <f>IF($E410="","",DATE(YEAR($E410),MONTH($E410),1))</f>
        <v/>
      </c>
      <c r="G410" s="14" t="n"/>
      <c r="H410" s="14" t="n"/>
      <c r="I410" s="14" t="n"/>
      <c r="J410" s="14" t="n"/>
      <c r="K410" s="17" t="n"/>
      <c r="L410" s="15" t="n"/>
      <c r="M410" s="14" t="n"/>
      <c r="N410" s="17" t="n"/>
      <c r="O410" s="17" t="n"/>
      <c r="P410" s="18" t="n"/>
      <c r="Q410" s="11">
        <f>IF($A410="","",IF($H410="Stock",IF($I410="Buy",-$M410*$N410-$P410,IF($I410="Sell",IF($N410="", $M410*$O410-$P410,($O410-$N410)*$M410-$P410),"")),IF($I410="Sell",($N410-IF($O410="",0,$O410))*$M410*100-$P410,IF($I410="Buy",(IF($O410="",0,$O410)-$N410)*$M410*100-$P410,""))))</f>
        <v/>
      </c>
      <c r="R410" s="11">
        <f>IF($A410="","",IF($C410="Open","",$Q410))</f>
        <v/>
      </c>
      <c r="S410" s="12">
        <f>IF($A410="","",IFS($B410="Covered Call","Covered Call Premium",$B410="Cash Secured Put","Cash Secured Put Premium",$B410="Long Call/Put","Long Call/Put P/L",$B410="Debit Spread","Long Call/Put P/L",$B410="Stock Sale","Stock Sales",TRUE,"Other"))</f>
        <v/>
      </c>
      <c r="T410" s="11">
        <f>IF($A410="","",IF($B410="Cash Secured Put",$K410*$M410*100,IF($B410="Covered Call",$K410*$M410*100,IF($H410="Stock",$M410*$N410,""))))</f>
        <v/>
      </c>
      <c r="U410" s="19">
        <f>IF(OR($A410="",$C410&lt;&gt;"Closed",$D410="",$E410="",$T410=0),"",$R410/$T410*365/MAX(1,$E410-$D410))</f>
        <v/>
      </c>
      <c r="V410" s="14" t="n"/>
      <c r="W410" s="12" t="n"/>
    </row>
    <row r="411">
      <c r="A411" s="12" t="n"/>
      <c r="B411" s="14" t="n"/>
      <c r="C411" s="14" t="n"/>
      <c r="D411" s="15" t="n"/>
      <c r="E411" s="15" t="n"/>
      <c r="F411" s="16">
        <f>IF($E411="","",DATE(YEAR($E411),MONTH($E411),1))</f>
        <v/>
      </c>
      <c r="G411" s="14" t="n"/>
      <c r="H411" s="14" t="n"/>
      <c r="I411" s="14" t="n"/>
      <c r="J411" s="14" t="n"/>
      <c r="K411" s="17" t="n"/>
      <c r="L411" s="15" t="n"/>
      <c r="M411" s="14" t="n"/>
      <c r="N411" s="17" t="n"/>
      <c r="O411" s="17" t="n"/>
      <c r="P411" s="18" t="n"/>
      <c r="Q411" s="11">
        <f>IF($A411="","",IF($H411="Stock",IF($I411="Buy",-$M411*$N411-$P411,IF($I411="Sell",IF($N411="", $M411*$O411-$P411,($O411-$N411)*$M411-$P411),"")),IF($I411="Sell",($N411-IF($O411="",0,$O411))*$M411*100-$P411,IF($I411="Buy",(IF($O411="",0,$O411)-$N411)*$M411*100-$P411,""))))</f>
        <v/>
      </c>
      <c r="R411" s="11">
        <f>IF($A411="","",IF($C411="Open","",$Q411))</f>
        <v/>
      </c>
      <c r="S411" s="12">
        <f>IF($A411="","",IFS($B411="Covered Call","Covered Call Premium",$B411="Cash Secured Put","Cash Secured Put Premium",$B411="Long Call/Put","Long Call/Put P/L",$B411="Debit Spread","Long Call/Put P/L",$B411="Stock Sale","Stock Sales",TRUE,"Other"))</f>
        <v/>
      </c>
      <c r="T411" s="11">
        <f>IF($A411="","",IF($B411="Cash Secured Put",$K411*$M411*100,IF($B411="Covered Call",$K411*$M411*100,IF($H411="Stock",$M411*$N411,""))))</f>
        <v/>
      </c>
      <c r="U411" s="19">
        <f>IF(OR($A411="",$C411&lt;&gt;"Closed",$D411="",$E411="",$T411=0),"",$R411/$T411*365/MAX(1,$E411-$D411))</f>
        <v/>
      </c>
      <c r="V411" s="14" t="n"/>
      <c r="W411" s="12" t="n"/>
    </row>
    <row r="412">
      <c r="A412" s="12" t="n"/>
      <c r="B412" s="14" t="n"/>
      <c r="C412" s="14" t="n"/>
      <c r="D412" s="15" t="n"/>
      <c r="E412" s="15" t="n"/>
      <c r="F412" s="16">
        <f>IF($E412="","",DATE(YEAR($E412),MONTH($E412),1))</f>
        <v/>
      </c>
      <c r="G412" s="14" t="n"/>
      <c r="H412" s="14" t="n"/>
      <c r="I412" s="14" t="n"/>
      <c r="J412" s="14" t="n"/>
      <c r="K412" s="17" t="n"/>
      <c r="L412" s="15" t="n"/>
      <c r="M412" s="14" t="n"/>
      <c r="N412" s="17" t="n"/>
      <c r="O412" s="17" t="n"/>
      <c r="P412" s="18" t="n"/>
      <c r="Q412" s="11">
        <f>IF($A412="","",IF($H412="Stock",IF($I412="Buy",-$M412*$N412-$P412,IF($I412="Sell",IF($N412="", $M412*$O412-$P412,($O412-$N412)*$M412-$P412),"")),IF($I412="Sell",($N412-IF($O412="",0,$O412))*$M412*100-$P412,IF($I412="Buy",(IF($O412="",0,$O412)-$N412)*$M412*100-$P412,""))))</f>
        <v/>
      </c>
      <c r="R412" s="11">
        <f>IF($A412="","",IF($C412="Open","",$Q412))</f>
        <v/>
      </c>
      <c r="S412" s="12">
        <f>IF($A412="","",IFS($B412="Covered Call","Covered Call Premium",$B412="Cash Secured Put","Cash Secured Put Premium",$B412="Long Call/Put","Long Call/Put P/L",$B412="Debit Spread","Long Call/Put P/L",$B412="Stock Sale","Stock Sales",TRUE,"Other"))</f>
        <v/>
      </c>
      <c r="T412" s="11">
        <f>IF($A412="","",IF($B412="Cash Secured Put",$K412*$M412*100,IF($B412="Covered Call",$K412*$M412*100,IF($H412="Stock",$M412*$N412,""))))</f>
        <v/>
      </c>
      <c r="U412" s="19">
        <f>IF(OR($A412="",$C412&lt;&gt;"Closed",$D412="",$E412="",$T412=0),"",$R412/$T412*365/MAX(1,$E412-$D412))</f>
        <v/>
      </c>
      <c r="V412" s="14" t="n"/>
      <c r="W412" s="12" t="n"/>
    </row>
    <row r="413">
      <c r="A413" s="12" t="n"/>
      <c r="B413" s="14" t="n"/>
      <c r="C413" s="14" t="n"/>
      <c r="D413" s="15" t="n"/>
      <c r="E413" s="15" t="n"/>
      <c r="F413" s="16">
        <f>IF($E413="","",DATE(YEAR($E413),MONTH($E413),1))</f>
        <v/>
      </c>
      <c r="G413" s="14" t="n"/>
      <c r="H413" s="14" t="n"/>
      <c r="I413" s="14" t="n"/>
      <c r="J413" s="14" t="n"/>
      <c r="K413" s="17" t="n"/>
      <c r="L413" s="15" t="n"/>
      <c r="M413" s="14" t="n"/>
      <c r="N413" s="17" t="n"/>
      <c r="O413" s="17" t="n"/>
      <c r="P413" s="18" t="n"/>
      <c r="Q413" s="11">
        <f>IF($A413="","",IF($H413="Stock",IF($I413="Buy",-$M413*$N413-$P413,IF($I413="Sell",IF($N413="", $M413*$O413-$P413,($O413-$N413)*$M413-$P413),"")),IF($I413="Sell",($N413-IF($O413="",0,$O413))*$M413*100-$P413,IF($I413="Buy",(IF($O413="",0,$O413)-$N413)*$M413*100-$P413,""))))</f>
        <v/>
      </c>
      <c r="R413" s="11">
        <f>IF($A413="","",IF($C413="Open","",$Q413))</f>
        <v/>
      </c>
      <c r="S413" s="12">
        <f>IF($A413="","",IFS($B413="Covered Call","Covered Call Premium",$B413="Cash Secured Put","Cash Secured Put Premium",$B413="Long Call/Put","Long Call/Put P/L",$B413="Debit Spread","Long Call/Put P/L",$B413="Stock Sale","Stock Sales",TRUE,"Other"))</f>
        <v/>
      </c>
      <c r="T413" s="11">
        <f>IF($A413="","",IF($B413="Cash Secured Put",$K413*$M413*100,IF($B413="Covered Call",$K413*$M413*100,IF($H413="Stock",$M413*$N413,""))))</f>
        <v/>
      </c>
      <c r="U413" s="19">
        <f>IF(OR($A413="",$C413&lt;&gt;"Closed",$D413="",$E413="",$T413=0),"",$R413/$T413*365/MAX(1,$E413-$D413))</f>
        <v/>
      </c>
      <c r="V413" s="14" t="n"/>
      <c r="W413" s="12" t="n"/>
    </row>
    <row r="414">
      <c r="A414" s="12" t="n"/>
      <c r="B414" s="14" t="n"/>
      <c r="C414" s="14" t="n"/>
      <c r="D414" s="15" t="n"/>
      <c r="E414" s="15" t="n"/>
      <c r="F414" s="16">
        <f>IF($E414="","",DATE(YEAR($E414),MONTH($E414),1))</f>
        <v/>
      </c>
      <c r="G414" s="14" t="n"/>
      <c r="H414" s="14" t="n"/>
      <c r="I414" s="14" t="n"/>
      <c r="J414" s="14" t="n"/>
      <c r="K414" s="17" t="n"/>
      <c r="L414" s="15" t="n"/>
      <c r="M414" s="14" t="n"/>
      <c r="N414" s="17" t="n"/>
      <c r="O414" s="17" t="n"/>
      <c r="P414" s="18" t="n"/>
      <c r="Q414" s="11">
        <f>IF($A414="","",IF($H414="Stock",IF($I414="Buy",-$M414*$N414-$P414,IF($I414="Sell",IF($N414="", $M414*$O414-$P414,($O414-$N414)*$M414-$P414),"")),IF($I414="Sell",($N414-IF($O414="",0,$O414))*$M414*100-$P414,IF($I414="Buy",(IF($O414="",0,$O414)-$N414)*$M414*100-$P414,""))))</f>
        <v/>
      </c>
      <c r="R414" s="11">
        <f>IF($A414="","",IF($C414="Open","",$Q414))</f>
        <v/>
      </c>
      <c r="S414" s="12">
        <f>IF($A414="","",IFS($B414="Covered Call","Covered Call Premium",$B414="Cash Secured Put","Cash Secured Put Premium",$B414="Long Call/Put","Long Call/Put P/L",$B414="Debit Spread","Long Call/Put P/L",$B414="Stock Sale","Stock Sales",TRUE,"Other"))</f>
        <v/>
      </c>
      <c r="T414" s="11">
        <f>IF($A414="","",IF($B414="Cash Secured Put",$K414*$M414*100,IF($B414="Covered Call",$K414*$M414*100,IF($H414="Stock",$M414*$N414,""))))</f>
        <v/>
      </c>
      <c r="U414" s="19">
        <f>IF(OR($A414="",$C414&lt;&gt;"Closed",$D414="",$E414="",$T414=0),"",$R414/$T414*365/MAX(1,$E414-$D414))</f>
        <v/>
      </c>
      <c r="V414" s="14" t="n"/>
      <c r="W414" s="12" t="n"/>
    </row>
    <row r="415">
      <c r="A415" s="12" t="n"/>
      <c r="B415" s="14" t="n"/>
      <c r="C415" s="14" t="n"/>
      <c r="D415" s="15" t="n"/>
      <c r="E415" s="15" t="n"/>
      <c r="F415" s="16">
        <f>IF($E415="","",DATE(YEAR($E415),MONTH($E415),1))</f>
        <v/>
      </c>
      <c r="G415" s="14" t="n"/>
      <c r="H415" s="14" t="n"/>
      <c r="I415" s="14" t="n"/>
      <c r="J415" s="14" t="n"/>
      <c r="K415" s="17" t="n"/>
      <c r="L415" s="15" t="n"/>
      <c r="M415" s="14" t="n"/>
      <c r="N415" s="17" t="n"/>
      <c r="O415" s="17" t="n"/>
      <c r="P415" s="18" t="n"/>
      <c r="Q415" s="11">
        <f>IF($A415="","",IF($H415="Stock",IF($I415="Buy",-$M415*$N415-$P415,IF($I415="Sell",IF($N415="", $M415*$O415-$P415,($O415-$N415)*$M415-$P415),"")),IF($I415="Sell",($N415-IF($O415="",0,$O415))*$M415*100-$P415,IF($I415="Buy",(IF($O415="",0,$O415)-$N415)*$M415*100-$P415,""))))</f>
        <v/>
      </c>
      <c r="R415" s="11">
        <f>IF($A415="","",IF($C415="Open","",$Q415))</f>
        <v/>
      </c>
      <c r="S415" s="12">
        <f>IF($A415="","",IFS($B415="Covered Call","Covered Call Premium",$B415="Cash Secured Put","Cash Secured Put Premium",$B415="Long Call/Put","Long Call/Put P/L",$B415="Debit Spread","Long Call/Put P/L",$B415="Stock Sale","Stock Sales",TRUE,"Other"))</f>
        <v/>
      </c>
      <c r="T415" s="11">
        <f>IF($A415="","",IF($B415="Cash Secured Put",$K415*$M415*100,IF($B415="Covered Call",$K415*$M415*100,IF($H415="Stock",$M415*$N415,""))))</f>
        <v/>
      </c>
      <c r="U415" s="19">
        <f>IF(OR($A415="",$C415&lt;&gt;"Closed",$D415="",$E415="",$T415=0),"",$R415/$T415*365/MAX(1,$E415-$D415))</f>
        <v/>
      </c>
      <c r="V415" s="14" t="n"/>
      <c r="W415" s="12" t="n"/>
    </row>
    <row r="416">
      <c r="A416" s="12" t="n"/>
      <c r="B416" s="14" t="n"/>
      <c r="C416" s="14" t="n"/>
      <c r="D416" s="15" t="n"/>
      <c r="E416" s="15" t="n"/>
      <c r="F416" s="16">
        <f>IF($E416="","",DATE(YEAR($E416),MONTH($E416),1))</f>
        <v/>
      </c>
      <c r="G416" s="14" t="n"/>
      <c r="H416" s="14" t="n"/>
      <c r="I416" s="14" t="n"/>
      <c r="J416" s="14" t="n"/>
      <c r="K416" s="17" t="n"/>
      <c r="L416" s="15" t="n"/>
      <c r="M416" s="14" t="n"/>
      <c r="N416" s="17" t="n"/>
      <c r="O416" s="17" t="n"/>
      <c r="P416" s="18" t="n"/>
      <c r="Q416" s="11">
        <f>IF($A416="","",IF($H416="Stock",IF($I416="Buy",-$M416*$N416-$P416,IF($I416="Sell",IF($N416="", $M416*$O416-$P416,($O416-$N416)*$M416-$P416),"")),IF($I416="Sell",($N416-IF($O416="",0,$O416))*$M416*100-$P416,IF($I416="Buy",(IF($O416="",0,$O416)-$N416)*$M416*100-$P416,""))))</f>
        <v/>
      </c>
      <c r="R416" s="11">
        <f>IF($A416="","",IF($C416="Open","",$Q416))</f>
        <v/>
      </c>
      <c r="S416" s="12">
        <f>IF($A416="","",IFS($B416="Covered Call","Covered Call Premium",$B416="Cash Secured Put","Cash Secured Put Premium",$B416="Long Call/Put","Long Call/Put P/L",$B416="Debit Spread","Long Call/Put P/L",$B416="Stock Sale","Stock Sales",TRUE,"Other"))</f>
        <v/>
      </c>
      <c r="T416" s="11">
        <f>IF($A416="","",IF($B416="Cash Secured Put",$K416*$M416*100,IF($B416="Covered Call",$K416*$M416*100,IF($H416="Stock",$M416*$N416,""))))</f>
        <v/>
      </c>
      <c r="U416" s="19">
        <f>IF(OR($A416="",$C416&lt;&gt;"Closed",$D416="",$E416="",$T416=0),"",$R416/$T416*365/MAX(1,$E416-$D416))</f>
        <v/>
      </c>
      <c r="V416" s="14" t="n"/>
      <c r="W416" s="12" t="n"/>
    </row>
    <row r="417">
      <c r="A417" s="12" t="n"/>
      <c r="B417" s="14" t="n"/>
      <c r="C417" s="14" t="n"/>
      <c r="D417" s="15" t="n"/>
      <c r="E417" s="15" t="n"/>
      <c r="F417" s="16">
        <f>IF($E417="","",DATE(YEAR($E417),MONTH($E417),1))</f>
        <v/>
      </c>
      <c r="G417" s="14" t="n"/>
      <c r="H417" s="14" t="n"/>
      <c r="I417" s="14" t="n"/>
      <c r="J417" s="14" t="n"/>
      <c r="K417" s="17" t="n"/>
      <c r="L417" s="15" t="n"/>
      <c r="M417" s="14" t="n"/>
      <c r="N417" s="17" t="n"/>
      <c r="O417" s="17" t="n"/>
      <c r="P417" s="18" t="n"/>
      <c r="Q417" s="11">
        <f>IF($A417="","",IF($H417="Stock",IF($I417="Buy",-$M417*$N417-$P417,IF($I417="Sell",IF($N417="", $M417*$O417-$P417,($O417-$N417)*$M417-$P417),"")),IF($I417="Sell",($N417-IF($O417="",0,$O417))*$M417*100-$P417,IF($I417="Buy",(IF($O417="",0,$O417)-$N417)*$M417*100-$P417,""))))</f>
        <v/>
      </c>
      <c r="R417" s="11">
        <f>IF($A417="","",IF($C417="Open","",$Q417))</f>
        <v/>
      </c>
      <c r="S417" s="12">
        <f>IF($A417="","",IFS($B417="Covered Call","Covered Call Premium",$B417="Cash Secured Put","Cash Secured Put Premium",$B417="Long Call/Put","Long Call/Put P/L",$B417="Debit Spread","Long Call/Put P/L",$B417="Stock Sale","Stock Sales",TRUE,"Other"))</f>
        <v/>
      </c>
      <c r="T417" s="11">
        <f>IF($A417="","",IF($B417="Cash Secured Put",$K417*$M417*100,IF($B417="Covered Call",$K417*$M417*100,IF($H417="Stock",$M417*$N417,""))))</f>
        <v/>
      </c>
      <c r="U417" s="19">
        <f>IF(OR($A417="",$C417&lt;&gt;"Closed",$D417="",$E417="",$T417=0),"",$R417/$T417*365/MAX(1,$E417-$D417))</f>
        <v/>
      </c>
      <c r="V417" s="14" t="n"/>
      <c r="W417" s="12" t="n"/>
    </row>
    <row r="418">
      <c r="A418" s="12" t="n"/>
      <c r="B418" s="14" t="n"/>
      <c r="C418" s="14" t="n"/>
      <c r="D418" s="15" t="n"/>
      <c r="E418" s="15" t="n"/>
      <c r="F418" s="16">
        <f>IF($E418="","",DATE(YEAR($E418),MONTH($E418),1))</f>
        <v/>
      </c>
      <c r="G418" s="14" t="n"/>
      <c r="H418" s="14" t="n"/>
      <c r="I418" s="14" t="n"/>
      <c r="J418" s="14" t="n"/>
      <c r="K418" s="17" t="n"/>
      <c r="L418" s="15" t="n"/>
      <c r="M418" s="14" t="n"/>
      <c r="N418" s="17" t="n"/>
      <c r="O418" s="17" t="n"/>
      <c r="P418" s="18" t="n"/>
      <c r="Q418" s="11">
        <f>IF($A418="","",IF($H418="Stock",IF($I418="Buy",-$M418*$N418-$P418,IF($I418="Sell",IF($N418="", $M418*$O418-$P418,($O418-$N418)*$M418-$P418),"")),IF($I418="Sell",($N418-IF($O418="",0,$O418))*$M418*100-$P418,IF($I418="Buy",(IF($O418="",0,$O418)-$N418)*$M418*100-$P418,""))))</f>
        <v/>
      </c>
      <c r="R418" s="11">
        <f>IF($A418="","",IF($C418="Open","",$Q418))</f>
        <v/>
      </c>
      <c r="S418" s="12">
        <f>IF($A418="","",IFS($B418="Covered Call","Covered Call Premium",$B418="Cash Secured Put","Cash Secured Put Premium",$B418="Long Call/Put","Long Call/Put P/L",$B418="Debit Spread","Long Call/Put P/L",$B418="Stock Sale","Stock Sales",TRUE,"Other"))</f>
        <v/>
      </c>
      <c r="T418" s="11">
        <f>IF($A418="","",IF($B418="Cash Secured Put",$K418*$M418*100,IF($B418="Covered Call",$K418*$M418*100,IF($H418="Stock",$M418*$N418,""))))</f>
        <v/>
      </c>
      <c r="U418" s="19">
        <f>IF(OR($A418="",$C418&lt;&gt;"Closed",$D418="",$E418="",$T418=0),"",$R418/$T418*365/MAX(1,$E418-$D418))</f>
        <v/>
      </c>
      <c r="V418" s="14" t="n"/>
      <c r="W418" s="12" t="n"/>
    </row>
    <row r="419">
      <c r="A419" s="12" t="n"/>
      <c r="B419" s="14" t="n"/>
      <c r="C419" s="14" t="n"/>
      <c r="D419" s="15" t="n"/>
      <c r="E419" s="15" t="n"/>
      <c r="F419" s="16">
        <f>IF($E419="","",DATE(YEAR($E419),MONTH($E419),1))</f>
        <v/>
      </c>
      <c r="G419" s="14" t="n"/>
      <c r="H419" s="14" t="n"/>
      <c r="I419" s="14" t="n"/>
      <c r="J419" s="14" t="n"/>
      <c r="K419" s="17" t="n"/>
      <c r="L419" s="15" t="n"/>
      <c r="M419" s="14" t="n"/>
      <c r="N419" s="17" t="n"/>
      <c r="O419" s="17" t="n"/>
      <c r="P419" s="18" t="n"/>
      <c r="Q419" s="11">
        <f>IF($A419="","",IF($H419="Stock",IF($I419="Buy",-$M419*$N419-$P419,IF($I419="Sell",IF($N419="", $M419*$O419-$P419,($O419-$N419)*$M419-$P419),"")),IF($I419="Sell",($N419-IF($O419="",0,$O419))*$M419*100-$P419,IF($I419="Buy",(IF($O419="",0,$O419)-$N419)*$M419*100-$P419,""))))</f>
        <v/>
      </c>
      <c r="R419" s="11">
        <f>IF($A419="","",IF($C419="Open","",$Q419))</f>
        <v/>
      </c>
      <c r="S419" s="12">
        <f>IF($A419="","",IFS($B419="Covered Call","Covered Call Premium",$B419="Cash Secured Put","Cash Secured Put Premium",$B419="Long Call/Put","Long Call/Put P/L",$B419="Debit Spread","Long Call/Put P/L",$B419="Stock Sale","Stock Sales",TRUE,"Other"))</f>
        <v/>
      </c>
      <c r="T419" s="11">
        <f>IF($A419="","",IF($B419="Cash Secured Put",$K419*$M419*100,IF($B419="Covered Call",$K419*$M419*100,IF($H419="Stock",$M419*$N419,""))))</f>
        <v/>
      </c>
      <c r="U419" s="19">
        <f>IF(OR($A419="",$C419&lt;&gt;"Closed",$D419="",$E419="",$T419=0),"",$R419/$T419*365/MAX(1,$E419-$D419))</f>
        <v/>
      </c>
      <c r="V419" s="14" t="n"/>
      <c r="W419" s="12" t="n"/>
    </row>
    <row r="420">
      <c r="A420" s="12" t="n"/>
      <c r="B420" s="14" t="n"/>
      <c r="C420" s="14" t="n"/>
      <c r="D420" s="15" t="n"/>
      <c r="E420" s="15" t="n"/>
      <c r="F420" s="16">
        <f>IF($E420="","",DATE(YEAR($E420),MONTH($E420),1))</f>
        <v/>
      </c>
      <c r="G420" s="14" t="n"/>
      <c r="H420" s="14" t="n"/>
      <c r="I420" s="14" t="n"/>
      <c r="J420" s="14" t="n"/>
      <c r="K420" s="17" t="n"/>
      <c r="L420" s="15" t="n"/>
      <c r="M420" s="14" t="n"/>
      <c r="N420" s="17" t="n"/>
      <c r="O420" s="17" t="n"/>
      <c r="P420" s="18" t="n"/>
      <c r="Q420" s="11">
        <f>IF($A420="","",IF($H420="Stock",IF($I420="Buy",-$M420*$N420-$P420,IF($I420="Sell",IF($N420="", $M420*$O420-$P420,($O420-$N420)*$M420-$P420),"")),IF($I420="Sell",($N420-IF($O420="",0,$O420))*$M420*100-$P420,IF($I420="Buy",(IF($O420="",0,$O420)-$N420)*$M420*100-$P420,""))))</f>
        <v/>
      </c>
      <c r="R420" s="11">
        <f>IF($A420="","",IF($C420="Open","",$Q420))</f>
        <v/>
      </c>
      <c r="S420" s="12">
        <f>IF($A420="","",IFS($B420="Covered Call","Covered Call Premium",$B420="Cash Secured Put","Cash Secured Put Premium",$B420="Long Call/Put","Long Call/Put P/L",$B420="Debit Spread","Long Call/Put P/L",$B420="Stock Sale","Stock Sales",TRUE,"Other"))</f>
        <v/>
      </c>
      <c r="T420" s="11">
        <f>IF($A420="","",IF($B420="Cash Secured Put",$K420*$M420*100,IF($B420="Covered Call",$K420*$M420*100,IF($H420="Stock",$M420*$N420,""))))</f>
        <v/>
      </c>
      <c r="U420" s="19">
        <f>IF(OR($A420="",$C420&lt;&gt;"Closed",$D420="",$E420="",$T420=0),"",$R420/$T420*365/MAX(1,$E420-$D420))</f>
        <v/>
      </c>
      <c r="V420" s="14" t="n"/>
      <c r="W420" s="12" t="n"/>
    </row>
    <row r="421">
      <c r="A421" s="12" t="n"/>
      <c r="B421" s="14" t="n"/>
      <c r="C421" s="14" t="n"/>
      <c r="D421" s="15" t="n"/>
      <c r="E421" s="15" t="n"/>
      <c r="F421" s="16">
        <f>IF($E421="","",DATE(YEAR($E421),MONTH($E421),1))</f>
        <v/>
      </c>
      <c r="G421" s="14" t="n"/>
      <c r="H421" s="14" t="n"/>
      <c r="I421" s="14" t="n"/>
      <c r="J421" s="14" t="n"/>
      <c r="K421" s="17" t="n"/>
      <c r="L421" s="15" t="n"/>
      <c r="M421" s="14" t="n"/>
      <c r="N421" s="17" t="n"/>
      <c r="O421" s="17" t="n"/>
      <c r="P421" s="18" t="n"/>
      <c r="Q421" s="11">
        <f>IF($A421="","",IF($H421="Stock",IF($I421="Buy",-$M421*$N421-$P421,IF($I421="Sell",IF($N421="", $M421*$O421-$P421,($O421-$N421)*$M421-$P421),"")),IF($I421="Sell",($N421-IF($O421="",0,$O421))*$M421*100-$P421,IF($I421="Buy",(IF($O421="",0,$O421)-$N421)*$M421*100-$P421,""))))</f>
        <v/>
      </c>
      <c r="R421" s="11">
        <f>IF($A421="","",IF($C421="Open","",$Q421))</f>
        <v/>
      </c>
      <c r="S421" s="12">
        <f>IF($A421="","",IFS($B421="Covered Call","Covered Call Premium",$B421="Cash Secured Put","Cash Secured Put Premium",$B421="Long Call/Put","Long Call/Put P/L",$B421="Debit Spread","Long Call/Put P/L",$B421="Stock Sale","Stock Sales",TRUE,"Other"))</f>
        <v/>
      </c>
      <c r="T421" s="11">
        <f>IF($A421="","",IF($B421="Cash Secured Put",$K421*$M421*100,IF($B421="Covered Call",$K421*$M421*100,IF($H421="Stock",$M421*$N421,""))))</f>
        <v/>
      </c>
      <c r="U421" s="19">
        <f>IF(OR($A421="",$C421&lt;&gt;"Closed",$D421="",$E421="",$T421=0),"",$R421/$T421*365/MAX(1,$E421-$D421))</f>
        <v/>
      </c>
      <c r="V421" s="14" t="n"/>
      <c r="W421" s="12" t="n"/>
    </row>
    <row r="422">
      <c r="A422" s="12" t="n"/>
      <c r="B422" s="14" t="n"/>
      <c r="C422" s="14" t="n"/>
      <c r="D422" s="15" t="n"/>
      <c r="E422" s="15" t="n"/>
      <c r="F422" s="16">
        <f>IF($E422="","",DATE(YEAR($E422),MONTH($E422),1))</f>
        <v/>
      </c>
      <c r="G422" s="14" t="n"/>
      <c r="H422" s="14" t="n"/>
      <c r="I422" s="14" t="n"/>
      <c r="J422" s="14" t="n"/>
      <c r="K422" s="17" t="n"/>
      <c r="L422" s="15" t="n"/>
      <c r="M422" s="14" t="n"/>
      <c r="N422" s="17" t="n"/>
      <c r="O422" s="17" t="n"/>
      <c r="P422" s="18" t="n"/>
      <c r="Q422" s="11">
        <f>IF($A422="","",IF($H422="Stock",IF($I422="Buy",-$M422*$N422-$P422,IF($I422="Sell",IF($N422="", $M422*$O422-$P422,($O422-$N422)*$M422-$P422),"")),IF($I422="Sell",($N422-IF($O422="",0,$O422))*$M422*100-$P422,IF($I422="Buy",(IF($O422="",0,$O422)-$N422)*$M422*100-$P422,""))))</f>
        <v/>
      </c>
      <c r="R422" s="11">
        <f>IF($A422="","",IF($C422="Open","",$Q422))</f>
        <v/>
      </c>
      <c r="S422" s="12">
        <f>IF($A422="","",IFS($B422="Covered Call","Covered Call Premium",$B422="Cash Secured Put","Cash Secured Put Premium",$B422="Long Call/Put","Long Call/Put P/L",$B422="Debit Spread","Long Call/Put P/L",$B422="Stock Sale","Stock Sales",TRUE,"Other"))</f>
        <v/>
      </c>
      <c r="T422" s="11">
        <f>IF($A422="","",IF($B422="Cash Secured Put",$K422*$M422*100,IF($B422="Covered Call",$K422*$M422*100,IF($H422="Stock",$M422*$N422,""))))</f>
        <v/>
      </c>
      <c r="U422" s="19">
        <f>IF(OR($A422="",$C422&lt;&gt;"Closed",$D422="",$E422="",$T422=0),"",$R422/$T422*365/MAX(1,$E422-$D422))</f>
        <v/>
      </c>
      <c r="V422" s="14" t="n"/>
      <c r="W422" s="12" t="n"/>
    </row>
    <row r="423">
      <c r="A423" s="12" t="n"/>
      <c r="B423" s="14" t="n"/>
      <c r="C423" s="14" t="n"/>
      <c r="D423" s="15" t="n"/>
      <c r="E423" s="15" t="n"/>
      <c r="F423" s="16">
        <f>IF($E423="","",DATE(YEAR($E423),MONTH($E423),1))</f>
        <v/>
      </c>
      <c r="G423" s="14" t="n"/>
      <c r="H423" s="14" t="n"/>
      <c r="I423" s="14" t="n"/>
      <c r="J423" s="14" t="n"/>
      <c r="K423" s="17" t="n"/>
      <c r="L423" s="15" t="n"/>
      <c r="M423" s="14" t="n"/>
      <c r="N423" s="17" t="n"/>
      <c r="O423" s="17" t="n"/>
      <c r="P423" s="18" t="n"/>
      <c r="Q423" s="11">
        <f>IF($A423="","",IF($H423="Stock",IF($I423="Buy",-$M423*$N423-$P423,IF($I423="Sell",IF($N423="", $M423*$O423-$P423,($O423-$N423)*$M423-$P423),"")),IF($I423="Sell",($N423-IF($O423="",0,$O423))*$M423*100-$P423,IF($I423="Buy",(IF($O423="",0,$O423)-$N423)*$M423*100-$P423,""))))</f>
        <v/>
      </c>
      <c r="R423" s="11">
        <f>IF($A423="","",IF($C423="Open","",$Q423))</f>
        <v/>
      </c>
      <c r="S423" s="12">
        <f>IF($A423="","",IFS($B423="Covered Call","Covered Call Premium",$B423="Cash Secured Put","Cash Secured Put Premium",$B423="Long Call/Put","Long Call/Put P/L",$B423="Debit Spread","Long Call/Put P/L",$B423="Stock Sale","Stock Sales",TRUE,"Other"))</f>
        <v/>
      </c>
      <c r="T423" s="11">
        <f>IF($A423="","",IF($B423="Cash Secured Put",$K423*$M423*100,IF($B423="Covered Call",$K423*$M423*100,IF($H423="Stock",$M423*$N423,""))))</f>
        <v/>
      </c>
      <c r="U423" s="19">
        <f>IF(OR($A423="",$C423&lt;&gt;"Closed",$D423="",$E423="",$T423=0),"",$R423/$T423*365/MAX(1,$E423-$D423))</f>
        <v/>
      </c>
      <c r="V423" s="14" t="n"/>
      <c r="W423" s="12" t="n"/>
    </row>
    <row r="424">
      <c r="A424" s="12" t="n"/>
      <c r="B424" s="14" t="n"/>
      <c r="C424" s="14" t="n"/>
      <c r="D424" s="15" t="n"/>
      <c r="E424" s="15" t="n"/>
      <c r="F424" s="16">
        <f>IF($E424="","",DATE(YEAR($E424),MONTH($E424),1))</f>
        <v/>
      </c>
      <c r="G424" s="14" t="n"/>
      <c r="H424" s="14" t="n"/>
      <c r="I424" s="14" t="n"/>
      <c r="J424" s="14" t="n"/>
      <c r="K424" s="17" t="n"/>
      <c r="L424" s="15" t="n"/>
      <c r="M424" s="14" t="n"/>
      <c r="N424" s="17" t="n"/>
      <c r="O424" s="17" t="n"/>
      <c r="P424" s="18" t="n"/>
      <c r="Q424" s="11">
        <f>IF($A424="","",IF($H424="Stock",IF($I424="Buy",-$M424*$N424-$P424,IF($I424="Sell",IF($N424="", $M424*$O424-$P424,($O424-$N424)*$M424-$P424),"")),IF($I424="Sell",($N424-IF($O424="",0,$O424))*$M424*100-$P424,IF($I424="Buy",(IF($O424="",0,$O424)-$N424)*$M424*100-$P424,""))))</f>
        <v/>
      </c>
      <c r="R424" s="11">
        <f>IF($A424="","",IF($C424="Open","",$Q424))</f>
        <v/>
      </c>
      <c r="S424" s="12">
        <f>IF($A424="","",IFS($B424="Covered Call","Covered Call Premium",$B424="Cash Secured Put","Cash Secured Put Premium",$B424="Long Call/Put","Long Call/Put P/L",$B424="Debit Spread","Long Call/Put P/L",$B424="Stock Sale","Stock Sales",TRUE,"Other"))</f>
        <v/>
      </c>
      <c r="T424" s="11">
        <f>IF($A424="","",IF($B424="Cash Secured Put",$K424*$M424*100,IF($B424="Covered Call",$K424*$M424*100,IF($H424="Stock",$M424*$N424,""))))</f>
        <v/>
      </c>
      <c r="U424" s="19">
        <f>IF(OR($A424="",$C424&lt;&gt;"Closed",$D424="",$E424="",$T424=0),"",$R424/$T424*365/MAX(1,$E424-$D424))</f>
        <v/>
      </c>
      <c r="V424" s="14" t="n"/>
      <c r="W424" s="12" t="n"/>
    </row>
    <row r="425">
      <c r="A425" s="12" t="n"/>
      <c r="B425" s="14" t="n"/>
      <c r="C425" s="14" t="n"/>
      <c r="D425" s="15" t="n"/>
      <c r="E425" s="15" t="n"/>
      <c r="F425" s="16">
        <f>IF($E425="","",DATE(YEAR($E425),MONTH($E425),1))</f>
        <v/>
      </c>
      <c r="G425" s="14" t="n"/>
      <c r="H425" s="14" t="n"/>
      <c r="I425" s="14" t="n"/>
      <c r="J425" s="14" t="n"/>
      <c r="K425" s="17" t="n"/>
      <c r="L425" s="15" t="n"/>
      <c r="M425" s="14" t="n"/>
      <c r="N425" s="17" t="n"/>
      <c r="O425" s="17" t="n"/>
      <c r="P425" s="18" t="n"/>
      <c r="Q425" s="11">
        <f>IF($A425="","",IF($H425="Stock",IF($I425="Buy",-$M425*$N425-$P425,IF($I425="Sell",IF($N425="", $M425*$O425-$P425,($O425-$N425)*$M425-$P425),"")),IF($I425="Sell",($N425-IF($O425="",0,$O425))*$M425*100-$P425,IF($I425="Buy",(IF($O425="",0,$O425)-$N425)*$M425*100-$P425,""))))</f>
        <v/>
      </c>
      <c r="R425" s="11">
        <f>IF($A425="","",IF($C425="Open","",$Q425))</f>
        <v/>
      </c>
      <c r="S425" s="12">
        <f>IF($A425="","",IFS($B425="Covered Call","Covered Call Premium",$B425="Cash Secured Put","Cash Secured Put Premium",$B425="Long Call/Put","Long Call/Put P/L",$B425="Debit Spread","Long Call/Put P/L",$B425="Stock Sale","Stock Sales",TRUE,"Other"))</f>
        <v/>
      </c>
      <c r="T425" s="11">
        <f>IF($A425="","",IF($B425="Cash Secured Put",$K425*$M425*100,IF($B425="Covered Call",$K425*$M425*100,IF($H425="Stock",$M425*$N425,""))))</f>
        <v/>
      </c>
      <c r="U425" s="19">
        <f>IF(OR($A425="",$C425&lt;&gt;"Closed",$D425="",$E425="",$T425=0),"",$R425/$T425*365/MAX(1,$E425-$D425))</f>
        <v/>
      </c>
      <c r="V425" s="14" t="n"/>
      <c r="W425" s="12" t="n"/>
    </row>
    <row r="426">
      <c r="A426" s="12" t="n"/>
      <c r="B426" s="14" t="n"/>
      <c r="C426" s="14" t="n"/>
      <c r="D426" s="15" t="n"/>
      <c r="E426" s="15" t="n"/>
      <c r="F426" s="16">
        <f>IF($E426="","",DATE(YEAR($E426),MONTH($E426),1))</f>
        <v/>
      </c>
      <c r="G426" s="14" t="n"/>
      <c r="H426" s="14" t="n"/>
      <c r="I426" s="14" t="n"/>
      <c r="J426" s="14" t="n"/>
      <c r="K426" s="17" t="n"/>
      <c r="L426" s="15" t="n"/>
      <c r="M426" s="14" t="n"/>
      <c r="N426" s="17" t="n"/>
      <c r="O426" s="17" t="n"/>
      <c r="P426" s="18" t="n"/>
      <c r="Q426" s="11">
        <f>IF($A426="","",IF($H426="Stock",IF($I426="Buy",-$M426*$N426-$P426,IF($I426="Sell",IF($N426="", $M426*$O426-$P426,($O426-$N426)*$M426-$P426),"")),IF($I426="Sell",($N426-IF($O426="",0,$O426))*$M426*100-$P426,IF($I426="Buy",(IF($O426="",0,$O426)-$N426)*$M426*100-$P426,""))))</f>
        <v/>
      </c>
      <c r="R426" s="11">
        <f>IF($A426="","",IF($C426="Open","",$Q426))</f>
        <v/>
      </c>
      <c r="S426" s="12">
        <f>IF($A426="","",IFS($B426="Covered Call","Covered Call Premium",$B426="Cash Secured Put","Cash Secured Put Premium",$B426="Long Call/Put","Long Call/Put P/L",$B426="Debit Spread","Long Call/Put P/L",$B426="Stock Sale","Stock Sales",TRUE,"Other"))</f>
        <v/>
      </c>
      <c r="T426" s="11">
        <f>IF($A426="","",IF($B426="Cash Secured Put",$K426*$M426*100,IF($B426="Covered Call",$K426*$M426*100,IF($H426="Stock",$M426*$N426,""))))</f>
        <v/>
      </c>
      <c r="U426" s="19">
        <f>IF(OR($A426="",$C426&lt;&gt;"Closed",$D426="",$E426="",$T426=0),"",$R426/$T426*365/MAX(1,$E426-$D426))</f>
        <v/>
      </c>
      <c r="V426" s="14" t="n"/>
      <c r="W426" s="12" t="n"/>
    </row>
    <row r="427">
      <c r="A427" s="12" t="n"/>
      <c r="B427" s="14" t="n"/>
      <c r="C427" s="14" t="n"/>
      <c r="D427" s="15" t="n"/>
      <c r="E427" s="15" t="n"/>
      <c r="F427" s="16">
        <f>IF($E427="","",DATE(YEAR($E427),MONTH($E427),1))</f>
        <v/>
      </c>
      <c r="G427" s="14" t="n"/>
      <c r="H427" s="14" t="n"/>
      <c r="I427" s="14" t="n"/>
      <c r="J427" s="14" t="n"/>
      <c r="K427" s="17" t="n"/>
      <c r="L427" s="15" t="n"/>
      <c r="M427" s="14" t="n"/>
      <c r="N427" s="17" t="n"/>
      <c r="O427" s="17" t="n"/>
      <c r="P427" s="18" t="n"/>
      <c r="Q427" s="11">
        <f>IF($A427="","",IF($H427="Stock",IF($I427="Buy",-$M427*$N427-$P427,IF($I427="Sell",IF($N427="", $M427*$O427-$P427,($O427-$N427)*$M427-$P427),"")),IF($I427="Sell",($N427-IF($O427="",0,$O427))*$M427*100-$P427,IF($I427="Buy",(IF($O427="",0,$O427)-$N427)*$M427*100-$P427,""))))</f>
        <v/>
      </c>
      <c r="R427" s="11">
        <f>IF($A427="","",IF($C427="Open","",$Q427))</f>
        <v/>
      </c>
      <c r="S427" s="12">
        <f>IF($A427="","",IFS($B427="Covered Call","Covered Call Premium",$B427="Cash Secured Put","Cash Secured Put Premium",$B427="Long Call/Put","Long Call/Put P/L",$B427="Debit Spread","Long Call/Put P/L",$B427="Stock Sale","Stock Sales",TRUE,"Other"))</f>
        <v/>
      </c>
      <c r="T427" s="11">
        <f>IF($A427="","",IF($B427="Cash Secured Put",$K427*$M427*100,IF($B427="Covered Call",$K427*$M427*100,IF($H427="Stock",$M427*$N427,""))))</f>
        <v/>
      </c>
      <c r="U427" s="19">
        <f>IF(OR($A427="",$C427&lt;&gt;"Closed",$D427="",$E427="",$T427=0),"",$R427/$T427*365/MAX(1,$E427-$D427))</f>
        <v/>
      </c>
      <c r="V427" s="14" t="n"/>
      <c r="W427" s="12" t="n"/>
    </row>
    <row r="428">
      <c r="A428" s="12" t="n"/>
      <c r="B428" s="14" t="n"/>
      <c r="C428" s="14" t="n"/>
      <c r="D428" s="15" t="n"/>
      <c r="E428" s="15" t="n"/>
      <c r="F428" s="16">
        <f>IF($E428="","",DATE(YEAR($E428),MONTH($E428),1))</f>
        <v/>
      </c>
      <c r="G428" s="14" t="n"/>
      <c r="H428" s="14" t="n"/>
      <c r="I428" s="14" t="n"/>
      <c r="J428" s="14" t="n"/>
      <c r="K428" s="17" t="n"/>
      <c r="L428" s="15" t="n"/>
      <c r="M428" s="14" t="n"/>
      <c r="N428" s="17" t="n"/>
      <c r="O428" s="17" t="n"/>
      <c r="P428" s="18" t="n"/>
      <c r="Q428" s="11">
        <f>IF($A428="","",IF($H428="Stock",IF($I428="Buy",-$M428*$N428-$P428,IF($I428="Sell",IF($N428="", $M428*$O428-$P428,($O428-$N428)*$M428-$P428),"")),IF($I428="Sell",($N428-IF($O428="",0,$O428))*$M428*100-$P428,IF($I428="Buy",(IF($O428="",0,$O428)-$N428)*$M428*100-$P428,""))))</f>
        <v/>
      </c>
      <c r="R428" s="11">
        <f>IF($A428="","",IF($C428="Open","",$Q428))</f>
        <v/>
      </c>
      <c r="S428" s="12">
        <f>IF($A428="","",IFS($B428="Covered Call","Covered Call Premium",$B428="Cash Secured Put","Cash Secured Put Premium",$B428="Long Call/Put","Long Call/Put P/L",$B428="Debit Spread","Long Call/Put P/L",$B428="Stock Sale","Stock Sales",TRUE,"Other"))</f>
        <v/>
      </c>
      <c r="T428" s="11">
        <f>IF($A428="","",IF($B428="Cash Secured Put",$K428*$M428*100,IF($B428="Covered Call",$K428*$M428*100,IF($H428="Stock",$M428*$N428,""))))</f>
        <v/>
      </c>
      <c r="U428" s="19">
        <f>IF(OR($A428="",$C428&lt;&gt;"Closed",$D428="",$E428="",$T428=0),"",$R428/$T428*365/MAX(1,$E428-$D428))</f>
        <v/>
      </c>
      <c r="V428" s="14" t="n"/>
      <c r="W428" s="12" t="n"/>
    </row>
    <row r="429">
      <c r="A429" s="12" t="n"/>
      <c r="B429" s="14" t="n"/>
      <c r="C429" s="14" t="n"/>
      <c r="D429" s="15" t="n"/>
      <c r="E429" s="15" t="n"/>
      <c r="F429" s="16">
        <f>IF($E429="","",DATE(YEAR($E429),MONTH($E429),1))</f>
        <v/>
      </c>
      <c r="G429" s="14" t="n"/>
      <c r="H429" s="14" t="n"/>
      <c r="I429" s="14" t="n"/>
      <c r="J429" s="14" t="n"/>
      <c r="K429" s="17" t="n"/>
      <c r="L429" s="15" t="n"/>
      <c r="M429" s="14" t="n"/>
      <c r="N429" s="17" t="n"/>
      <c r="O429" s="17" t="n"/>
      <c r="P429" s="18" t="n"/>
      <c r="Q429" s="11">
        <f>IF($A429="","",IF($H429="Stock",IF($I429="Buy",-$M429*$N429-$P429,IF($I429="Sell",IF($N429="", $M429*$O429-$P429,($O429-$N429)*$M429-$P429),"")),IF($I429="Sell",($N429-IF($O429="",0,$O429))*$M429*100-$P429,IF($I429="Buy",(IF($O429="",0,$O429)-$N429)*$M429*100-$P429,""))))</f>
        <v/>
      </c>
      <c r="R429" s="11">
        <f>IF($A429="","",IF($C429="Open","",$Q429))</f>
        <v/>
      </c>
      <c r="S429" s="12">
        <f>IF($A429="","",IFS($B429="Covered Call","Covered Call Premium",$B429="Cash Secured Put","Cash Secured Put Premium",$B429="Long Call/Put","Long Call/Put P/L",$B429="Debit Spread","Long Call/Put P/L",$B429="Stock Sale","Stock Sales",TRUE,"Other"))</f>
        <v/>
      </c>
      <c r="T429" s="11">
        <f>IF($A429="","",IF($B429="Cash Secured Put",$K429*$M429*100,IF($B429="Covered Call",$K429*$M429*100,IF($H429="Stock",$M429*$N429,""))))</f>
        <v/>
      </c>
      <c r="U429" s="19">
        <f>IF(OR($A429="",$C429&lt;&gt;"Closed",$D429="",$E429="",$T429=0),"",$R429/$T429*365/MAX(1,$E429-$D429))</f>
        <v/>
      </c>
      <c r="V429" s="14" t="n"/>
      <c r="W429" s="12" t="n"/>
    </row>
    <row r="430">
      <c r="A430" s="12" t="n"/>
      <c r="B430" s="14" t="n"/>
      <c r="C430" s="14" t="n"/>
      <c r="D430" s="15" t="n"/>
      <c r="E430" s="15" t="n"/>
      <c r="F430" s="16">
        <f>IF($E430="","",DATE(YEAR($E430),MONTH($E430),1))</f>
        <v/>
      </c>
      <c r="G430" s="14" t="n"/>
      <c r="H430" s="14" t="n"/>
      <c r="I430" s="14" t="n"/>
      <c r="J430" s="14" t="n"/>
      <c r="K430" s="17" t="n"/>
      <c r="L430" s="15" t="n"/>
      <c r="M430" s="14" t="n"/>
      <c r="N430" s="17" t="n"/>
      <c r="O430" s="17" t="n"/>
      <c r="P430" s="18" t="n"/>
      <c r="Q430" s="11">
        <f>IF($A430="","",IF($H430="Stock",IF($I430="Buy",-$M430*$N430-$P430,IF($I430="Sell",IF($N430="", $M430*$O430-$P430,($O430-$N430)*$M430-$P430),"")),IF($I430="Sell",($N430-IF($O430="",0,$O430))*$M430*100-$P430,IF($I430="Buy",(IF($O430="",0,$O430)-$N430)*$M430*100-$P430,""))))</f>
        <v/>
      </c>
      <c r="R430" s="11">
        <f>IF($A430="","",IF($C430="Open","",$Q430))</f>
        <v/>
      </c>
      <c r="S430" s="12">
        <f>IF($A430="","",IFS($B430="Covered Call","Covered Call Premium",$B430="Cash Secured Put","Cash Secured Put Premium",$B430="Long Call/Put","Long Call/Put P/L",$B430="Debit Spread","Long Call/Put P/L",$B430="Stock Sale","Stock Sales",TRUE,"Other"))</f>
        <v/>
      </c>
      <c r="T430" s="11">
        <f>IF($A430="","",IF($B430="Cash Secured Put",$K430*$M430*100,IF($B430="Covered Call",$K430*$M430*100,IF($H430="Stock",$M430*$N430,""))))</f>
        <v/>
      </c>
      <c r="U430" s="19">
        <f>IF(OR($A430="",$C430&lt;&gt;"Closed",$D430="",$E430="",$T430=0),"",$R430/$T430*365/MAX(1,$E430-$D430))</f>
        <v/>
      </c>
      <c r="V430" s="14" t="n"/>
      <c r="W430" s="12" t="n"/>
    </row>
    <row r="431">
      <c r="A431" s="12" t="n"/>
      <c r="B431" s="14" t="n"/>
      <c r="C431" s="14" t="n"/>
      <c r="D431" s="15" t="n"/>
      <c r="E431" s="15" t="n"/>
      <c r="F431" s="16">
        <f>IF($E431="","",DATE(YEAR($E431),MONTH($E431),1))</f>
        <v/>
      </c>
      <c r="G431" s="14" t="n"/>
      <c r="H431" s="14" t="n"/>
      <c r="I431" s="14" t="n"/>
      <c r="J431" s="14" t="n"/>
      <c r="K431" s="17" t="n"/>
      <c r="L431" s="15" t="n"/>
      <c r="M431" s="14" t="n"/>
      <c r="N431" s="17" t="n"/>
      <c r="O431" s="17" t="n"/>
      <c r="P431" s="18" t="n"/>
      <c r="Q431" s="11">
        <f>IF($A431="","",IF($H431="Stock",IF($I431="Buy",-$M431*$N431-$P431,IF($I431="Sell",IF($N431="", $M431*$O431-$P431,($O431-$N431)*$M431-$P431),"")),IF($I431="Sell",($N431-IF($O431="",0,$O431))*$M431*100-$P431,IF($I431="Buy",(IF($O431="",0,$O431)-$N431)*$M431*100-$P431,""))))</f>
        <v/>
      </c>
      <c r="R431" s="11">
        <f>IF($A431="","",IF($C431="Open","",$Q431))</f>
        <v/>
      </c>
      <c r="S431" s="12">
        <f>IF($A431="","",IFS($B431="Covered Call","Covered Call Premium",$B431="Cash Secured Put","Cash Secured Put Premium",$B431="Long Call/Put","Long Call/Put P/L",$B431="Debit Spread","Long Call/Put P/L",$B431="Stock Sale","Stock Sales",TRUE,"Other"))</f>
        <v/>
      </c>
      <c r="T431" s="11">
        <f>IF($A431="","",IF($B431="Cash Secured Put",$K431*$M431*100,IF($B431="Covered Call",$K431*$M431*100,IF($H431="Stock",$M431*$N431,""))))</f>
        <v/>
      </c>
      <c r="U431" s="19">
        <f>IF(OR($A431="",$C431&lt;&gt;"Closed",$D431="",$E431="",$T431=0),"",$R431/$T431*365/MAX(1,$E431-$D431))</f>
        <v/>
      </c>
      <c r="V431" s="14" t="n"/>
      <c r="W431" s="12" t="n"/>
    </row>
    <row r="432">
      <c r="A432" s="12" t="n"/>
      <c r="B432" s="14" t="n"/>
      <c r="C432" s="14" t="n"/>
      <c r="D432" s="15" t="n"/>
      <c r="E432" s="15" t="n"/>
      <c r="F432" s="16">
        <f>IF($E432="","",DATE(YEAR($E432),MONTH($E432),1))</f>
        <v/>
      </c>
      <c r="G432" s="14" t="n"/>
      <c r="H432" s="14" t="n"/>
      <c r="I432" s="14" t="n"/>
      <c r="J432" s="14" t="n"/>
      <c r="K432" s="17" t="n"/>
      <c r="L432" s="15" t="n"/>
      <c r="M432" s="14" t="n"/>
      <c r="N432" s="17" t="n"/>
      <c r="O432" s="17" t="n"/>
      <c r="P432" s="18" t="n"/>
      <c r="Q432" s="11">
        <f>IF($A432="","",IF($H432="Stock",IF($I432="Buy",-$M432*$N432-$P432,IF($I432="Sell",IF($N432="", $M432*$O432-$P432,($O432-$N432)*$M432-$P432),"")),IF($I432="Sell",($N432-IF($O432="",0,$O432))*$M432*100-$P432,IF($I432="Buy",(IF($O432="",0,$O432)-$N432)*$M432*100-$P432,""))))</f>
        <v/>
      </c>
      <c r="R432" s="11">
        <f>IF($A432="","",IF($C432="Open","",$Q432))</f>
        <v/>
      </c>
      <c r="S432" s="12">
        <f>IF($A432="","",IFS($B432="Covered Call","Covered Call Premium",$B432="Cash Secured Put","Cash Secured Put Premium",$B432="Long Call/Put","Long Call/Put P/L",$B432="Debit Spread","Long Call/Put P/L",$B432="Stock Sale","Stock Sales",TRUE,"Other"))</f>
        <v/>
      </c>
      <c r="T432" s="11">
        <f>IF($A432="","",IF($B432="Cash Secured Put",$K432*$M432*100,IF($B432="Covered Call",$K432*$M432*100,IF($H432="Stock",$M432*$N432,""))))</f>
        <v/>
      </c>
      <c r="U432" s="19">
        <f>IF(OR($A432="",$C432&lt;&gt;"Closed",$D432="",$E432="",$T432=0),"",$R432/$T432*365/MAX(1,$E432-$D432))</f>
        <v/>
      </c>
      <c r="V432" s="14" t="n"/>
      <c r="W432" s="12" t="n"/>
    </row>
    <row r="433">
      <c r="A433" s="12" t="n"/>
      <c r="B433" s="14" t="n"/>
      <c r="C433" s="14" t="n"/>
      <c r="D433" s="15" t="n"/>
      <c r="E433" s="15" t="n"/>
      <c r="F433" s="16">
        <f>IF($E433="","",DATE(YEAR($E433),MONTH($E433),1))</f>
        <v/>
      </c>
      <c r="G433" s="14" t="n"/>
      <c r="H433" s="14" t="n"/>
      <c r="I433" s="14" t="n"/>
      <c r="J433" s="14" t="n"/>
      <c r="K433" s="17" t="n"/>
      <c r="L433" s="15" t="n"/>
      <c r="M433" s="14" t="n"/>
      <c r="N433" s="17" t="n"/>
      <c r="O433" s="17" t="n"/>
      <c r="P433" s="18" t="n"/>
      <c r="Q433" s="11">
        <f>IF($A433="","",IF($H433="Stock",IF($I433="Buy",-$M433*$N433-$P433,IF($I433="Sell",IF($N433="", $M433*$O433-$P433,($O433-$N433)*$M433-$P433),"")),IF($I433="Sell",($N433-IF($O433="",0,$O433))*$M433*100-$P433,IF($I433="Buy",(IF($O433="",0,$O433)-$N433)*$M433*100-$P433,""))))</f>
        <v/>
      </c>
      <c r="R433" s="11">
        <f>IF($A433="","",IF($C433="Open","",$Q433))</f>
        <v/>
      </c>
      <c r="S433" s="12">
        <f>IF($A433="","",IFS($B433="Covered Call","Covered Call Premium",$B433="Cash Secured Put","Cash Secured Put Premium",$B433="Long Call/Put","Long Call/Put P/L",$B433="Debit Spread","Long Call/Put P/L",$B433="Stock Sale","Stock Sales",TRUE,"Other"))</f>
        <v/>
      </c>
      <c r="T433" s="11">
        <f>IF($A433="","",IF($B433="Cash Secured Put",$K433*$M433*100,IF($B433="Covered Call",$K433*$M433*100,IF($H433="Stock",$M433*$N433,""))))</f>
        <v/>
      </c>
      <c r="U433" s="19">
        <f>IF(OR($A433="",$C433&lt;&gt;"Closed",$D433="",$E433="",$T433=0),"",$R433/$T433*365/MAX(1,$E433-$D433))</f>
        <v/>
      </c>
      <c r="V433" s="14" t="n"/>
      <c r="W433" s="12" t="n"/>
    </row>
    <row r="434">
      <c r="A434" s="12" t="n"/>
      <c r="B434" s="14" t="n"/>
      <c r="C434" s="14" t="n"/>
      <c r="D434" s="15" t="n"/>
      <c r="E434" s="15" t="n"/>
      <c r="F434" s="16">
        <f>IF($E434="","",DATE(YEAR($E434),MONTH($E434),1))</f>
        <v/>
      </c>
      <c r="G434" s="14" t="n"/>
      <c r="H434" s="14" t="n"/>
      <c r="I434" s="14" t="n"/>
      <c r="J434" s="14" t="n"/>
      <c r="K434" s="17" t="n"/>
      <c r="L434" s="15" t="n"/>
      <c r="M434" s="14" t="n"/>
      <c r="N434" s="17" t="n"/>
      <c r="O434" s="17" t="n"/>
      <c r="P434" s="18" t="n"/>
      <c r="Q434" s="11">
        <f>IF($A434="","",IF($H434="Stock",IF($I434="Buy",-$M434*$N434-$P434,IF($I434="Sell",IF($N434="", $M434*$O434-$P434,($O434-$N434)*$M434-$P434),"")),IF($I434="Sell",($N434-IF($O434="",0,$O434))*$M434*100-$P434,IF($I434="Buy",(IF($O434="",0,$O434)-$N434)*$M434*100-$P434,""))))</f>
        <v/>
      </c>
      <c r="R434" s="11">
        <f>IF($A434="","",IF($C434="Open","",$Q434))</f>
        <v/>
      </c>
      <c r="S434" s="12">
        <f>IF($A434="","",IFS($B434="Covered Call","Covered Call Premium",$B434="Cash Secured Put","Cash Secured Put Premium",$B434="Long Call/Put","Long Call/Put P/L",$B434="Debit Spread","Long Call/Put P/L",$B434="Stock Sale","Stock Sales",TRUE,"Other"))</f>
        <v/>
      </c>
      <c r="T434" s="11">
        <f>IF($A434="","",IF($B434="Cash Secured Put",$K434*$M434*100,IF($B434="Covered Call",$K434*$M434*100,IF($H434="Stock",$M434*$N434,""))))</f>
        <v/>
      </c>
      <c r="U434" s="19">
        <f>IF(OR($A434="",$C434&lt;&gt;"Closed",$D434="",$E434="",$T434=0),"",$R434/$T434*365/MAX(1,$E434-$D434))</f>
        <v/>
      </c>
      <c r="V434" s="14" t="n"/>
      <c r="W434" s="12" t="n"/>
    </row>
    <row r="435">
      <c r="A435" s="12" t="n"/>
      <c r="B435" s="14" t="n"/>
      <c r="C435" s="14" t="n"/>
      <c r="D435" s="15" t="n"/>
      <c r="E435" s="15" t="n"/>
      <c r="F435" s="16">
        <f>IF($E435="","",DATE(YEAR($E435),MONTH($E435),1))</f>
        <v/>
      </c>
      <c r="G435" s="14" t="n"/>
      <c r="H435" s="14" t="n"/>
      <c r="I435" s="14" t="n"/>
      <c r="J435" s="14" t="n"/>
      <c r="K435" s="17" t="n"/>
      <c r="L435" s="15" t="n"/>
      <c r="M435" s="14" t="n"/>
      <c r="N435" s="17" t="n"/>
      <c r="O435" s="17" t="n"/>
      <c r="P435" s="18" t="n"/>
      <c r="Q435" s="11">
        <f>IF($A435="","",IF($H435="Stock",IF($I435="Buy",-$M435*$N435-$P435,IF($I435="Sell",IF($N435="", $M435*$O435-$P435,($O435-$N435)*$M435-$P435),"")),IF($I435="Sell",($N435-IF($O435="",0,$O435))*$M435*100-$P435,IF($I435="Buy",(IF($O435="",0,$O435)-$N435)*$M435*100-$P435,""))))</f>
        <v/>
      </c>
      <c r="R435" s="11">
        <f>IF($A435="","",IF($C435="Open","",$Q435))</f>
        <v/>
      </c>
      <c r="S435" s="12">
        <f>IF($A435="","",IFS($B435="Covered Call","Covered Call Premium",$B435="Cash Secured Put","Cash Secured Put Premium",$B435="Long Call/Put","Long Call/Put P/L",$B435="Debit Spread","Long Call/Put P/L",$B435="Stock Sale","Stock Sales",TRUE,"Other"))</f>
        <v/>
      </c>
      <c r="T435" s="11">
        <f>IF($A435="","",IF($B435="Cash Secured Put",$K435*$M435*100,IF($B435="Covered Call",$K435*$M435*100,IF($H435="Stock",$M435*$N435,""))))</f>
        <v/>
      </c>
      <c r="U435" s="19">
        <f>IF(OR($A435="",$C435&lt;&gt;"Closed",$D435="",$E435="",$T435=0),"",$R435/$T435*365/MAX(1,$E435-$D435))</f>
        <v/>
      </c>
      <c r="V435" s="14" t="n"/>
      <c r="W435" s="12" t="n"/>
    </row>
    <row r="436">
      <c r="A436" s="12" t="n"/>
      <c r="B436" s="14" t="n"/>
      <c r="C436" s="14" t="n"/>
      <c r="D436" s="15" t="n"/>
      <c r="E436" s="15" t="n"/>
      <c r="F436" s="16">
        <f>IF($E436="","",DATE(YEAR($E436),MONTH($E436),1))</f>
        <v/>
      </c>
      <c r="G436" s="14" t="n"/>
      <c r="H436" s="14" t="n"/>
      <c r="I436" s="14" t="n"/>
      <c r="J436" s="14" t="n"/>
      <c r="K436" s="17" t="n"/>
      <c r="L436" s="15" t="n"/>
      <c r="M436" s="14" t="n"/>
      <c r="N436" s="17" t="n"/>
      <c r="O436" s="17" t="n"/>
      <c r="P436" s="18" t="n"/>
      <c r="Q436" s="11">
        <f>IF($A436="","",IF($H436="Stock",IF($I436="Buy",-$M436*$N436-$P436,IF($I436="Sell",IF($N436="", $M436*$O436-$P436,($O436-$N436)*$M436-$P436),"")),IF($I436="Sell",($N436-IF($O436="",0,$O436))*$M436*100-$P436,IF($I436="Buy",(IF($O436="",0,$O436)-$N436)*$M436*100-$P436,""))))</f>
        <v/>
      </c>
      <c r="R436" s="11">
        <f>IF($A436="","",IF($C436="Open","",$Q436))</f>
        <v/>
      </c>
      <c r="S436" s="12">
        <f>IF($A436="","",IFS($B436="Covered Call","Covered Call Premium",$B436="Cash Secured Put","Cash Secured Put Premium",$B436="Long Call/Put","Long Call/Put P/L",$B436="Debit Spread","Long Call/Put P/L",$B436="Stock Sale","Stock Sales",TRUE,"Other"))</f>
        <v/>
      </c>
      <c r="T436" s="11">
        <f>IF($A436="","",IF($B436="Cash Secured Put",$K436*$M436*100,IF($B436="Covered Call",$K436*$M436*100,IF($H436="Stock",$M436*$N436,""))))</f>
        <v/>
      </c>
      <c r="U436" s="19">
        <f>IF(OR($A436="",$C436&lt;&gt;"Closed",$D436="",$E436="",$T436=0),"",$R436/$T436*365/MAX(1,$E436-$D436))</f>
        <v/>
      </c>
      <c r="V436" s="14" t="n"/>
      <c r="W436" s="12" t="n"/>
    </row>
    <row r="437">
      <c r="A437" s="12" t="n"/>
      <c r="B437" s="14" t="n"/>
      <c r="C437" s="14" t="n"/>
      <c r="D437" s="15" t="n"/>
      <c r="E437" s="15" t="n"/>
      <c r="F437" s="16">
        <f>IF($E437="","",DATE(YEAR($E437),MONTH($E437),1))</f>
        <v/>
      </c>
      <c r="G437" s="14" t="n"/>
      <c r="H437" s="14" t="n"/>
      <c r="I437" s="14" t="n"/>
      <c r="J437" s="14" t="n"/>
      <c r="K437" s="17" t="n"/>
      <c r="L437" s="15" t="n"/>
      <c r="M437" s="14" t="n"/>
      <c r="N437" s="17" t="n"/>
      <c r="O437" s="17" t="n"/>
      <c r="P437" s="18" t="n"/>
      <c r="Q437" s="11">
        <f>IF($A437="","",IF($H437="Stock",IF($I437="Buy",-$M437*$N437-$P437,IF($I437="Sell",IF($N437="", $M437*$O437-$P437,($O437-$N437)*$M437-$P437),"")),IF($I437="Sell",($N437-IF($O437="",0,$O437))*$M437*100-$P437,IF($I437="Buy",(IF($O437="",0,$O437)-$N437)*$M437*100-$P437,""))))</f>
        <v/>
      </c>
      <c r="R437" s="11">
        <f>IF($A437="","",IF($C437="Open","",$Q437))</f>
        <v/>
      </c>
      <c r="S437" s="12">
        <f>IF($A437="","",IFS($B437="Covered Call","Covered Call Premium",$B437="Cash Secured Put","Cash Secured Put Premium",$B437="Long Call/Put","Long Call/Put P/L",$B437="Debit Spread","Long Call/Put P/L",$B437="Stock Sale","Stock Sales",TRUE,"Other"))</f>
        <v/>
      </c>
      <c r="T437" s="11">
        <f>IF($A437="","",IF($B437="Cash Secured Put",$K437*$M437*100,IF($B437="Covered Call",$K437*$M437*100,IF($H437="Stock",$M437*$N437,""))))</f>
        <v/>
      </c>
      <c r="U437" s="19">
        <f>IF(OR($A437="",$C437&lt;&gt;"Closed",$D437="",$E437="",$T437=0),"",$R437/$T437*365/MAX(1,$E437-$D437))</f>
        <v/>
      </c>
      <c r="V437" s="14" t="n"/>
      <c r="W437" s="12" t="n"/>
    </row>
    <row r="438">
      <c r="A438" s="12" t="n"/>
      <c r="B438" s="14" t="n"/>
      <c r="C438" s="14" t="n"/>
      <c r="D438" s="15" t="n"/>
      <c r="E438" s="15" t="n"/>
      <c r="F438" s="16">
        <f>IF($E438="","",DATE(YEAR($E438),MONTH($E438),1))</f>
        <v/>
      </c>
      <c r="G438" s="14" t="n"/>
      <c r="H438" s="14" t="n"/>
      <c r="I438" s="14" t="n"/>
      <c r="J438" s="14" t="n"/>
      <c r="K438" s="17" t="n"/>
      <c r="L438" s="15" t="n"/>
      <c r="M438" s="14" t="n"/>
      <c r="N438" s="17" t="n"/>
      <c r="O438" s="17" t="n"/>
      <c r="P438" s="18" t="n"/>
      <c r="Q438" s="11">
        <f>IF($A438="","",IF($H438="Stock",IF($I438="Buy",-$M438*$N438-$P438,IF($I438="Sell",IF($N438="", $M438*$O438-$P438,($O438-$N438)*$M438-$P438),"")),IF($I438="Sell",($N438-IF($O438="",0,$O438))*$M438*100-$P438,IF($I438="Buy",(IF($O438="",0,$O438)-$N438)*$M438*100-$P438,""))))</f>
        <v/>
      </c>
      <c r="R438" s="11">
        <f>IF($A438="","",IF($C438="Open","",$Q438))</f>
        <v/>
      </c>
      <c r="S438" s="12">
        <f>IF($A438="","",IFS($B438="Covered Call","Covered Call Premium",$B438="Cash Secured Put","Cash Secured Put Premium",$B438="Long Call/Put","Long Call/Put P/L",$B438="Debit Spread","Long Call/Put P/L",$B438="Stock Sale","Stock Sales",TRUE,"Other"))</f>
        <v/>
      </c>
      <c r="T438" s="11">
        <f>IF($A438="","",IF($B438="Cash Secured Put",$K438*$M438*100,IF($B438="Covered Call",$K438*$M438*100,IF($H438="Stock",$M438*$N438,""))))</f>
        <v/>
      </c>
      <c r="U438" s="19">
        <f>IF(OR($A438="",$C438&lt;&gt;"Closed",$D438="",$E438="",$T438=0),"",$R438/$T438*365/MAX(1,$E438-$D438))</f>
        <v/>
      </c>
      <c r="V438" s="14" t="n"/>
      <c r="W438" s="12" t="n"/>
    </row>
    <row r="439">
      <c r="A439" s="12" t="n"/>
      <c r="B439" s="14" t="n"/>
      <c r="C439" s="14" t="n"/>
      <c r="D439" s="15" t="n"/>
      <c r="E439" s="15" t="n"/>
      <c r="F439" s="16">
        <f>IF($E439="","",DATE(YEAR($E439),MONTH($E439),1))</f>
        <v/>
      </c>
      <c r="G439" s="14" t="n"/>
      <c r="H439" s="14" t="n"/>
      <c r="I439" s="14" t="n"/>
      <c r="J439" s="14" t="n"/>
      <c r="K439" s="17" t="n"/>
      <c r="L439" s="15" t="n"/>
      <c r="M439" s="14" t="n"/>
      <c r="N439" s="17" t="n"/>
      <c r="O439" s="17" t="n"/>
      <c r="P439" s="18" t="n"/>
      <c r="Q439" s="11">
        <f>IF($A439="","",IF($H439="Stock",IF($I439="Buy",-$M439*$N439-$P439,IF($I439="Sell",IF($N439="", $M439*$O439-$P439,($O439-$N439)*$M439-$P439),"")),IF($I439="Sell",($N439-IF($O439="",0,$O439))*$M439*100-$P439,IF($I439="Buy",(IF($O439="",0,$O439)-$N439)*$M439*100-$P439,""))))</f>
        <v/>
      </c>
      <c r="R439" s="11">
        <f>IF($A439="","",IF($C439="Open","",$Q439))</f>
        <v/>
      </c>
      <c r="S439" s="12">
        <f>IF($A439="","",IFS($B439="Covered Call","Covered Call Premium",$B439="Cash Secured Put","Cash Secured Put Premium",$B439="Long Call/Put","Long Call/Put P/L",$B439="Debit Spread","Long Call/Put P/L",$B439="Stock Sale","Stock Sales",TRUE,"Other"))</f>
        <v/>
      </c>
      <c r="T439" s="11">
        <f>IF($A439="","",IF($B439="Cash Secured Put",$K439*$M439*100,IF($B439="Covered Call",$K439*$M439*100,IF($H439="Stock",$M439*$N439,""))))</f>
        <v/>
      </c>
      <c r="U439" s="19">
        <f>IF(OR($A439="",$C439&lt;&gt;"Closed",$D439="",$E439="",$T439=0),"",$R439/$T439*365/MAX(1,$E439-$D439))</f>
        <v/>
      </c>
      <c r="V439" s="14" t="n"/>
      <c r="W439" s="12" t="n"/>
    </row>
    <row r="440">
      <c r="A440" s="12" t="n"/>
      <c r="B440" s="14" t="n"/>
      <c r="C440" s="14" t="n"/>
      <c r="D440" s="15" t="n"/>
      <c r="E440" s="15" t="n"/>
      <c r="F440" s="16">
        <f>IF($E440="","",DATE(YEAR($E440),MONTH($E440),1))</f>
        <v/>
      </c>
      <c r="G440" s="14" t="n"/>
      <c r="H440" s="14" t="n"/>
      <c r="I440" s="14" t="n"/>
      <c r="J440" s="14" t="n"/>
      <c r="K440" s="17" t="n"/>
      <c r="L440" s="15" t="n"/>
      <c r="M440" s="14" t="n"/>
      <c r="N440" s="17" t="n"/>
      <c r="O440" s="17" t="n"/>
      <c r="P440" s="18" t="n"/>
      <c r="Q440" s="11">
        <f>IF($A440="","",IF($H440="Stock",IF($I440="Buy",-$M440*$N440-$P440,IF($I440="Sell",IF($N440="", $M440*$O440-$P440,($O440-$N440)*$M440-$P440),"")),IF($I440="Sell",($N440-IF($O440="",0,$O440))*$M440*100-$P440,IF($I440="Buy",(IF($O440="",0,$O440)-$N440)*$M440*100-$P440,""))))</f>
        <v/>
      </c>
      <c r="R440" s="11">
        <f>IF($A440="","",IF($C440="Open","",$Q440))</f>
        <v/>
      </c>
      <c r="S440" s="12">
        <f>IF($A440="","",IFS($B440="Covered Call","Covered Call Premium",$B440="Cash Secured Put","Cash Secured Put Premium",$B440="Long Call/Put","Long Call/Put P/L",$B440="Debit Spread","Long Call/Put P/L",$B440="Stock Sale","Stock Sales",TRUE,"Other"))</f>
        <v/>
      </c>
      <c r="T440" s="11">
        <f>IF($A440="","",IF($B440="Cash Secured Put",$K440*$M440*100,IF($B440="Covered Call",$K440*$M440*100,IF($H440="Stock",$M440*$N440,""))))</f>
        <v/>
      </c>
      <c r="U440" s="19">
        <f>IF(OR($A440="",$C440&lt;&gt;"Closed",$D440="",$E440="",$T440=0),"",$R440/$T440*365/MAX(1,$E440-$D440))</f>
        <v/>
      </c>
      <c r="V440" s="14" t="n"/>
      <c r="W440" s="12" t="n"/>
    </row>
    <row r="441">
      <c r="A441" s="12" t="n"/>
      <c r="B441" s="14" t="n"/>
      <c r="C441" s="14" t="n"/>
      <c r="D441" s="15" t="n"/>
      <c r="E441" s="15" t="n"/>
      <c r="F441" s="16">
        <f>IF($E441="","",DATE(YEAR($E441),MONTH($E441),1))</f>
        <v/>
      </c>
      <c r="G441" s="14" t="n"/>
      <c r="H441" s="14" t="n"/>
      <c r="I441" s="14" t="n"/>
      <c r="J441" s="14" t="n"/>
      <c r="K441" s="17" t="n"/>
      <c r="L441" s="15" t="n"/>
      <c r="M441" s="14" t="n"/>
      <c r="N441" s="17" t="n"/>
      <c r="O441" s="17" t="n"/>
      <c r="P441" s="18" t="n"/>
      <c r="Q441" s="11">
        <f>IF($A441="","",IF($H441="Stock",IF($I441="Buy",-$M441*$N441-$P441,IF($I441="Sell",IF($N441="", $M441*$O441-$P441,($O441-$N441)*$M441-$P441),"")),IF($I441="Sell",($N441-IF($O441="",0,$O441))*$M441*100-$P441,IF($I441="Buy",(IF($O441="",0,$O441)-$N441)*$M441*100-$P441,""))))</f>
        <v/>
      </c>
      <c r="R441" s="11">
        <f>IF($A441="","",IF($C441="Open","",$Q441))</f>
        <v/>
      </c>
      <c r="S441" s="12">
        <f>IF($A441="","",IFS($B441="Covered Call","Covered Call Premium",$B441="Cash Secured Put","Cash Secured Put Premium",$B441="Long Call/Put","Long Call/Put P/L",$B441="Debit Spread","Long Call/Put P/L",$B441="Stock Sale","Stock Sales",TRUE,"Other"))</f>
        <v/>
      </c>
      <c r="T441" s="11">
        <f>IF($A441="","",IF($B441="Cash Secured Put",$K441*$M441*100,IF($B441="Covered Call",$K441*$M441*100,IF($H441="Stock",$M441*$N441,""))))</f>
        <v/>
      </c>
      <c r="U441" s="19">
        <f>IF(OR($A441="",$C441&lt;&gt;"Closed",$D441="",$E441="",$T441=0),"",$R441/$T441*365/MAX(1,$E441-$D441))</f>
        <v/>
      </c>
      <c r="V441" s="14" t="n"/>
      <c r="W441" s="12" t="n"/>
    </row>
    <row r="442">
      <c r="A442" s="12" t="n"/>
      <c r="B442" s="14" t="n"/>
      <c r="C442" s="14" t="n"/>
      <c r="D442" s="15" t="n"/>
      <c r="E442" s="15" t="n"/>
      <c r="F442" s="16">
        <f>IF($E442="","",DATE(YEAR($E442),MONTH($E442),1))</f>
        <v/>
      </c>
      <c r="G442" s="14" t="n"/>
      <c r="H442" s="14" t="n"/>
      <c r="I442" s="14" t="n"/>
      <c r="J442" s="14" t="n"/>
      <c r="K442" s="17" t="n"/>
      <c r="L442" s="15" t="n"/>
      <c r="M442" s="14" t="n"/>
      <c r="N442" s="17" t="n"/>
      <c r="O442" s="17" t="n"/>
      <c r="P442" s="18" t="n"/>
      <c r="Q442" s="11">
        <f>IF($A442="","",IF($H442="Stock",IF($I442="Buy",-$M442*$N442-$P442,IF($I442="Sell",IF($N442="", $M442*$O442-$P442,($O442-$N442)*$M442-$P442),"")),IF($I442="Sell",($N442-IF($O442="",0,$O442))*$M442*100-$P442,IF($I442="Buy",(IF($O442="",0,$O442)-$N442)*$M442*100-$P442,""))))</f>
        <v/>
      </c>
      <c r="R442" s="11">
        <f>IF($A442="","",IF($C442="Open","",$Q442))</f>
        <v/>
      </c>
      <c r="S442" s="12">
        <f>IF($A442="","",IFS($B442="Covered Call","Covered Call Premium",$B442="Cash Secured Put","Cash Secured Put Premium",$B442="Long Call/Put","Long Call/Put P/L",$B442="Debit Spread","Long Call/Put P/L",$B442="Stock Sale","Stock Sales",TRUE,"Other"))</f>
        <v/>
      </c>
      <c r="T442" s="11">
        <f>IF($A442="","",IF($B442="Cash Secured Put",$K442*$M442*100,IF($B442="Covered Call",$K442*$M442*100,IF($H442="Stock",$M442*$N442,""))))</f>
        <v/>
      </c>
      <c r="U442" s="19">
        <f>IF(OR($A442="",$C442&lt;&gt;"Closed",$D442="",$E442="",$T442=0),"",$R442/$T442*365/MAX(1,$E442-$D442))</f>
        <v/>
      </c>
      <c r="V442" s="14" t="n"/>
      <c r="W442" s="12" t="n"/>
    </row>
    <row r="443">
      <c r="A443" s="12" t="n"/>
      <c r="B443" s="14" t="n"/>
      <c r="C443" s="14" t="n"/>
      <c r="D443" s="15" t="n"/>
      <c r="E443" s="15" t="n"/>
      <c r="F443" s="16">
        <f>IF($E443="","",DATE(YEAR($E443),MONTH($E443),1))</f>
        <v/>
      </c>
      <c r="G443" s="14" t="n"/>
      <c r="H443" s="14" t="n"/>
      <c r="I443" s="14" t="n"/>
      <c r="J443" s="14" t="n"/>
      <c r="K443" s="17" t="n"/>
      <c r="L443" s="15" t="n"/>
      <c r="M443" s="14" t="n"/>
      <c r="N443" s="17" t="n"/>
      <c r="O443" s="17" t="n"/>
      <c r="P443" s="18" t="n"/>
      <c r="Q443" s="11">
        <f>IF($A443="","",IF($H443="Stock",IF($I443="Buy",-$M443*$N443-$P443,IF($I443="Sell",IF($N443="", $M443*$O443-$P443,($O443-$N443)*$M443-$P443),"")),IF($I443="Sell",($N443-IF($O443="",0,$O443))*$M443*100-$P443,IF($I443="Buy",(IF($O443="",0,$O443)-$N443)*$M443*100-$P443,""))))</f>
        <v/>
      </c>
      <c r="R443" s="11">
        <f>IF($A443="","",IF($C443="Open","",$Q443))</f>
        <v/>
      </c>
      <c r="S443" s="12">
        <f>IF($A443="","",IFS($B443="Covered Call","Covered Call Premium",$B443="Cash Secured Put","Cash Secured Put Premium",$B443="Long Call/Put","Long Call/Put P/L",$B443="Debit Spread","Long Call/Put P/L",$B443="Stock Sale","Stock Sales",TRUE,"Other"))</f>
        <v/>
      </c>
      <c r="T443" s="11">
        <f>IF($A443="","",IF($B443="Cash Secured Put",$K443*$M443*100,IF($B443="Covered Call",$K443*$M443*100,IF($H443="Stock",$M443*$N443,""))))</f>
        <v/>
      </c>
      <c r="U443" s="19">
        <f>IF(OR($A443="",$C443&lt;&gt;"Closed",$D443="",$E443="",$T443=0),"",$R443/$T443*365/MAX(1,$E443-$D443))</f>
        <v/>
      </c>
      <c r="V443" s="14" t="n"/>
      <c r="W443" s="12" t="n"/>
    </row>
    <row r="444">
      <c r="A444" s="12" t="n"/>
      <c r="B444" s="14" t="n"/>
      <c r="C444" s="14" t="n"/>
      <c r="D444" s="15" t="n"/>
      <c r="E444" s="15" t="n"/>
      <c r="F444" s="16">
        <f>IF($E444="","",DATE(YEAR($E444),MONTH($E444),1))</f>
        <v/>
      </c>
      <c r="G444" s="14" t="n"/>
      <c r="H444" s="14" t="n"/>
      <c r="I444" s="14" t="n"/>
      <c r="J444" s="14" t="n"/>
      <c r="K444" s="17" t="n"/>
      <c r="L444" s="15" t="n"/>
      <c r="M444" s="14" t="n"/>
      <c r="N444" s="17" t="n"/>
      <c r="O444" s="17" t="n"/>
      <c r="P444" s="18" t="n"/>
      <c r="Q444" s="11">
        <f>IF($A444="","",IF($H444="Stock",IF($I444="Buy",-$M444*$N444-$P444,IF($I444="Sell",IF($N444="", $M444*$O444-$P444,($O444-$N444)*$M444-$P444),"")),IF($I444="Sell",($N444-IF($O444="",0,$O444))*$M444*100-$P444,IF($I444="Buy",(IF($O444="",0,$O444)-$N444)*$M444*100-$P444,""))))</f>
        <v/>
      </c>
      <c r="R444" s="11">
        <f>IF($A444="","",IF($C444="Open","",$Q444))</f>
        <v/>
      </c>
      <c r="S444" s="12">
        <f>IF($A444="","",IFS($B444="Covered Call","Covered Call Premium",$B444="Cash Secured Put","Cash Secured Put Premium",$B444="Long Call/Put","Long Call/Put P/L",$B444="Debit Spread","Long Call/Put P/L",$B444="Stock Sale","Stock Sales",TRUE,"Other"))</f>
        <v/>
      </c>
      <c r="T444" s="11">
        <f>IF($A444="","",IF($B444="Cash Secured Put",$K444*$M444*100,IF($B444="Covered Call",$K444*$M444*100,IF($H444="Stock",$M444*$N444,""))))</f>
        <v/>
      </c>
      <c r="U444" s="19">
        <f>IF(OR($A444="",$C444&lt;&gt;"Closed",$D444="",$E444="",$T444=0),"",$R444/$T444*365/MAX(1,$E444-$D444))</f>
        <v/>
      </c>
      <c r="V444" s="14" t="n"/>
      <c r="W444" s="12" t="n"/>
    </row>
    <row r="445">
      <c r="A445" s="12" t="n"/>
      <c r="B445" s="14" t="n"/>
      <c r="C445" s="14" t="n"/>
      <c r="D445" s="15" t="n"/>
      <c r="E445" s="15" t="n"/>
      <c r="F445" s="16">
        <f>IF($E445="","",DATE(YEAR($E445),MONTH($E445),1))</f>
        <v/>
      </c>
      <c r="G445" s="14" t="n"/>
      <c r="H445" s="14" t="n"/>
      <c r="I445" s="14" t="n"/>
      <c r="J445" s="14" t="n"/>
      <c r="K445" s="17" t="n"/>
      <c r="L445" s="15" t="n"/>
      <c r="M445" s="14" t="n"/>
      <c r="N445" s="17" t="n"/>
      <c r="O445" s="17" t="n"/>
      <c r="P445" s="18" t="n"/>
      <c r="Q445" s="11">
        <f>IF($A445="","",IF($H445="Stock",IF($I445="Buy",-$M445*$N445-$P445,IF($I445="Sell",IF($N445="", $M445*$O445-$P445,($O445-$N445)*$M445-$P445),"")),IF($I445="Sell",($N445-IF($O445="",0,$O445))*$M445*100-$P445,IF($I445="Buy",(IF($O445="",0,$O445)-$N445)*$M445*100-$P445,""))))</f>
        <v/>
      </c>
      <c r="R445" s="11">
        <f>IF($A445="","",IF($C445="Open","",$Q445))</f>
        <v/>
      </c>
      <c r="S445" s="12">
        <f>IF($A445="","",IFS($B445="Covered Call","Covered Call Premium",$B445="Cash Secured Put","Cash Secured Put Premium",$B445="Long Call/Put","Long Call/Put P/L",$B445="Debit Spread","Long Call/Put P/L",$B445="Stock Sale","Stock Sales",TRUE,"Other"))</f>
        <v/>
      </c>
      <c r="T445" s="11">
        <f>IF($A445="","",IF($B445="Cash Secured Put",$K445*$M445*100,IF($B445="Covered Call",$K445*$M445*100,IF($H445="Stock",$M445*$N445,""))))</f>
        <v/>
      </c>
      <c r="U445" s="19">
        <f>IF(OR($A445="",$C445&lt;&gt;"Closed",$D445="",$E445="",$T445=0),"",$R445/$T445*365/MAX(1,$E445-$D445))</f>
        <v/>
      </c>
      <c r="V445" s="14" t="n"/>
      <c r="W445" s="12" t="n"/>
    </row>
    <row r="446">
      <c r="A446" s="12" t="n"/>
      <c r="B446" s="14" t="n"/>
      <c r="C446" s="14" t="n"/>
      <c r="D446" s="15" t="n"/>
      <c r="E446" s="15" t="n"/>
      <c r="F446" s="16">
        <f>IF($E446="","",DATE(YEAR($E446),MONTH($E446),1))</f>
        <v/>
      </c>
      <c r="G446" s="14" t="n"/>
      <c r="H446" s="14" t="n"/>
      <c r="I446" s="14" t="n"/>
      <c r="J446" s="14" t="n"/>
      <c r="K446" s="17" t="n"/>
      <c r="L446" s="15" t="n"/>
      <c r="M446" s="14" t="n"/>
      <c r="N446" s="17" t="n"/>
      <c r="O446" s="17" t="n"/>
      <c r="P446" s="18" t="n"/>
      <c r="Q446" s="11">
        <f>IF($A446="","",IF($H446="Stock",IF($I446="Buy",-$M446*$N446-$P446,IF($I446="Sell",IF($N446="", $M446*$O446-$P446,($O446-$N446)*$M446-$P446),"")),IF($I446="Sell",($N446-IF($O446="",0,$O446))*$M446*100-$P446,IF($I446="Buy",(IF($O446="",0,$O446)-$N446)*$M446*100-$P446,""))))</f>
        <v/>
      </c>
      <c r="R446" s="11">
        <f>IF($A446="","",IF($C446="Open","",$Q446))</f>
        <v/>
      </c>
      <c r="S446" s="12">
        <f>IF($A446="","",IFS($B446="Covered Call","Covered Call Premium",$B446="Cash Secured Put","Cash Secured Put Premium",$B446="Long Call/Put","Long Call/Put P/L",$B446="Debit Spread","Long Call/Put P/L",$B446="Stock Sale","Stock Sales",TRUE,"Other"))</f>
        <v/>
      </c>
      <c r="T446" s="11">
        <f>IF($A446="","",IF($B446="Cash Secured Put",$K446*$M446*100,IF($B446="Covered Call",$K446*$M446*100,IF($H446="Stock",$M446*$N446,""))))</f>
        <v/>
      </c>
      <c r="U446" s="19">
        <f>IF(OR($A446="",$C446&lt;&gt;"Closed",$D446="",$E446="",$T446=0),"",$R446/$T446*365/MAX(1,$E446-$D446))</f>
        <v/>
      </c>
      <c r="V446" s="14" t="n"/>
      <c r="W446" s="12" t="n"/>
    </row>
    <row r="447">
      <c r="A447" s="12" t="n"/>
      <c r="B447" s="14" t="n"/>
      <c r="C447" s="14" t="n"/>
      <c r="D447" s="15" t="n"/>
      <c r="E447" s="15" t="n"/>
      <c r="F447" s="16">
        <f>IF($E447="","",DATE(YEAR($E447),MONTH($E447),1))</f>
        <v/>
      </c>
      <c r="G447" s="14" t="n"/>
      <c r="H447" s="14" t="n"/>
      <c r="I447" s="14" t="n"/>
      <c r="J447" s="14" t="n"/>
      <c r="K447" s="17" t="n"/>
      <c r="L447" s="15" t="n"/>
      <c r="M447" s="14" t="n"/>
      <c r="N447" s="17" t="n"/>
      <c r="O447" s="17" t="n"/>
      <c r="P447" s="18" t="n"/>
      <c r="Q447" s="11">
        <f>IF($A447="","",IF($H447="Stock",IF($I447="Buy",-$M447*$N447-$P447,IF($I447="Sell",IF($N447="", $M447*$O447-$P447,($O447-$N447)*$M447-$P447),"")),IF($I447="Sell",($N447-IF($O447="",0,$O447))*$M447*100-$P447,IF($I447="Buy",(IF($O447="",0,$O447)-$N447)*$M447*100-$P447,""))))</f>
        <v/>
      </c>
      <c r="R447" s="11">
        <f>IF($A447="","",IF($C447="Open","",$Q447))</f>
        <v/>
      </c>
      <c r="S447" s="12">
        <f>IF($A447="","",IFS($B447="Covered Call","Covered Call Premium",$B447="Cash Secured Put","Cash Secured Put Premium",$B447="Long Call/Put","Long Call/Put P/L",$B447="Debit Spread","Long Call/Put P/L",$B447="Stock Sale","Stock Sales",TRUE,"Other"))</f>
        <v/>
      </c>
      <c r="T447" s="11">
        <f>IF($A447="","",IF($B447="Cash Secured Put",$K447*$M447*100,IF($B447="Covered Call",$K447*$M447*100,IF($H447="Stock",$M447*$N447,""))))</f>
        <v/>
      </c>
      <c r="U447" s="19">
        <f>IF(OR($A447="",$C447&lt;&gt;"Closed",$D447="",$E447="",$T447=0),"",$R447/$T447*365/MAX(1,$E447-$D447))</f>
        <v/>
      </c>
      <c r="V447" s="14" t="n"/>
      <c r="W447" s="12" t="n"/>
    </row>
    <row r="448">
      <c r="A448" s="12" t="n"/>
      <c r="B448" s="14" t="n"/>
      <c r="C448" s="14" t="n"/>
      <c r="D448" s="15" t="n"/>
      <c r="E448" s="15" t="n"/>
      <c r="F448" s="16">
        <f>IF($E448="","",DATE(YEAR($E448),MONTH($E448),1))</f>
        <v/>
      </c>
      <c r="G448" s="14" t="n"/>
      <c r="H448" s="14" t="n"/>
      <c r="I448" s="14" t="n"/>
      <c r="J448" s="14" t="n"/>
      <c r="K448" s="17" t="n"/>
      <c r="L448" s="15" t="n"/>
      <c r="M448" s="14" t="n"/>
      <c r="N448" s="17" t="n"/>
      <c r="O448" s="17" t="n"/>
      <c r="P448" s="18" t="n"/>
      <c r="Q448" s="11">
        <f>IF($A448="","",IF($H448="Stock",IF($I448="Buy",-$M448*$N448-$P448,IF($I448="Sell",IF($N448="", $M448*$O448-$P448,($O448-$N448)*$M448-$P448),"")),IF($I448="Sell",($N448-IF($O448="",0,$O448))*$M448*100-$P448,IF($I448="Buy",(IF($O448="",0,$O448)-$N448)*$M448*100-$P448,""))))</f>
        <v/>
      </c>
      <c r="R448" s="11">
        <f>IF($A448="","",IF($C448="Open","",$Q448))</f>
        <v/>
      </c>
      <c r="S448" s="12">
        <f>IF($A448="","",IFS($B448="Covered Call","Covered Call Premium",$B448="Cash Secured Put","Cash Secured Put Premium",$B448="Long Call/Put","Long Call/Put P/L",$B448="Debit Spread","Long Call/Put P/L",$B448="Stock Sale","Stock Sales",TRUE,"Other"))</f>
        <v/>
      </c>
      <c r="T448" s="11">
        <f>IF($A448="","",IF($B448="Cash Secured Put",$K448*$M448*100,IF($B448="Covered Call",$K448*$M448*100,IF($H448="Stock",$M448*$N448,""))))</f>
        <v/>
      </c>
      <c r="U448" s="19">
        <f>IF(OR($A448="",$C448&lt;&gt;"Closed",$D448="",$E448="",$T448=0),"",$R448/$T448*365/MAX(1,$E448-$D448))</f>
        <v/>
      </c>
      <c r="V448" s="14" t="n"/>
      <c r="W448" s="12" t="n"/>
    </row>
    <row r="449">
      <c r="A449" s="12" t="n"/>
      <c r="B449" s="14" t="n"/>
      <c r="C449" s="14" t="n"/>
      <c r="D449" s="15" t="n"/>
      <c r="E449" s="15" t="n"/>
      <c r="F449" s="16">
        <f>IF($E449="","",DATE(YEAR($E449),MONTH($E449),1))</f>
        <v/>
      </c>
      <c r="G449" s="14" t="n"/>
      <c r="H449" s="14" t="n"/>
      <c r="I449" s="14" t="n"/>
      <c r="J449" s="14" t="n"/>
      <c r="K449" s="17" t="n"/>
      <c r="L449" s="15" t="n"/>
      <c r="M449" s="14" t="n"/>
      <c r="N449" s="17" t="n"/>
      <c r="O449" s="17" t="n"/>
      <c r="P449" s="18" t="n"/>
      <c r="Q449" s="11">
        <f>IF($A449="","",IF($H449="Stock",IF($I449="Buy",-$M449*$N449-$P449,IF($I449="Sell",IF($N449="", $M449*$O449-$P449,($O449-$N449)*$M449-$P449),"")),IF($I449="Sell",($N449-IF($O449="",0,$O449))*$M449*100-$P449,IF($I449="Buy",(IF($O449="",0,$O449)-$N449)*$M449*100-$P449,""))))</f>
        <v/>
      </c>
      <c r="R449" s="11">
        <f>IF($A449="","",IF($C449="Open","",$Q449))</f>
        <v/>
      </c>
      <c r="S449" s="12">
        <f>IF($A449="","",IFS($B449="Covered Call","Covered Call Premium",$B449="Cash Secured Put","Cash Secured Put Premium",$B449="Long Call/Put","Long Call/Put P/L",$B449="Debit Spread","Long Call/Put P/L",$B449="Stock Sale","Stock Sales",TRUE,"Other"))</f>
        <v/>
      </c>
      <c r="T449" s="11">
        <f>IF($A449="","",IF($B449="Cash Secured Put",$K449*$M449*100,IF($B449="Covered Call",$K449*$M449*100,IF($H449="Stock",$M449*$N449,""))))</f>
        <v/>
      </c>
      <c r="U449" s="19">
        <f>IF(OR($A449="",$C449&lt;&gt;"Closed",$D449="",$E449="",$T449=0),"",$R449/$T449*365/MAX(1,$E449-$D449))</f>
        <v/>
      </c>
      <c r="V449" s="14" t="n"/>
      <c r="W449" s="12" t="n"/>
    </row>
    <row r="450">
      <c r="A450" s="12" t="n"/>
      <c r="B450" s="14" t="n"/>
      <c r="C450" s="14" t="n"/>
      <c r="D450" s="15" t="n"/>
      <c r="E450" s="15" t="n"/>
      <c r="F450" s="16">
        <f>IF($E450="","",DATE(YEAR($E450),MONTH($E450),1))</f>
        <v/>
      </c>
      <c r="G450" s="14" t="n"/>
      <c r="H450" s="14" t="n"/>
      <c r="I450" s="14" t="n"/>
      <c r="J450" s="14" t="n"/>
      <c r="K450" s="17" t="n"/>
      <c r="L450" s="15" t="n"/>
      <c r="M450" s="14" t="n"/>
      <c r="N450" s="17" t="n"/>
      <c r="O450" s="17" t="n"/>
      <c r="P450" s="18" t="n"/>
      <c r="Q450" s="11">
        <f>IF($A450="","",IF($H450="Stock",IF($I450="Buy",-$M450*$N450-$P450,IF($I450="Sell",IF($N450="", $M450*$O450-$P450,($O450-$N450)*$M450-$P450),"")),IF($I450="Sell",($N450-IF($O450="",0,$O450))*$M450*100-$P450,IF($I450="Buy",(IF($O450="",0,$O450)-$N450)*$M450*100-$P450,""))))</f>
        <v/>
      </c>
      <c r="R450" s="11">
        <f>IF($A450="","",IF($C450="Open","",$Q450))</f>
        <v/>
      </c>
      <c r="S450" s="12">
        <f>IF($A450="","",IFS($B450="Covered Call","Covered Call Premium",$B450="Cash Secured Put","Cash Secured Put Premium",$B450="Long Call/Put","Long Call/Put P/L",$B450="Debit Spread","Long Call/Put P/L",$B450="Stock Sale","Stock Sales",TRUE,"Other"))</f>
        <v/>
      </c>
      <c r="T450" s="11">
        <f>IF($A450="","",IF($B450="Cash Secured Put",$K450*$M450*100,IF($B450="Covered Call",$K450*$M450*100,IF($H450="Stock",$M450*$N450,""))))</f>
        <v/>
      </c>
      <c r="U450" s="19">
        <f>IF(OR($A450="",$C450&lt;&gt;"Closed",$D450="",$E450="",$T450=0),"",$R450/$T450*365/MAX(1,$E450-$D450))</f>
        <v/>
      </c>
      <c r="V450" s="14" t="n"/>
      <c r="W450" s="12" t="n"/>
    </row>
    <row r="451">
      <c r="A451" s="12" t="n"/>
      <c r="B451" s="14" t="n"/>
      <c r="C451" s="14" t="n"/>
      <c r="D451" s="15" t="n"/>
      <c r="E451" s="15" t="n"/>
      <c r="F451" s="16">
        <f>IF($E451="","",DATE(YEAR($E451),MONTH($E451),1))</f>
        <v/>
      </c>
      <c r="G451" s="14" t="n"/>
      <c r="H451" s="14" t="n"/>
      <c r="I451" s="14" t="n"/>
      <c r="J451" s="14" t="n"/>
      <c r="K451" s="17" t="n"/>
      <c r="L451" s="15" t="n"/>
      <c r="M451" s="14" t="n"/>
      <c r="N451" s="17" t="n"/>
      <c r="O451" s="17" t="n"/>
      <c r="P451" s="18" t="n"/>
      <c r="Q451" s="11">
        <f>IF($A451="","",IF($H451="Stock",IF($I451="Buy",-$M451*$N451-$P451,IF($I451="Sell",IF($N451="", $M451*$O451-$P451,($O451-$N451)*$M451-$P451),"")),IF($I451="Sell",($N451-IF($O451="",0,$O451))*$M451*100-$P451,IF($I451="Buy",(IF($O451="",0,$O451)-$N451)*$M451*100-$P451,""))))</f>
        <v/>
      </c>
      <c r="R451" s="11">
        <f>IF($A451="","",IF($C451="Open","",$Q451))</f>
        <v/>
      </c>
      <c r="S451" s="12">
        <f>IF($A451="","",IFS($B451="Covered Call","Covered Call Premium",$B451="Cash Secured Put","Cash Secured Put Premium",$B451="Long Call/Put","Long Call/Put P/L",$B451="Debit Spread","Long Call/Put P/L",$B451="Stock Sale","Stock Sales",TRUE,"Other"))</f>
        <v/>
      </c>
      <c r="T451" s="11">
        <f>IF($A451="","",IF($B451="Cash Secured Put",$K451*$M451*100,IF($B451="Covered Call",$K451*$M451*100,IF($H451="Stock",$M451*$N451,""))))</f>
        <v/>
      </c>
      <c r="U451" s="19">
        <f>IF(OR($A451="",$C451&lt;&gt;"Closed",$D451="",$E451="",$T451=0),"",$R451/$T451*365/MAX(1,$E451-$D451))</f>
        <v/>
      </c>
      <c r="V451" s="14" t="n"/>
      <c r="W451" s="12" t="n"/>
    </row>
    <row r="452">
      <c r="A452" s="12" t="n"/>
      <c r="B452" s="14" t="n"/>
      <c r="C452" s="14" t="n"/>
      <c r="D452" s="15" t="n"/>
      <c r="E452" s="15" t="n"/>
      <c r="F452" s="16">
        <f>IF($E452="","",DATE(YEAR($E452),MONTH($E452),1))</f>
        <v/>
      </c>
      <c r="G452" s="14" t="n"/>
      <c r="H452" s="14" t="n"/>
      <c r="I452" s="14" t="n"/>
      <c r="J452" s="14" t="n"/>
      <c r="K452" s="17" t="n"/>
      <c r="L452" s="15" t="n"/>
      <c r="M452" s="14" t="n"/>
      <c r="N452" s="17" t="n"/>
      <c r="O452" s="17" t="n"/>
      <c r="P452" s="18" t="n"/>
      <c r="Q452" s="11">
        <f>IF($A452="","",IF($H452="Stock",IF($I452="Buy",-$M452*$N452-$P452,IF($I452="Sell",IF($N452="", $M452*$O452-$P452,($O452-$N452)*$M452-$P452),"")),IF($I452="Sell",($N452-IF($O452="",0,$O452))*$M452*100-$P452,IF($I452="Buy",(IF($O452="",0,$O452)-$N452)*$M452*100-$P452,""))))</f>
        <v/>
      </c>
      <c r="R452" s="11">
        <f>IF($A452="","",IF($C452="Open","",$Q452))</f>
        <v/>
      </c>
      <c r="S452" s="12">
        <f>IF($A452="","",IFS($B452="Covered Call","Covered Call Premium",$B452="Cash Secured Put","Cash Secured Put Premium",$B452="Long Call/Put","Long Call/Put P/L",$B452="Debit Spread","Long Call/Put P/L",$B452="Stock Sale","Stock Sales",TRUE,"Other"))</f>
        <v/>
      </c>
      <c r="T452" s="11">
        <f>IF($A452="","",IF($B452="Cash Secured Put",$K452*$M452*100,IF($B452="Covered Call",$K452*$M452*100,IF($H452="Stock",$M452*$N452,""))))</f>
        <v/>
      </c>
      <c r="U452" s="19">
        <f>IF(OR($A452="",$C452&lt;&gt;"Closed",$D452="",$E452="",$T452=0),"",$R452/$T452*365/MAX(1,$E452-$D452))</f>
        <v/>
      </c>
      <c r="V452" s="14" t="n"/>
      <c r="W452" s="12" t="n"/>
    </row>
    <row r="453">
      <c r="A453" s="12" t="n"/>
      <c r="B453" s="14" t="n"/>
      <c r="C453" s="14" t="n"/>
      <c r="D453" s="15" t="n"/>
      <c r="E453" s="15" t="n"/>
      <c r="F453" s="16">
        <f>IF($E453="","",DATE(YEAR($E453),MONTH($E453),1))</f>
        <v/>
      </c>
      <c r="G453" s="14" t="n"/>
      <c r="H453" s="14" t="n"/>
      <c r="I453" s="14" t="n"/>
      <c r="J453" s="14" t="n"/>
      <c r="K453" s="17" t="n"/>
      <c r="L453" s="15" t="n"/>
      <c r="M453" s="14" t="n"/>
      <c r="N453" s="17" t="n"/>
      <c r="O453" s="17" t="n"/>
      <c r="P453" s="18" t="n"/>
      <c r="Q453" s="11">
        <f>IF($A453="","",IF($H453="Stock",IF($I453="Buy",-$M453*$N453-$P453,IF($I453="Sell",IF($N453="", $M453*$O453-$P453,($O453-$N453)*$M453-$P453),"")),IF($I453="Sell",($N453-IF($O453="",0,$O453))*$M453*100-$P453,IF($I453="Buy",(IF($O453="",0,$O453)-$N453)*$M453*100-$P453,""))))</f>
        <v/>
      </c>
      <c r="R453" s="11">
        <f>IF($A453="","",IF($C453="Open","",$Q453))</f>
        <v/>
      </c>
      <c r="S453" s="12">
        <f>IF($A453="","",IFS($B453="Covered Call","Covered Call Premium",$B453="Cash Secured Put","Cash Secured Put Premium",$B453="Long Call/Put","Long Call/Put P/L",$B453="Debit Spread","Long Call/Put P/L",$B453="Stock Sale","Stock Sales",TRUE,"Other"))</f>
        <v/>
      </c>
      <c r="T453" s="11">
        <f>IF($A453="","",IF($B453="Cash Secured Put",$K453*$M453*100,IF($B453="Covered Call",$K453*$M453*100,IF($H453="Stock",$M453*$N453,""))))</f>
        <v/>
      </c>
      <c r="U453" s="19">
        <f>IF(OR($A453="",$C453&lt;&gt;"Closed",$D453="",$E453="",$T453=0),"",$R453/$T453*365/MAX(1,$E453-$D453))</f>
        <v/>
      </c>
      <c r="V453" s="14" t="n"/>
      <c r="W453" s="12" t="n"/>
    </row>
    <row r="454">
      <c r="A454" s="12" t="n"/>
      <c r="B454" s="14" t="n"/>
      <c r="C454" s="14" t="n"/>
      <c r="D454" s="15" t="n"/>
      <c r="E454" s="15" t="n"/>
      <c r="F454" s="16">
        <f>IF($E454="","",DATE(YEAR($E454),MONTH($E454),1))</f>
        <v/>
      </c>
      <c r="G454" s="14" t="n"/>
      <c r="H454" s="14" t="n"/>
      <c r="I454" s="14" t="n"/>
      <c r="J454" s="14" t="n"/>
      <c r="K454" s="17" t="n"/>
      <c r="L454" s="15" t="n"/>
      <c r="M454" s="14" t="n"/>
      <c r="N454" s="17" t="n"/>
      <c r="O454" s="17" t="n"/>
      <c r="P454" s="18" t="n"/>
      <c r="Q454" s="11">
        <f>IF($A454="","",IF($H454="Stock",IF($I454="Buy",-$M454*$N454-$P454,IF($I454="Sell",IF($N454="", $M454*$O454-$P454,($O454-$N454)*$M454-$P454),"")),IF($I454="Sell",($N454-IF($O454="",0,$O454))*$M454*100-$P454,IF($I454="Buy",(IF($O454="",0,$O454)-$N454)*$M454*100-$P454,""))))</f>
        <v/>
      </c>
      <c r="R454" s="11">
        <f>IF($A454="","",IF($C454="Open","",$Q454))</f>
        <v/>
      </c>
      <c r="S454" s="12">
        <f>IF($A454="","",IFS($B454="Covered Call","Covered Call Premium",$B454="Cash Secured Put","Cash Secured Put Premium",$B454="Long Call/Put","Long Call/Put P/L",$B454="Debit Spread","Long Call/Put P/L",$B454="Stock Sale","Stock Sales",TRUE,"Other"))</f>
        <v/>
      </c>
      <c r="T454" s="11">
        <f>IF($A454="","",IF($B454="Cash Secured Put",$K454*$M454*100,IF($B454="Covered Call",$K454*$M454*100,IF($H454="Stock",$M454*$N454,""))))</f>
        <v/>
      </c>
      <c r="U454" s="19">
        <f>IF(OR($A454="",$C454&lt;&gt;"Closed",$D454="",$E454="",$T454=0),"",$R454/$T454*365/MAX(1,$E454-$D454))</f>
        <v/>
      </c>
      <c r="V454" s="14" t="n"/>
      <c r="W454" s="12" t="n"/>
    </row>
    <row r="455">
      <c r="A455" s="12" t="n"/>
      <c r="B455" s="14" t="n"/>
      <c r="C455" s="14" t="n"/>
      <c r="D455" s="15" t="n"/>
      <c r="E455" s="15" t="n"/>
      <c r="F455" s="16">
        <f>IF($E455="","",DATE(YEAR($E455),MONTH($E455),1))</f>
        <v/>
      </c>
      <c r="G455" s="14" t="n"/>
      <c r="H455" s="14" t="n"/>
      <c r="I455" s="14" t="n"/>
      <c r="J455" s="14" t="n"/>
      <c r="K455" s="17" t="n"/>
      <c r="L455" s="15" t="n"/>
      <c r="M455" s="14" t="n"/>
      <c r="N455" s="17" t="n"/>
      <c r="O455" s="17" t="n"/>
      <c r="P455" s="18" t="n"/>
      <c r="Q455" s="11">
        <f>IF($A455="","",IF($H455="Stock",IF($I455="Buy",-$M455*$N455-$P455,IF($I455="Sell",IF($N455="", $M455*$O455-$P455,($O455-$N455)*$M455-$P455),"")),IF($I455="Sell",($N455-IF($O455="",0,$O455))*$M455*100-$P455,IF($I455="Buy",(IF($O455="",0,$O455)-$N455)*$M455*100-$P455,""))))</f>
        <v/>
      </c>
      <c r="R455" s="11">
        <f>IF($A455="","",IF($C455="Open","",$Q455))</f>
        <v/>
      </c>
      <c r="S455" s="12">
        <f>IF($A455="","",IFS($B455="Covered Call","Covered Call Premium",$B455="Cash Secured Put","Cash Secured Put Premium",$B455="Long Call/Put","Long Call/Put P/L",$B455="Debit Spread","Long Call/Put P/L",$B455="Stock Sale","Stock Sales",TRUE,"Other"))</f>
        <v/>
      </c>
      <c r="T455" s="11">
        <f>IF($A455="","",IF($B455="Cash Secured Put",$K455*$M455*100,IF($B455="Covered Call",$K455*$M455*100,IF($H455="Stock",$M455*$N455,""))))</f>
        <v/>
      </c>
      <c r="U455" s="19">
        <f>IF(OR($A455="",$C455&lt;&gt;"Closed",$D455="",$E455="",$T455=0),"",$R455/$T455*365/MAX(1,$E455-$D455))</f>
        <v/>
      </c>
      <c r="V455" s="14" t="n"/>
      <c r="W455" s="12" t="n"/>
    </row>
    <row r="456">
      <c r="A456" s="12" t="n"/>
      <c r="B456" s="14" t="n"/>
      <c r="C456" s="14" t="n"/>
      <c r="D456" s="15" t="n"/>
      <c r="E456" s="15" t="n"/>
      <c r="F456" s="16">
        <f>IF($E456="","",DATE(YEAR($E456),MONTH($E456),1))</f>
        <v/>
      </c>
      <c r="G456" s="14" t="n"/>
      <c r="H456" s="14" t="n"/>
      <c r="I456" s="14" t="n"/>
      <c r="J456" s="14" t="n"/>
      <c r="K456" s="17" t="n"/>
      <c r="L456" s="15" t="n"/>
      <c r="M456" s="14" t="n"/>
      <c r="N456" s="17" t="n"/>
      <c r="O456" s="17" t="n"/>
      <c r="P456" s="18" t="n"/>
      <c r="Q456" s="11">
        <f>IF($A456="","",IF($H456="Stock",IF($I456="Buy",-$M456*$N456-$P456,IF($I456="Sell",IF($N456="", $M456*$O456-$P456,($O456-$N456)*$M456-$P456),"")),IF($I456="Sell",($N456-IF($O456="",0,$O456))*$M456*100-$P456,IF($I456="Buy",(IF($O456="",0,$O456)-$N456)*$M456*100-$P456,""))))</f>
        <v/>
      </c>
      <c r="R456" s="11">
        <f>IF($A456="","",IF($C456="Open","",$Q456))</f>
        <v/>
      </c>
      <c r="S456" s="12">
        <f>IF($A456="","",IFS($B456="Covered Call","Covered Call Premium",$B456="Cash Secured Put","Cash Secured Put Premium",$B456="Long Call/Put","Long Call/Put P/L",$B456="Debit Spread","Long Call/Put P/L",$B456="Stock Sale","Stock Sales",TRUE,"Other"))</f>
        <v/>
      </c>
      <c r="T456" s="11">
        <f>IF($A456="","",IF($B456="Cash Secured Put",$K456*$M456*100,IF($B456="Covered Call",$K456*$M456*100,IF($H456="Stock",$M456*$N456,""))))</f>
        <v/>
      </c>
      <c r="U456" s="19">
        <f>IF(OR($A456="",$C456&lt;&gt;"Closed",$D456="",$E456="",$T456=0),"",$R456/$T456*365/MAX(1,$E456-$D456))</f>
        <v/>
      </c>
      <c r="V456" s="14" t="n"/>
      <c r="W456" s="12" t="n"/>
    </row>
    <row r="457">
      <c r="A457" s="12" t="n"/>
      <c r="B457" s="14" t="n"/>
      <c r="C457" s="14" t="n"/>
      <c r="D457" s="15" t="n"/>
      <c r="E457" s="15" t="n"/>
      <c r="F457" s="16">
        <f>IF($E457="","",DATE(YEAR($E457),MONTH($E457),1))</f>
        <v/>
      </c>
      <c r="G457" s="14" t="n"/>
      <c r="H457" s="14" t="n"/>
      <c r="I457" s="14" t="n"/>
      <c r="J457" s="14" t="n"/>
      <c r="K457" s="17" t="n"/>
      <c r="L457" s="15" t="n"/>
      <c r="M457" s="14" t="n"/>
      <c r="N457" s="17" t="n"/>
      <c r="O457" s="17" t="n"/>
      <c r="P457" s="18" t="n"/>
      <c r="Q457" s="11">
        <f>IF($A457="","",IF($H457="Stock",IF($I457="Buy",-$M457*$N457-$P457,IF($I457="Sell",IF($N457="", $M457*$O457-$P457,($O457-$N457)*$M457-$P457),"")),IF($I457="Sell",($N457-IF($O457="",0,$O457))*$M457*100-$P457,IF($I457="Buy",(IF($O457="",0,$O457)-$N457)*$M457*100-$P457,""))))</f>
        <v/>
      </c>
      <c r="R457" s="11">
        <f>IF($A457="","",IF($C457="Open","",$Q457))</f>
        <v/>
      </c>
      <c r="S457" s="12">
        <f>IF($A457="","",IFS($B457="Covered Call","Covered Call Premium",$B457="Cash Secured Put","Cash Secured Put Premium",$B457="Long Call/Put","Long Call/Put P/L",$B457="Debit Spread","Long Call/Put P/L",$B457="Stock Sale","Stock Sales",TRUE,"Other"))</f>
        <v/>
      </c>
      <c r="T457" s="11">
        <f>IF($A457="","",IF($B457="Cash Secured Put",$K457*$M457*100,IF($B457="Covered Call",$K457*$M457*100,IF($H457="Stock",$M457*$N457,""))))</f>
        <v/>
      </c>
      <c r="U457" s="19">
        <f>IF(OR($A457="",$C457&lt;&gt;"Closed",$D457="",$E457="",$T457=0),"",$R457/$T457*365/MAX(1,$E457-$D457))</f>
        <v/>
      </c>
      <c r="V457" s="14" t="n"/>
      <c r="W457" s="12" t="n"/>
    </row>
    <row r="458">
      <c r="A458" s="12" t="n"/>
      <c r="B458" s="14" t="n"/>
      <c r="C458" s="14" t="n"/>
      <c r="D458" s="15" t="n"/>
      <c r="E458" s="15" t="n"/>
      <c r="F458" s="16">
        <f>IF($E458="","",DATE(YEAR($E458),MONTH($E458),1))</f>
        <v/>
      </c>
      <c r="G458" s="14" t="n"/>
      <c r="H458" s="14" t="n"/>
      <c r="I458" s="14" t="n"/>
      <c r="J458" s="14" t="n"/>
      <c r="K458" s="17" t="n"/>
      <c r="L458" s="15" t="n"/>
      <c r="M458" s="14" t="n"/>
      <c r="N458" s="17" t="n"/>
      <c r="O458" s="17" t="n"/>
      <c r="P458" s="18" t="n"/>
      <c r="Q458" s="11">
        <f>IF($A458="","",IF($H458="Stock",IF($I458="Buy",-$M458*$N458-$P458,IF($I458="Sell",IF($N458="", $M458*$O458-$P458,($O458-$N458)*$M458-$P458),"")),IF($I458="Sell",($N458-IF($O458="",0,$O458))*$M458*100-$P458,IF($I458="Buy",(IF($O458="",0,$O458)-$N458)*$M458*100-$P458,""))))</f>
        <v/>
      </c>
      <c r="R458" s="11">
        <f>IF($A458="","",IF($C458="Open","",$Q458))</f>
        <v/>
      </c>
      <c r="S458" s="12">
        <f>IF($A458="","",IFS($B458="Covered Call","Covered Call Premium",$B458="Cash Secured Put","Cash Secured Put Premium",$B458="Long Call/Put","Long Call/Put P/L",$B458="Debit Spread","Long Call/Put P/L",$B458="Stock Sale","Stock Sales",TRUE,"Other"))</f>
        <v/>
      </c>
      <c r="T458" s="11">
        <f>IF($A458="","",IF($B458="Cash Secured Put",$K458*$M458*100,IF($B458="Covered Call",$K458*$M458*100,IF($H458="Stock",$M458*$N458,""))))</f>
        <v/>
      </c>
      <c r="U458" s="19">
        <f>IF(OR($A458="",$C458&lt;&gt;"Closed",$D458="",$E458="",$T458=0),"",$R458/$T458*365/MAX(1,$E458-$D458))</f>
        <v/>
      </c>
      <c r="V458" s="14" t="n"/>
      <c r="W458" s="12" t="n"/>
    </row>
    <row r="459">
      <c r="A459" s="12" t="n"/>
      <c r="B459" s="14" t="n"/>
      <c r="C459" s="14" t="n"/>
      <c r="D459" s="15" t="n"/>
      <c r="E459" s="15" t="n"/>
      <c r="F459" s="16">
        <f>IF($E459="","",DATE(YEAR($E459),MONTH($E459),1))</f>
        <v/>
      </c>
      <c r="G459" s="14" t="n"/>
      <c r="H459" s="14" t="n"/>
      <c r="I459" s="14" t="n"/>
      <c r="J459" s="14" t="n"/>
      <c r="K459" s="17" t="n"/>
      <c r="L459" s="15" t="n"/>
      <c r="M459" s="14" t="n"/>
      <c r="N459" s="17" t="n"/>
      <c r="O459" s="17" t="n"/>
      <c r="P459" s="18" t="n"/>
      <c r="Q459" s="11">
        <f>IF($A459="","",IF($H459="Stock",IF($I459="Buy",-$M459*$N459-$P459,IF($I459="Sell",IF($N459="", $M459*$O459-$P459,($O459-$N459)*$M459-$P459),"")),IF($I459="Sell",($N459-IF($O459="",0,$O459))*$M459*100-$P459,IF($I459="Buy",(IF($O459="",0,$O459)-$N459)*$M459*100-$P459,""))))</f>
        <v/>
      </c>
      <c r="R459" s="11">
        <f>IF($A459="","",IF($C459="Open","",$Q459))</f>
        <v/>
      </c>
      <c r="S459" s="12">
        <f>IF($A459="","",IFS($B459="Covered Call","Covered Call Premium",$B459="Cash Secured Put","Cash Secured Put Premium",$B459="Long Call/Put","Long Call/Put P/L",$B459="Debit Spread","Long Call/Put P/L",$B459="Stock Sale","Stock Sales",TRUE,"Other"))</f>
        <v/>
      </c>
      <c r="T459" s="11">
        <f>IF($A459="","",IF($B459="Cash Secured Put",$K459*$M459*100,IF($B459="Covered Call",$K459*$M459*100,IF($H459="Stock",$M459*$N459,""))))</f>
        <v/>
      </c>
      <c r="U459" s="19">
        <f>IF(OR($A459="",$C459&lt;&gt;"Closed",$D459="",$E459="",$T459=0),"",$R459/$T459*365/MAX(1,$E459-$D459))</f>
        <v/>
      </c>
      <c r="V459" s="14" t="n"/>
      <c r="W459" s="12" t="n"/>
    </row>
    <row r="460">
      <c r="A460" s="12" t="n"/>
      <c r="B460" s="14" t="n"/>
      <c r="C460" s="14" t="n"/>
      <c r="D460" s="15" t="n"/>
      <c r="E460" s="15" t="n"/>
      <c r="F460" s="16">
        <f>IF($E460="","",DATE(YEAR($E460),MONTH($E460),1))</f>
        <v/>
      </c>
      <c r="G460" s="14" t="n"/>
      <c r="H460" s="14" t="n"/>
      <c r="I460" s="14" t="n"/>
      <c r="J460" s="14" t="n"/>
      <c r="K460" s="17" t="n"/>
      <c r="L460" s="15" t="n"/>
      <c r="M460" s="14" t="n"/>
      <c r="N460" s="17" t="n"/>
      <c r="O460" s="17" t="n"/>
      <c r="P460" s="18" t="n"/>
      <c r="Q460" s="11">
        <f>IF($A460="","",IF($H460="Stock",IF($I460="Buy",-$M460*$N460-$P460,IF($I460="Sell",IF($N460="", $M460*$O460-$P460,($O460-$N460)*$M460-$P460),"")),IF($I460="Sell",($N460-IF($O460="",0,$O460))*$M460*100-$P460,IF($I460="Buy",(IF($O460="",0,$O460)-$N460)*$M460*100-$P460,""))))</f>
        <v/>
      </c>
      <c r="R460" s="11">
        <f>IF($A460="","",IF($C460="Open","",$Q460))</f>
        <v/>
      </c>
      <c r="S460" s="12">
        <f>IF($A460="","",IFS($B460="Covered Call","Covered Call Premium",$B460="Cash Secured Put","Cash Secured Put Premium",$B460="Long Call/Put","Long Call/Put P/L",$B460="Debit Spread","Long Call/Put P/L",$B460="Stock Sale","Stock Sales",TRUE,"Other"))</f>
        <v/>
      </c>
      <c r="T460" s="11">
        <f>IF($A460="","",IF($B460="Cash Secured Put",$K460*$M460*100,IF($B460="Covered Call",$K460*$M460*100,IF($H460="Stock",$M460*$N460,""))))</f>
        <v/>
      </c>
      <c r="U460" s="19">
        <f>IF(OR($A460="",$C460&lt;&gt;"Closed",$D460="",$E460="",$T460=0),"",$R460/$T460*365/MAX(1,$E460-$D460))</f>
        <v/>
      </c>
      <c r="V460" s="14" t="n"/>
      <c r="W460" s="12" t="n"/>
    </row>
    <row r="461">
      <c r="A461" s="12" t="n"/>
      <c r="B461" s="14" t="n"/>
      <c r="C461" s="14" t="n"/>
      <c r="D461" s="15" t="n"/>
      <c r="E461" s="15" t="n"/>
      <c r="F461" s="16">
        <f>IF($E461="","",DATE(YEAR($E461),MONTH($E461),1))</f>
        <v/>
      </c>
      <c r="G461" s="14" t="n"/>
      <c r="H461" s="14" t="n"/>
      <c r="I461" s="14" t="n"/>
      <c r="J461" s="14" t="n"/>
      <c r="K461" s="17" t="n"/>
      <c r="L461" s="15" t="n"/>
      <c r="M461" s="14" t="n"/>
      <c r="N461" s="17" t="n"/>
      <c r="O461" s="17" t="n"/>
      <c r="P461" s="18" t="n"/>
      <c r="Q461" s="11">
        <f>IF($A461="","",IF($H461="Stock",IF($I461="Buy",-$M461*$N461-$P461,IF($I461="Sell",IF($N461="", $M461*$O461-$P461,($O461-$N461)*$M461-$P461),"")),IF($I461="Sell",($N461-IF($O461="",0,$O461))*$M461*100-$P461,IF($I461="Buy",(IF($O461="",0,$O461)-$N461)*$M461*100-$P461,""))))</f>
        <v/>
      </c>
      <c r="R461" s="11">
        <f>IF($A461="","",IF($C461="Open","",$Q461))</f>
        <v/>
      </c>
      <c r="S461" s="12">
        <f>IF($A461="","",IFS($B461="Covered Call","Covered Call Premium",$B461="Cash Secured Put","Cash Secured Put Premium",$B461="Long Call/Put","Long Call/Put P/L",$B461="Debit Spread","Long Call/Put P/L",$B461="Stock Sale","Stock Sales",TRUE,"Other"))</f>
        <v/>
      </c>
      <c r="T461" s="11">
        <f>IF($A461="","",IF($B461="Cash Secured Put",$K461*$M461*100,IF($B461="Covered Call",$K461*$M461*100,IF($H461="Stock",$M461*$N461,""))))</f>
        <v/>
      </c>
      <c r="U461" s="19">
        <f>IF(OR($A461="",$C461&lt;&gt;"Closed",$D461="",$E461="",$T461=0),"",$R461/$T461*365/MAX(1,$E461-$D461))</f>
        <v/>
      </c>
      <c r="V461" s="14" t="n"/>
      <c r="W461" s="12" t="n"/>
    </row>
    <row r="462">
      <c r="A462" s="12" t="n"/>
      <c r="B462" s="14" t="n"/>
      <c r="C462" s="14" t="n"/>
      <c r="D462" s="15" t="n"/>
      <c r="E462" s="15" t="n"/>
      <c r="F462" s="16">
        <f>IF($E462="","",DATE(YEAR($E462),MONTH($E462),1))</f>
        <v/>
      </c>
      <c r="G462" s="14" t="n"/>
      <c r="H462" s="14" t="n"/>
      <c r="I462" s="14" t="n"/>
      <c r="J462" s="14" t="n"/>
      <c r="K462" s="17" t="n"/>
      <c r="L462" s="15" t="n"/>
      <c r="M462" s="14" t="n"/>
      <c r="N462" s="17" t="n"/>
      <c r="O462" s="17" t="n"/>
      <c r="P462" s="18" t="n"/>
      <c r="Q462" s="11">
        <f>IF($A462="","",IF($H462="Stock",IF($I462="Buy",-$M462*$N462-$P462,IF($I462="Sell",IF($N462="", $M462*$O462-$P462,($O462-$N462)*$M462-$P462),"")),IF($I462="Sell",($N462-IF($O462="",0,$O462))*$M462*100-$P462,IF($I462="Buy",(IF($O462="",0,$O462)-$N462)*$M462*100-$P462,""))))</f>
        <v/>
      </c>
      <c r="R462" s="11">
        <f>IF($A462="","",IF($C462="Open","",$Q462))</f>
        <v/>
      </c>
      <c r="S462" s="12">
        <f>IF($A462="","",IFS($B462="Covered Call","Covered Call Premium",$B462="Cash Secured Put","Cash Secured Put Premium",$B462="Long Call/Put","Long Call/Put P/L",$B462="Debit Spread","Long Call/Put P/L",$B462="Stock Sale","Stock Sales",TRUE,"Other"))</f>
        <v/>
      </c>
      <c r="T462" s="11">
        <f>IF($A462="","",IF($B462="Cash Secured Put",$K462*$M462*100,IF($B462="Covered Call",$K462*$M462*100,IF($H462="Stock",$M462*$N462,""))))</f>
        <v/>
      </c>
      <c r="U462" s="19">
        <f>IF(OR($A462="",$C462&lt;&gt;"Closed",$D462="",$E462="",$T462=0),"",$R462/$T462*365/MAX(1,$E462-$D462))</f>
        <v/>
      </c>
      <c r="V462" s="14" t="n"/>
      <c r="W462" s="12" t="n"/>
    </row>
    <row r="463">
      <c r="A463" s="12" t="n"/>
      <c r="B463" s="14" t="n"/>
      <c r="C463" s="14" t="n"/>
      <c r="D463" s="15" t="n"/>
      <c r="E463" s="15" t="n"/>
      <c r="F463" s="16">
        <f>IF($E463="","",DATE(YEAR($E463),MONTH($E463),1))</f>
        <v/>
      </c>
      <c r="G463" s="14" t="n"/>
      <c r="H463" s="14" t="n"/>
      <c r="I463" s="14" t="n"/>
      <c r="J463" s="14" t="n"/>
      <c r="K463" s="17" t="n"/>
      <c r="L463" s="15" t="n"/>
      <c r="M463" s="14" t="n"/>
      <c r="N463" s="17" t="n"/>
      <c r="O463" s="17" t="n"/>
      <c r="P463" s="18" t="n"/>
      <c r="Q463" s="11">
        <f>IF($A463="","",IF($H463="Stock",IF($I463="Buy",-$M463*$N463-$P463,IF($I463="Sell",IF($N463="", $M463*$O463-$P463,($O463-$N463)*$M463-$P463),"")),IF($I463="Sell",($N463-IF($O463="",0,$O463))*$M463*100-$P463,IF($I463="Buy",(IF($O463="",0,$O463)-$N463)*$M463*100-$P463,""))))</f>
        <v/>
      </c>
      <c r="R463" s="11">
        <f>IF($A463="","",IF($C463="Open","",$Q463))</f>
        <v/>
      </c>
      <c r="S463" s="12">
        <f>IF($A463="","",IFS($B463="Covered Call","Covered Call Premium",$B463="Cash Secured Put","Cash Secured Put Premium",$B463="Long Call/Put","Long Call/Put P/L",$B463="Debit Spread","Long Call/Put P/L",$B463="Stock Sale","Stock Sales",TRUE,"Other"))</f>
        <v/>
      </c>
      <c r="T463" s="11">
        <f>IF($A463="","",IF($B463="Cash Secured Put",$K463*$M463*100,IF($B463="Covered Call",$K463*$M463*100,IF($H463="Stock",$M463*$N463,""))))</f>
        <v/>
      </c>
      <c r="U463" s="19">
        <f>IF(OR($A463="",$C463&lt;&gt;"Closed",$D463="",$E463="",$T463=0),"",$R463/$T463*365/MAX(1,$E463-$D463))</f>
        <v/>
      </c>
      <c r="V463" s="14" t="n"/>
      <c r="W463" s="12" t="n"/>
    </row>
    <row r="464">
      <c r="A464" s="12" t="n"/>
      <c r="B464" s="14" t="n"/>
      <c r="C464" s="14" t="n"/>
      <c r="D464" s="15" t="n"/>
      <c r="E464" s="15" t="n"/>
      <c r="F464" s="16">
        <f>IF($E464="","",DATE(YEAR($E464),MONTH($E464),1))</f>
        <v/>
      </c>
      <c r="G464" s="14" t="n"/>
      <c r="H464" s="14" t="n"/>
      <c r="I464" s="14" t="n"/>
      <c r="J464" s="14" t="n"/>
      <c r="K464" s="17" t="n"/>
      <c r="L464" s="15" t="n"/>
      <c r="M464" s="14" t="n"/>
      <c r="N464" s="17" t="n"/>
      <c r="O464" s="17" t="n"/>
      <c r="P464" s="18" t="n"/>
      <c r="Q464" s="11">
        <f>IF($A464="","",IF($H464="Stock",IF($I464="Buy",-$M464*$N464-$P464,IF($I464="Sell",IF($N464="", $M464*$O464-$P464,($O464-$N464)*$M464-$P464),"")),IF($I464="Sell",($N464-IF($O464="",0,$O464))*$M464*100-$P464,IF($I464="Buy",(IF($O464="",0,$O464)-$N464)*$M464*100-$P464,""))))</f>
        <v/>
      </c>
      <c r="R464" s="11">
        <f>IF($A464="","",IF($C464="Open","",$Q464))</f>
        <v/>
      </c>
      <c r="S464" s="12">
        <f>IF($A464="","",IFS($B464="Covered Call","Covered Call Premium",$B464="Cash Secured Put","Cash Secured Put Premium",$B464="Long Call/Put","Long Call/Put P/L",$B464="Debit Spread","Long Call/Put P/L",$B464="Stock Sale","Stock Sales",TRUE,"Other"))</f>
        <v/>
      </c>
      <c r="T464" s="11">
        <f>IF($A464="","",IF($B464="Cash Secured Put",$K464*$M464*100,IF($B464="Covered Call",$K464*$M464*100,IF($H464="Stock",$M464*$N464,""))))</f>
        <v/>
      </c>
      <c r="U464" s="19">
        <f>IF(OR($A464="",$C464&lt;&gt;"Closed",$D464="",$E464="",$T464=0),"",$R464/$T464*365/MAX(1,$E464-$D464))</f>
        <v/>
      </c>
      <c r="V464" s="14" t="n"/>
      <c r="W464" s="12" t="n"/>
    </row>
    <row r="465">
      <c r="A465" s="12" t="n"/>
      <c r="B465" s="14" t="n"/>
      <c r="C465" s="14" t="n"/>
      <c r="D465" s="15" t="n"/>
      <c r="E465" s="15" t="n"/>
      <c r="F465" s="16">
        <f>IF($E465="","",DATE(YEAR($E465),MONTH($E465),1))</f>
        <v/>
      </c>
      <c r="G465" s="14" t="n"/>
      <c r="H465" s="14" t="n"/>
      <c r="I465" s="14" t="n"/>
      <c r="J465" s="14" t="n"/>
      <c r="K465" s="17" t="n"/>
      <c r="L465" s="15" t="n"/>
      <c r="M465" s="14" t="n"/>
      <c r="N465" s="17" t="n"/>
      <c r="O465" s="17" t="n"/>
      <c r="P465" s="18" t="n"/>
      <c r="Q465" s="11">
        <f>IF($A465="","",IF($H465="Stock",IF($I465="Buy",-$M465*$N465-$P465,IF($I465="Sell",IF($N465="", $M465*$O465-$P465,($O465-$N465)*$M465-$P465),"")),IF($I465="Sell",($N465-IF($O465="",0,$O465))*$M465*100-$P465,IF($I465="Buy",(IF($O465="",0,$O465)-$N465)*$M465*100-$P465,""))))</f>
        <v/>
      </c>
      <c r="R465" s="11">
        <f>IF($A465="","",IF($C465="Open","",$Q465))</f>
        <v/>
      </c>
      <c r="S465" s="12">
        <f>IF($A465="","",IFS($B465="Covered Call","Covered Call Premium",$B465="Cash Secured Put","Cash Secured Put Premium",$B465="Long Call/Put","Long Call/Put P/L",$B465="Debit Spread","Long Call/Put P/L",$B465="Stock Sale","Stock Sales",TRUE,"Other"))</f>
        <v/>
      </c>
      <c r="T465" s="11">
        <f>IF($A465="","",IF($B465="Cash Secured Put",$K465*$M465*100,IF($B465="Covered Call",$K465*$M465*100,IF($H465="Stock",$M465*$N465,""))))</f>
        <v/>
      </c>
      <c r="U465" s="19">
        <f>IF(OR($A465="",$C465&lt;&gt;"Closed",$D465="",$E465="",$T465=0),"",$R465/$T465*365/MAX(1,$E465-$D465))</f>
        <v/>
      </c>
      <c r="V465" s="14" t="n"/>
      <c r="W465" s="12" t="n"/>
    </row>
    <row r="466">
      <c r="A466" s="12" t="n"/>
      <c r="B466" s="14" t="n"/>
      <c r="C466" s="14" t="n"/>
      <c r="D466" s="15" t="n"/>
      <c r="E466" s="15" t="n"/>
      <c r="F466" s="16">
        <f>IF($E466="","",DATE(YEAR($E466),MONTH($E466),1))</f>
        <v/>
      </c>
      <c r="G466" s="14" t="n"/>
      <c r="H466" s="14" t="n"/>
      <c r="I466" s="14" t="n"/>
      <c r="J466" s="14" t="n"/>
      <c r="K466" s="17" t="n"/>
      <c r="L466" s="15" t="n"/>
      <c r="M466" s="14" t="n"/>
      <c r="N466" s="17" t="n"/>
      <c r="O466" s="17" t="n"/>
      <c r="P466" s="18" t="n"/>
      <c r="Q466" s="11">
        <f>IF($A466="","",IF($H466="Stock",IF($I466="Buy",-$M466*$N466-$P466,IF($I466="Sell",IF($N466="", $M466*$O466-$P466,($O466-$N466)*$M466-$P466),"")),IF($I466="Sell",($N466-IF($O466="",0,$O466))*$M466*100-$P466,IF($I466="Buy",(IF($O466="",0,$O466)-$N466)*$M466*100-$P466,""))))</f>
        <v/>
      </c>
      <c r="R466" s="11">
        <f>IF($A466="","",IF($C466="Open","",$Q466))</f>
        <v/>
      </c>
      <c r="S466" s="12">
        <f>IF($A466="","",IFS($B466="Covered Call","Covered Call Premium",$B466="Cash Secured Put","Cash Secured Put Premium",$B466="Long Call/Put","Long Call/Put P/L",$B466="Debit Spread","Long Call/Put P/L",$B466="Stock Sale","Stock Sales",TRUE,"Other"))</f>
        <v/>
      </c>
      <c r="T466" s="11">
        <f>IF($A466="","",IF($B466="Cash Secured Put",$K466*$M466*100,IF($B466="Covered Call",$K466*$M466*100,IF($H466="Stock",$M466*$N466,""))))</f>
        <v/>
      </c>
      <c r="U466" s="19">
        <f>IF(OR($A466="",$C466&lt;&gt;"Closed",$D466="",$E466="",$T466=0),"",$R466/$T466*365/MAX(1,$E466-$D466))</f>
        <v/>
      </c>
      <c r="V466" s="14" t="n"/>
      <c r="W466" s="12" t="n"/>
    </row>
    <row r="467">
      <c r="A467" s="12" t="n"/>
      <c r="B467" s="14" t="n"/>
      <c r="C467" s="14" t="n"/>
      <c r="D467" s="15" t="n"/>
      <c r="E467" s="15" t="n"/>
      <c r="F467" s="16">
        <f>IF($E467="","",DATE(YEAR($E467),MONTH($E467),1))</f>
        <v/>
      </c>
      <c r="G467" s="14" t="n"/>
      <c r="H467" s="14" t="n"/>
      <c r="I467" s="14" t="n"/>
      <c r="J467" s="14" t="n"/>
      <c r="K467" s="17" t="n"/>
      <c r="L467" s="15" t="n"/>
      <c r="M467" s="14" t="n"/>
      <c r="N467" s="17" t="n"/>
      <c r="O467" s="17" t="n"/>
      <c r="P467" s="18" t="n"/>
      <c r="Q467" s="11">
        <f>IF($A467="","",IF($H467="Stock",IF($I467="Buy",-$M467*$N467-$P467,IF($I467="Sell",IF($N467="", $M467*$O467-$P467,($O467-$N467)*$M467-$P467),"")),IF($I467="Sell",($N467-IF($O467="",0,$O467))*$M467*100-$P467,IF($I467="Buy",(IF($O467="",0,$O467)-$N467)*$M467*100-$P467,""))))</f>
        <v/>
      </c>
      <c r="R467" s="11">
        <f>IF($A467="","",IF($C467="Open","",$Q467))</f>
        <v/>
      </c>
      <c r="S467" s="12">
        <f>IF($A467="","",IFS($B467="Covered Call","Covered Call Premium",$B467="Cash Secured Put","Cash Secured Put Premium",$B467="Long Call/Put","Long Call/Put P/L",$B467="Debit Spread","Long Call/Put P/L",$B467="Stock Sale","Stock Sales",TRUE,"Other"))</f>
        <v/>
      </c>
      <c r="T467" s="11">
        <f>IF($A467="","",IF($B467="Cash Secured Put",$K467*$M467*100,IF($B467="Covered Call",$K467*$M467*100,IF($H467="Stock",$M467*$N467,""))))</f>
        <v/>
      </c>
      <c r="U467" s="19">
        <f>IF(OR($A467="",$C467&lt;&gt;"Closed",$D467="",$E467="",$T467=0),"",$R467/$T467*365/MAX(1,$E467-$D467))</f>
        <v/>
      </c>
      <c r="V467" s="14" t="n"/>
      <c r="W467" s="12" t="n"/>
    </row>
    <row r="468">
      <c r="A468" s="12" t="n"/>
      <c r="B468" s="14" t="n"/>
      <c r="C468" s="14" t="n"/>
      <c r="D468" s="15" t="n"/>
      <c r="E468" s="15" t="n"/>
      <c r="F468" s="16">
        <f>IF($E468="","",DATE(YEAR($E468),MONTH($E468),1))</f>
        <v/>
      </c>
      <c r="G468" s="14" t="n"/>
      <c r="H468" s="14" t="n"/>
      <c r="I468" s="14" t="n"/>
      <c r="J468" s="14" t="n"/>
      <c r="K468" s="17" t="n"/>
      <c r="L468" s="15" t="n"/>
      <c r="M468" s="14" t="n"/>
      <c r="N468" s="17" t="n"/>
      <c r="O468" s="17" t="n"/>
      <c r="P468" s="18" t="n"/>
      <c r="Q468" s="11">
        <f>IF($A468="","",IF($H468="Stock",IF($I468="Buy",-$M468*$N468-$P468,IF($I468="Sell",IF($N468="", $M468*$O468-$P468,($O468-$N468)*$M468-$P468),"")),IF($I468="Sell",($N468-IF($O468="",0,$O468))*$M468*100-$P468,IF($I468="Buy",(IF($O468="",0,$O468)-$N468)*$M468*100-$P468,""))))</f>
        <v/>
      </c>
      <c r="R468" s="11">
        <f>IF($A468="","",IF($C468="Open","",$Q468))</f>
        <v/>
      </c>
      <c r="S468" s="12">
        <f>IF($A468="","",IFS($B468="Covered Call","Covered Call Premium",$B468="Cash Secured Put","Cash Secured Put Premium",$B468="Long Call/Put","Long Call/Put P/L",$B468="Debit Spread","Long Call/Put P/L",$B468="Stock Sale","Stock Sales",TRUE,"Other"))</f>
        <v/>
      </c>
      <c r="T468" s="11">
        <f>IF($A468="","",IF($B468="Cash Secured Put",$K468*$M468*100,IF($B468="Covered Call",$K468*$M468*100,IF($H468="Stock",$M468*$N468,""))))</f>
        <v/>
      </c>
      <c r="U468" s="19">
        <f>IF(OR($A468="",$C468&lt;&gt;"Closed",$D468="",$E468="",$T468=0),"",$R468/$T468*365/MAX(1,$E468-$D468))</f>
        <v/>
      </c>
      <c r="V468" s="14" t="n"/>
      <c r="W468" s="12" t="n"/>
    </row>
    <row r="469">
      <c r="A469" s="12" t="n"/>
      <c r="B469" s="14" t="n"/>
      <c r="C469" s="14" t="n"/>
      <c r="D469" s="15" t="n"/>
      <c r="E469" s="15" t="n"/>
      <c r="F469" s="16">
        <f>IF($E469="","",DATE(YEAR($E469),MONTH($E469),1))</f>
        <v/>
      </c>
      <c r="G469" s="14" t="n"/>
      <c r="H469" s="14" t="n"/>
      <c r="I469" s="14" t="n"/>
      <c r="J469" s="14" t="n"/>
      <c r="K469" s="17" t="n"/>
      <c r="L469" s="15" t="n"/>
      <c r="M469" s="14" t="n"/>
      <c r="N469" s="17" t="n"/>
      <c r="O469" s="17" t="n"/>
      <c r="P469" s="18" t="n"/>
      <c r="Q469" s="11">
        <f>IF($A469="","",IF($H469="Stock",IF($I469="Buy",-$M469*$N469-$P469,IF($I469="Sell",IF($N469="", $M469*$O469-$P469,($O469-$N469)*$M469-$P469),"")),IF($I469="Sell",($N469-IF($O469="",0,$O469))*$M469*100-$P469,IF($I469="Buy",(IF($O469="",0,$O469)-$N469)*$M469*100-$P469,""))))</f>
        <v/>
      </c>
      <c r="R469" s="11">
        <f>IF($A469="","",IF($C469="Open","",$Q469))</f>
        <v/>
      </c>
      <c r="S469" s="12">
        <f>IF($A469="","",IFS($B469="Covered Call","Covered Call Premium",$B469="Cash Secured Put","Cash Secured Put Premium",$B469="Long Call/Put","Long Call/Put P/L",$B469="Debit Spread","Long Call/Put P/L",$B469="Stock Sale","Stock Sales",TRUE,"Other"))</f>
        <v/>
      </c>
      <c r="T469" s="11">
        <f>IF($A469="","",IF($B469="Cash Secured Put",$K469*$M469*100,IF($B469="Covered Call",$K469*$M469*100,IF($H469="Stock",$M469*$N469,""))))</f>
        <v/>
      </c>
      <c r="U469" s="19">
        <f>IF(OR($A469="",$C469&lt;&gt;"Closed",$D469="",$E469="",$T469=0),"",$R469/$T469*365/MAX(1,$E469-$D469))</f>
        <v/>
      </c>
      <c r="V469" s="14" t="n"/>
      <c r="W469" s="12" t="n"/>
    </row>
    <row r="470">
      <c r="A470" s="12" t="n"/>
      <c r="B470" s="14" t="n"/>
      <c r="C470" s="14" t="n"/>
      <c r="D470" s="15" t="n"/>
      <c r="E470" s="15" t="n"/>
      <c r="F470" s="16">
        <f>IF($E470="","",DATE(YEAR($E470),MONTH($E470),1))</f>
        <v/>
      </c>
      <c r="G470" s="14" t="n"/>
      <c r="H470" s="14" t="n"/>
      <c r="I470" s="14" t="n"/>
      <c r="J470" s="14" t="n"/>
      <c r="K470" s="17" t="n"/>
      <c r="L470" s="15" t="n"/>
      <c r="M470" s="14" t="n"/>
      <c r="N470" s="17" t="n"/>
      <c r="O470" s="17" t="n"/>
      <c r="P470" s="18" t="n"/>
      <c r="Q470" s="11">
        <f>IF($A470="","",IF($H470="Stock",IF($I470="Buy",-$M470*$N470-$P470,IF($I470="Sell",IF($N470="", $M470*$O470-$P470,($O470-$N470)*$M470-$P470),"")),IF($I470="Sell",($N470-IF($O470="",0,$O470))*$M470*100-$P470,IF($I470="Buy",(IF($O470="",0,$O470)-$N470)*$M470*100-$P470,""))))</f>
        <v/>
      </c>
      <c r="R470" s="11">
        <f>IF($A470="","",IF($C470="Open","",$Q470))</f>
        <v/>
      </c>
      <c r="S470" s="12">
        <f>IF($A470="","",IFS($B470="Covered Call","Covered Call Premium",$B470="Cash Secured Put","Cash Secured Put Premium",$B470="Long Call/Put","Long Call/Put P/L",$B470="Debit Spread","Long Call/Put P/L",$B470="Stock Sale","Stock Sales",TRUE,"Other"))</f>
        <v/>
      </c>
      <c r="T470" s="11">
        <f>IF($A470="","",IF($B470="Cash Secured Put",$K470*$M470*100,IF($B470="Covered Call",$K470*$M470*100,IF($H470="Stock",$M470*$N470,""))))</f>
        <v/>
      </c>
      <c r="U470" s="19">
        <f>IF(OR($A470="",$C470&lt;&gt;"Closed",$D470="",$E470="",$T470=0),"",$R470/$T470*365/MAX(1,$E470-$D470))</f>
        <v/>
      </c>
      <c r="V470" s="14" t="n"/>
      <c r="W470" s="12" t="n"/>
    </row>
    <row r="471">
      <c r="A471" s="12" t="n"/>
      <c r="B471" s="14" t="n"/>
      <c r="C471" s="14" t="n"/>
      <c r="D471" s="15" t="n"/>
      <c r="E471" s="15" t="n"/>
      <c r="F471" s="16">
        <f>IF($E471="","",DATE(YEAR($E471),MONTH($E471),1))</f>
        <v/>
      </c>
      <c r="G471" s="14" t="n"/>
      <c r="H471" s="14" t="n"/>
      <c r="I471" s="14" t="n"/>
      <c r="J471" s="14" t="n"/>
      <c r="K471" s="17" t="n"/>
      <c r="L471" s="15" t="n"/>
      <c r="M471" s="14" t="n"/>
      <c r="N471" s="17" t="n"/>
      <c r="O471" s="17" t="n"/>
      <c r="P471" s="18" t="n"/>
      <c r="Q471" s="11">
        <f>IF($A471="","",IF($H471="Stock",IF($I471="Buy",-$M471*$N471-$P471,IF($I471="Sell",IF($N471="", $M471*$O471-$P471,($O471-$N471)*$M471-$P471),"")),IF($I471="Sell",($N471-IF($O471="",0,$O471))*$M471*100-$P471,IF($I471="Buy",(IF($O471="",0,$O471)-$N471)*$M471*100-$P471,""))))</f>
        <v/>
      </c>
      <c r="R471" s="11">
        <f>IF($A471="","",IF($C471="Open","",$Q471))</f>
        <v/>
      </c>
      <c r="S471" s="12">
        <f>IF($A471="","",IFS($B471="Covered Call","Covered Call Premium",$B471="Cash Secured Put","Cash Secured Put Premium",$B471="Long Call/Put","Long Call/Put P/L",$B471="Debit Spread","Long Call/Put P/L",$B471="Stock Sale","Stock Sales",TRUE,"Other"))</f>
        <v/>
      </c>
      <c r="T471" s="11">
        <f>IF($A471="","",IF($B471="Cash Secured Put",$K471*$M471*100,IF($B471="Covered Call",$K471*$M471*100,IF($H471="Stock",$M471*$N471,""))))</f>
        <v/>
      </c>
      <c r="U471" s="19">
        <f>IF(OR($A471="",$C471&lt;&gt;"Closed",$D471="",$E471="",$T471=0),"",$R471/$T471*365/MAX(1,$E471-$D471))</f>
        <v/>
      </c>
      <c r="V471" s="14" t="n"/>
      <c r="W471" s="12" t="n"/>
    </row>
    <row r="472">
      <c r="A472" s="12" t="n"/>
      <c r="B472" s="14" t="n"/>
      <c r="C472" s="14" t="n"/>
      <c r="D472" s="15" t="n"/>
      <c r="E472" s="15" t="n"/>
      <c r="F472" s="16">
        <f>IF($E472="","",DATE(YEAR($E472),MONTH($E472),1))</f>
        <v/>
      </c>
      <c r="G472" s="14" t="n"/>
      <c r="H472" s="14" t="n"/>
      <c r="I472" s="14" t="n"/>
      <c r="J472" s="14" t="n"/>
      <c r="K472" s="17" t="n"/>
      <c r="L472" s="15" t="n"/>
      <c r="M472" s="14" t="n"/>
      <c r="N472" s="17" t="n"/>
      <c r="O472" s="17" t="n"/>
      <c r="P472" s="18" t="n"/>
      <c r="Q472" s="11">
        <f>IF($A472="","",IF($H472="Stock",IF($I472="Buy",-$M472*$N472-$P472,IF($I472="Sell",IF($N472="", $M472*$O472-$P472,($O472-$N472)*$M472-$P472),"")),IF($I472="Sell",($N472-IF($O472="",0,$O472))*$M472*100-$P472,IF($I472="Buy",(IF($O472="",0,$O472)-$N472)*$M472*100-$P472,""))))</f>
        <v/>
      </c>
      <c r="R472" s="11">
        <f>IF($A472="","",IF($C472="Open","",$Q472))</f>
        <v/>
      </c>
      <c r="S472" s="12">
        <f>IF($A472="","",IFS($B472="Covered Call","Covered Call Premium",$B472="Cash Secured Put","Cash Secured Put Premium",$B472="Long Call/Put","Long Call/Put P/L",$B472="Debit Spread","Long Call/Put P/L",$B472="Stock Sale","Stock Sales",TRUE,"Other"))</f>
        <v/>
      </c>
      <c r="T472" s="11">
        <f>IF($A472="","",IF($B472="Cash Secured Put",$K472*$M472*100,IF($B472="Covered Call",$K472*$M472*100,IF($H472="Stock",$M472*$N472,""))))</f>
        <v/>
      </c>
      <c r="U472" s="19">
        <f>IF(OR($A472="",$C472&lt;&gt;"Closed",$D472="",$E472="",$T472=0),"",$R472/$T472*365/MAX(1,$E472-$D472))</f>
        <v/>
      </c>
      <c r="V472" s="14" t="n"/>
      <c r="W472" s="12" t="n"/>
    </row>
    <row r="473">
      <c r="A473" s="12" t="n"/>
      <c r="B473" s="14" t="n"/>
      <c r="C473" s="14" t="n"/>
      <c r="D473" s="15" t="n"/>
      <c r="E473" s="15" t="n"/>
      <c r="F473" s="16">
        <f>IF($E473="","",DATE(YEAR($E473),MONTH($E473),1))</f>
        <v/>
      </c>
      <c r="G473" s="14" t="n"/>
      <c r="H473" s="14" t="n"/>
      <c r="I473" s="14" t="n"/>
      <c r="J473" s="14" t="n"/>
      <c r="K473" s="17" t="n"/>
      <c r="L473" s="15" t="n"/>
      <c r="M473" s="14" t="n"/>
      <c r="N473" s="17" t="n"/>
      <c r="O473" s="17" t="n"/>
      <c r="P473" s="18" t="n"/>
      <c r="Q473" s="11">
        <f>IF($A473="","",IF($H473="Stock",IF($I473="Buy",-$M473*$N473-$P473,IF($I473="Sell",IF($N473="", $M473*$O473-$P473,($O473-$N473)*$M473-$P473),"")),IF($I473="Sell",($N473-IF($O473="",0,$O473))*$M473*100-$P473,IF($I473="Buy",(IF($O473="",0,$O473)-$N473)*$M473*100-$P473,""))))</f>
        <v/>
      </c>
      <c r="R473" s="11">
        <f>IF($A473="","",IF($C473="Open","",$Q473))</f>
        <v/>
      </c>
      <c r="S473" s="12">
        <f>IF($A473="","",IFS($B473="Covered Call","Covered Call Premium",$B473="Cash Secured Put","Cash Secured Put Premium",$B473="Long Call/Put","Long Call/Put P/L",$B473="Debit Spread","Long Call/Put P/L",$B473="Stock Sale","Stock Sales",TRUE,"Other"))</f>
        <v/>
      </c>
      <c r="T473" s="11">
        <f>IF($A473="","",IF($B473="Cash Secured Put",$K473*$M473*100,IF($B473="Covered Call",$K473*$M473*100,IF($H473="Stock",$M473*$N473,""))))</f>
        <v/>
      </c>
      <c r="U473" s="19">
        <f>IF(OR($A473="",$C473&lt;&gt;"Closed",$D473="",$E473="",$T473=0),"",$R473/$T473*365/MAX(1,$E473-$D473))</f>
        <v/>
      </c>
      <c r="V473" s="14" t="n"/>
      <c r="W473" s="12" t="n"/>
    </row>
    <row r="474">
      <c r="A474" s="12" t="n"/>
      <c r="B474" s="14" t="n"/>
      <c r="C474" s="14" t="n"/>
      <c r="D474" s="15" t="n"/>
      <c r="E474" s="15" t="n"/>
      <c r="F474" s="16">
        <f>IF($E474="","",DATE(YEAR($E474),MONTH($E474),1))</f>
        <v/>
      </c>
      <c r="G474" s="14" t="n"/>
      <c r="H474" s="14" t="n"/>
      <c r="I474" s="14" t="n"/>
      <c r="J474" s="14" t="n"/>
      <c r="K474" s="17" t="n"/>
      <c r="L474" s="15" t="n"/>
      <c r="M474" s="14" t="n"/>
      <c r="N474" s="17" t="n"/>
      <c r="O474" s="17" t="n"/>
      <c r="P474" s="18" t="n"/>
      <c r="Q474" s="11">
        <f>IF($A474="","",IF($H474="Stock",IF($I474="Buy",-$M474*$N474-$P474,IF($I474="Sell",IF($N474="", $M474*$O474-$P474,($O474-$N474)*$M474-$P474),"")),IF($I474="Sell",($N474-IF($O474="",0,$O474))*$M474*100-$P474,IF($I474="Buy",(IF($O474="",0,$O474)-$N474)*$M474*100-$P474,""))))</f>
        <v/>
      </c>
      <c r="R474" s="11">
        <f>IF($A474="","",IF($C474="Open","",$Q474))</f>
        <v/>
      </c>
      <c r="S474" s="12">
        <f>IF($A474="","",IFS($B474="Covered Call","Covered Call Premium",$B474="Cash Secured Put","Cash Secured Put Premium",$B474="Long Call/Put","Long Call/Put P/L",$B474="Debit Spread","Long Call/Put P/L",$B474="Stock Sale","Stock Sales",TRUE,"Other"))</f>
        <v/>
      </c>
      <c r="T474" s="11">
        <f>IF($A474="","",IF($B474="Cash Secured Put",$K474*$M474*100,IF($B474="Covered Call",$K474*$M474*100,IF($H474="Stock",$M474*$N474,""))))</f>
        <v/>
      </c>
      <c r="U474" s="19">
        <f>IF(OR($A474="",$C474&lt;&gt;"Closed",$D474="",$E474="",$T474=0),"",$R474/$T474*365/MAX(1,$E474-$D474))</f>
        <v/>
      </c>
      <c r="V474" s="14" t="n"/>
      <c r="W474" s="12" t="n"/>
    </row>
    <row r="475">
      <c r="A475" s="12" t="n"/>
      <c r="B475" s="14" t="n"/>
      <c r="C475" s="14" t="n"/>
      <c r="D475" s="15" t="n"/>
      <c r="E475" s="15" t="n"/>
      <c r="F475" s="16">
        <f>IF($E475="","",DATE(YEAR($E475),MONTH($E475),1))</f>
        <v/>
      </c>
      <c r="G475" s="14" t="n"/>
      <c r="H475" s="14" t="n"/>
      <c r="I475" s="14" t="n"/>
      <c r="J475" s="14" t="n"/>
      <c r="K475" s="17" t="n"/>
      <c r="L475" s="15" t="n"/>
      <c r="M475" s="14" t="n"/>
      <c r="N475" s="17" t="n"/>
      <c r="O475" s="17" t="n"/>
      <c r="P475" s="18" t="n"/>
      <c r="Q475" s="11">
        <f>IF($A475="","",IF($H475="Stock",IF($I475="Buy",-$M475*$N475-$P475,IF($I475="Sell",IF($N475="", $M475*$O475-$P475,($O475-$N475)*$M475-$P475),"")),IF($I475="Sell",($N475-IF($O475="",0,$O475))*$M475*100-$P475,IF($I475="Buy",(IF($O475="",0,$O475)-$N475)*$M475*100-$P475,""))))</f>
        <v/>
      </c>
      <c r="R475" s="11">
        <f>IF($A475="","",IF($C475="Open","",$Q475))</f>
        <v/>
      </c>
      <c r="S475" s="12">
        <f>IF($A475="","",IFS($B475="Covered Call","Covered Call Premium",$B475="Cash Secured Put","Cash Secured Put Premium",$B475="Long Call/Put","Long Call/Put P/L",$B475="Debit Spread","Long Call/Put P/L",$B475="Stock Sale","Stock Sales",TRUE,"Other"))</f>
        <v/>
      </c>
      <c r="T475" s="11">
        <f>IF($A475="","",IF($B475="Cash Secured Put",$K475*$M475*100,IF($B475="Covered Call",$K475*$M475*100,IF($H475="Stock",$M475*$N475,""))))</f>
        <v/>
      </c>
      <c r="U475" s="19">
        <f>IF(OR($A475="",$C475&lt;&gt;"Closed",$D475="",$E475="",$T475=0),"",$R475/$T475*365/MAX(1,$E475-$D475))</f>
        <v/>
      </c>
      <c r="V475" s="14" t="n"/>
      <c r="W475" s="12" t="n"/>
    </row>
    <row r="476">
      <c r="A476" s="12" t="n"/>
      <c r="B476" s="14" t="n"/>
      <c r="C476" s="14" t="n"/>
      <c r="D476" s="15" t="n"/>
      <c r="E476" s="15" t="n"/>
      <c r="F476" s="16">
        <f>IF($E476="","",DATE(YEAR($E476),MONTH($E476),1))</f>
        <v/>
      </c>
      <c r="G476" s="14" t="n"/>
      <c r="H476" s="14" t="n"/>
      <c r="I476" s="14" t="n"/>
      <c r="J476" s="14" t="n"/>
      <c r="K476" s="17" t="n"/>
      <c r="L476" s="15" t="n"/>
      <c r="M476" s="14" t="n"/>
      <c r="N476" s="17" t="n"/>
      <c r="O476" s="17" t="n"/>
      <c r="P476" s="18" t="n"/>
      <c r="Q476" s="11">
        <f>IF($A476="","",IF($H476="Stock",IF($I476="Buy",-$M476*$N476-$P476,IF($I476="Sell",IF($N476="", $M476*$O476-$P476,($O476-$N476)*$M476-$P476),"")),IF($I476="Sell",($N476-IF($O476="",0,$O476))*$M476*100-$P476,IF($I476="Buy",(IF($O476="",0,$O476)-$N476)*$M476*100-$P476,""))))</f>
        <v/>
      </c>
      <c r="R476" s="11">
        <f>IF($A476="","",IF($C476="Open","",$Q476))</f>
        <v/>
      </c>
      <c r="S476" s="12">
        <f>IF($A476="","",IFS($B476="Covered Call","Covered Call Premium",$B476="Cash Secured Put","Cash Secured Put Premium",$B476="Long Call/Put","Long Call/Put P/L",$B476="Debit Spread","Long Call/Put P/L",$B476="Stock Sale","Stock Sales",TRUE,"Other"))</f>
        <v/>
      </c>
      <c r="T476" s="11">
        <f>IF($A476="","",IF($B476="Cash Secured Put",$K476*$M476*100,IF($B476="Covered Call",$K476*$M476*100,IF($H476="Stock",$M476*$N476,""))))</f>
        <v/>
      </c>
      <c r="U476" s="19">
        <f>IF(OR($A476="",$C476&lt;&gt;"Closed",$D476="",$E476="",$T476=0),"",$R476/$T476*365/MAX(1,$E476-$D476))</f>
        <v/>
      </c>
      <c r="V476" s="14" t="n"/>
      <c r="W476" s="12" t="n"/>
    </row>
    <row r="477">
      <c r="A477" s="12" t="n"/>
      <c r="B477" s="14" t="n"/>
      <c r="C477" s="14" t="n"/>
      <c r="D477" s="15" t="n"/>
      <c r="E477" s="15" t="n"/>
      <c r="F477" s="16">
        <f>IF($E477="","",DATE(YEAR($E477),MONTH($E477),1))</f>
        <v/>
      </c>
      <c r="G477" s="14" t="n"/>
      <c r="H477" s="14" t="n"/>
      <c r="I477" s="14" t="n"/>
      <c r="J477" s="14" t="n"/>
      <c r="K477" s="17" t="n"/>
      <c r="L477" s="15" t="n"/>
      <c r="M477" s="14" t="n"/>
      <c r="N477" s="17" t="n"/>
      <c r="O477" s="17" t="n"/>
      <c r="P477" s="18" t="n"/>
      <c r="Q477" s="11">
        <f>IF($A477="","",IF($H477="Stock",IF($I477="Buy",-$M477*$N477-$P477,IF($I477="Sell",IF($N477="", $M477*$O477-$P477,($O477-$N477)*$M477-$P477),"")),IF($I477="Sell",($N477-IF($O477="",0,$O477))*$M477*100-$P477,IF($I477="Buy",(IF($O477="",0,$O477)-$N477)*$M477*100-$P477,""))))</f>
        <v/>
      </c>
      <c r="R477" s="11">
        <f>IF($A477="","",IF($C477="Open","",$Q477))</f>
        <v/>
      </c>
      <c r="S477" s="12">
        <f>IF($A477="","",IFS($B477="Covered Call","Covered Call Premium",$B477="Cash Secured Put","Cash Secured Put Premium",$B477="Long Call/Put","Long Call/Put P/L",$B477="Debit Spread","Long Call/Put P/L",$B477="Stock Sale","Stock Sales",TRUE,"Other"))</f>
        <v/>
      </c>
      <c r="T477" s="11">
        <f>IF($A477="","",IF($B477="Cash Secured Put",$K477*$M477*100,IF($B477="Covered Call",$K477*$M477*100,IF($H477="Stock",$M477*$N477,""))))</f>
        <v/>
      </c>
      <c r="U477" s="19">
        <f>IF(OR($A477="",$C477&lt;&gt;"Closed",$D477="",$E477="",$T477=0),"",$R477/$T477*365/MAX(1,$E477-$D477))</f>
        <v/>
      </c>
      <c r="V477" s="14" t="n"/>
      <c r="W477" s="12" t="n"/>
    </row>
    <row r="478">
      <c r="A478" s="12" t="n"/>
      <c r="B478" s="14" t="n"/>
      <c r="C478" s="14" t="n"/>
      <c r="D478" s="15" t="n"/>
      <c r="E478" s="15" t="n"/>
      <c r="F478" s="16">
        <f>IF($E478="","",DATE(YEAR($E478),MONTH($E478),1))</f>
        <v/>
      </c>
      <c r="G478" s="14" t="n"/>
      <c r="H478" s="14" t="n"/>
      <c r="I478" s="14" t="n"/>
      <c r="J478" s="14" t="n"/>
      <c r="K478" s="17" t="n"/>
      <c r="L478" s="15" t="n"/>
      <c r="M478" s="14" t="n"/>
      <c r="N478" s="17" t="n"/>
      <c r="O478" s="17" t="n"/>
      <c r="P478" s="18" t="n"/>
      <c r="Q478" s="11">
        <f>IF($A478="","",IF($H478="Stock",IF($I478="Buy",-$M478*$N478-$P478,IF($I478="Sell",IF($N478="", $M478*$O478-$P478,($O478-$N478)*$M478-$P478),"")),IF($I478="Sell",($N478-IF($O478="",0,$O478))*$M478*100-$P478,IF($I478="Buy",(IF($O478="",0,$O478)-$N478)*$M478*100-$P478,""))))</f>
        <v/>
      </c>
      <c r="R478" s="11">
        <f>IF($A478="","",IF($C478="Open","",$Q478))</f>
        <v/>
      </c>
      <c r="S478" s="12">
        <f>IF($A478="","",IFS($B478="Covered Call","Covered Call Premium",$B478="Cash Secured Put","Cash Secured Put Premium",$B478="Long Call/Put","Long Call/Put P/L",$B478="Debit Spread","Long Call/Put P/L",$B478="Stock Sale","Stock Sales",TRUE,"Other"))</f>
        <v/>
      </c>
      <c r="T478" s="11">
        <f>IF($A478="","",IF($B478="Cash Secured Put",$K478*$M478*100,IF($B478="Covered Call",$K478*$M478*100,IF($H478="Stock",$M478*$N478,""))))</f>
        <v/>
      </c>
      <c r="U478" s="19">
        <f>IF(OR($A478="",$C478&lt;&gt;"Closed",$D478="",$E478="",$T478=0),"",$R478/$T478*365/MAX(1,$E478-$D478))</f>
        <v/>
      </c>
      <c r="V478" s="14" t="n"/>
      <c r="W478" s="12" t="n"/>
    </row>
    <row r="479">
      <c r="A479" s="12" t="n"/>
      <c r="B479" s="14" t="n"/>
      <c r="C479" s="14" t="n"/>
      <c r="D479" s="15" t="n"/>
      <c r="E479" s="15" t="n"/>
      <c r="F479" s="16">
        <f>IF($E479="","",DATE(YEAR($E479),MONTH($E479),1))</f>
        <v/>
      </c>
      <c r="G479" s="14" t="n"/>
      <c r="H479" s="14" t="n"/>
      <c r="I479" s="14" t="n"/>
      <c r="J479" s="14" t="n"/>
      <c r="K479" s="17" t="n"/>
      <c r="L479" s="15" t="n"/>
      <c r="M479" s="14" t="n"/>
      <c r="N479" s="17" t="n"/>
      <c r="O479" s="17" t="n"/>
      <c r="P479" s="18" t="n"/>
      <c r="Q479" s="11">
        <f>IF($A479="","",IF($H479="Stock",IF($I479="Buy",-$M479*$N479-$P479,IF($I479="Sell",IF($N479="", $M479*$O479-$P479,($O479-$N479)*$M479-$P479),"")),IF($I479="Sell",($N479-IF($O479="",0,$O479))*$M479*100-$P479,IF($I479="Buy",(IF($O479="",0,$O479)-$N479)*$M479*100-$P479,""))))</f>
        <v/>
      </c>
      <c r="R479" s="11">
        <f>IF($A479="","",IF($C479="Open","",$Q479))</f>
        <v/>
      </c>
      <c r="S479" s="12">
        <f>IF($A479="","",IFS($B479="Covered Call","Covered Call Premium",$B479="Cash Secured Put","Cash Secured Put Premium",$B479="Long Call/Put","Long Call/Put P/L",$B479="Debit Spread","Long Call/Put P/L",$B479="Stock Sale","Stock Sales",TRUE,"Other"))</f>
        <v/>
      </c>
      <c r="T479" s="11">
        <f>IF($A479="","",IF($B479="Cash Secured Put",$K479*$M479*100,IF($B479="Covered Call",$K479*$M479*100,IF($H479="Stock",$M479*$N479,""))))</f>
        <v/>
      </c>
      <c r="U479" s="19">
        <f>IF(OR($A479="",$C479&lt;&gt;"Closed",$D479="",$E479="",$T479=0),"",$R479/$T479*365/MAX(1,$E479-$D479))</f>
        <v/>
      </c>
      <c r="V479" s="14" t="n"/>
      <c r="W479" s="12" t="n"/>
    </row>
    <row r="480">
      <c r="A480" s="12" t="n"/>
      <c r="B480" s="14" t="n"/>
      <c r="C480" s="14" t="n"/>
      <c r="D480" s="15" t="n"/>
      <c r="E480" s="15" t="n"/>
      <c r="F480" s="16">
        <f>IF($E480="","",DATE(YEAR($E480),MONTH($E480),1))</f>
        <v/>
      </c>
      <c r="G480" s="14" t="n"/>
      <c r="H480" s="14" t="n"/>
      <c r="I480" s="14" t="n"/>
      <c r="J480" s="14" t="n"/>
      <c r="K480" s="17" t="n"/>
      <c r="L480" s="15" t="n"/>
      <c r="M480" s="14" t="n"/>
      <c r="N480" s="17" t="n"/>
      <c r="O480" s="17" t="n"/>
      <c r="P480" s="18" t="n"/>
      <c r="Q480" s="11">
        <f>IF($A480="","",IF($H480="Stock",IF($I480="Buy",-$M480*$N480-$P480,IF($I480="Sell",IF($N480="", $M480*$O480-$P480,($O480-$N480)*$M480-$P480),"")),IF($I480="Sell",($N480-IF($O480="",0,$O480))*$M480*100-$P480,IF($I480="Buy",(IF($O480="",0,$O480)-$N480)*$M480*100-$P480,""))))</f>
        <v/>
      </c>
      <c r="R480" s="11">
        <f>IF($A480="","",IF($C480="Open","",$Q480))</f>
        <v/>
      </c>
      <c r="S480" s="12">
        <f>IF($A480="","",IFS($B480="Covered Call","Covered Call Premium",$B480="Cash Secured Put","Cash Secured Put Premium",$B480="Long Call/Put","Long Call/Put P/L",$B480="Debit Spread","Long Call/Put P/L",$B480="Stock Sale","Stock Sales",TRUE,"Other"))</f>
        <v/>
      </c>
      <c r="T480" s="11">
        <f>IF($A480="","",IF($B480="Cash Secured Put",$K480*$M480*100,IF($B480="Covered Call",$K480*$M480*100,IF($H480="Stock",$M480*$N480,""))))</f>
        <v/>
      </c>
      <c r="U480" s="19">
        <f>IF(OR($A480="",$C480&lt;&gt;"Closed",$D480="",$E480="",$T480=0),"",$R480/$T480*365/MAX(1,$E480-$D480))</f>
        <v/>
      </c>
      <c r="V480" s="14" t="n"/>
      <c r="W480" s="12" t="n"/>
    </row>
    <row r="481">
      <c r="A481" s="12" t="n"/>
      <c r="B481" s="14" t="n"/>
      <c r="C481" s="14" t="n"/>
      <c r="D481" s="15" t="n"/>
      <c r="E481" s="15" t="n"/>
      <c r="F481" s="16">
        <f>IF($E481="","",DATE(YEAR($E481),MONTH($E481),1))</f>
        <v/>
      </c>
      <c r="G481" s="14" t="n"/>
      <c r="H481" s="14" t="n"/>
      <c r="I481" s="14" t="n"/>
      <c r="J481" s="14" t="n"/>
      <c r="K481" s="17" t="n"/>
      <c r="L481" s="15" t="n"/>
      <c r="M481" s="14" t="n"/>
      <c r="N481" s="17" t="n"/>
      <c r="O481" s="17" t="n"/>
      <c r="P481" s="18" t="n"/>
      <c r="Q481" s="11">
        <f>IF($A481="","",IF($H481="Stock",IF($I481="Buy",-$M481*$N481-$P481,IF($I481="Sell",IF($N481="", $M481*$O481-$P481,($O481-$N481)*$M481-$P481),"")),IF($I481="Sell",($N481-IF($O481="",0,$O481))*$M481*100-$P481,IF($I481="Buy",(IF($O481="",0,$O481)-$N481)*$M481*100-$P481,""))))</f>
        <v/>
      </c>
      <c r="R481" s="11">
        <f>IF($A481="","",IF($C481="Open","",$Q481))</f>
        <v/>
      </c>
      <c r="S481" s="12">
        <f>IF($A481="","",IFS($B481="Covered Call","Covered Call Premium",$B481="Cash Secured Put","Cash Secured Put Premium",$B481="Long Call/Put","Long Call/Put P/L",$B481="Debit Spread","Long Call/Put P/L",$B481="Stock Sale","Stock Sales",TRUE,"Other"))</f>
        <v/>
      </c>
      <c r="T481" s="11">
        <f>IF($A481="","",IF($B481="Cash Secured Put",$K481*$M481*100,IF($B481="Covered Call",$K481*$M481*100,IF($H481="Stock",$M481*$N481,""))))</f>
        <v/>
      </c>
      <c r="U481" s="19">
        <f>IF(OR($A481="",$C481&lt;&gt;"Closed",$D481="",$E481="",$T481=0),"",$R481/$T481*365/MAX(1,$E481-$D481))</f>
        <v/>
      </c>
      <c r="V481" s="14" t="n"/>
      <c r="W481" s="12" t="n"/>
    </row>
    <row r="482">
      <c r="A482" s="12" t="n"/>
      <c r="B482" s="14" t="n"/>
      <c r="C482" s="14" t="n"/>
      <c r="D482" s="15" t="n"/>
      <c r="E482" s="15" t="n"/>
      <c r="F482" s="16">
        <f>IF($E482="","",DATE(YEAR($E482),MONTH($E482),1))</f>
        <v/>
      </c>
      <c r="G482" s="14" t="n"/>
      <c r="H482" s="14" t="n"/>
      <c r="I482" s="14" t="n"/>
      <c r="J482" s="14" t="n"/>
      <c r="K482" s="17" t="n"/>
      <c r="L482" s="15" t="n"/>
      <c r="M482" s="14" t="n"/>
      <c r="N482" s="17" t="n"/>
      <c r="O482" s="17" t="n"/>
      <c r="P482" s="18" t="n"/>
      <c r="Q482" s="11">
        <f>IF($A482="","",IF($H482="Stock",IF($I482="Buy",-$M482*$N482-$P482,IF($I482="Sell",IF($N482="", $M482*$O482-$P482,($O482-$N482)*$M482-$P482),"")),IF($I482="Sell",($N482-IF($O482="",0,$O482))*$M482*100-$P482,IF($I482="Buy",(IF($O482="",0,$O482)-$N482)*$M482*100-$P482,""))))</f>
        <v/>
      </c>
      <c r="R482" s="11">
        <f>IF($A482="","",IF($C482="Open","",$Q482))</f>
        <v/>
      </c>
      <c r="S482" s="12">
        <f>IF($A482="","",IFS($B482="Covered Call","Covered Call Premium",$B482="Cash Secured Put","Cash Secured Put Premium",$B482="Long Call/Put","Long Call/Put P/L",$B482="Debit Spread","Long Call/Put P/L",$B482="Stock Sale","Stock Sales",TRUE,"Other"))</f>
        <v/>
      </c>
      <c r="T482" s="11">
        <f>IF($A482="","",IF($B482="Cash Secured Put",$K482*$M482*100,IF($B482="Covered Call",$K482*$M482*100,IF($H482="Stock",$M482*$N482,""))))</f>
        <v/>
      </c>
      <c r="U482" s="19">
        <f>IF(OR($A482="",$C482&lt;&gt;"Closed",$D482="",$E482="",$T482=0),"",$R482/$T482*365/MAX(1,$E482-$D482))</f>
        <v/>
      </c>
      <c r="V482" s="14" t="n"/>
      <c r="W482" s="12" t="n"/>
    </row>
    <row r="483">
      <c r="A483" s="12" t="n"/>
      <c r="B483" s="14" t="n"/>
      <c r="C483" s="14" t="n"/>
      <c r="D483" s="15" t="n"/>
      <c r="E483" s="15" t="n"/>
      <c r="F483" s="16">
        <f>IF($E483="","",DATE(YEAR($E483),MONTH($E483),1))</f>
        <v/>
      </c>
      <c r="G483" s="14" t="n"/>
      <c r="H483" s="14" t="n"/>
      <c r="I483" s="14" t="n"/>
      <c r="J483" s="14" t="n"/>
      <c r="K483" s="17" t="n"/>
      <c r="L483" s="15" t="n"/>
      <c r="M483" s="14" t="n"/>
      <c r="N483" s="17" t="n"/>
      <c r="O483" s="17" t="n"/>
      <c r="P483" s="18" t="n"/>
      <c r="Q483" s="11">
        <f>IF($A483="","",IF($H483="Stock",IF($I483="Buy",-$M483*$N483-$P483,IF($I483="Sell",IF($N483="", $M483*$O483-$P483,($O483-$N483)*$M483-$P483),"")),IF($I483="Sell",($N483-IF($O483="",0,$O483))*$M483*100-$P483,IF($I483="Buy",(IF($O483="",0,$O483)-$N483)*$M483*100-$P483,""))))</f>
        <v/>
      </c>
      <c r="R483" s="11">
        <f>IF($A483="","",IF($C483="Open","",$Q483))</f>
        <v/>
      </c>
      <c r="S483" s="12">
        <f>IF($A483="","",IFS($B483="Covered Call","Covered Call Premium",$B483="Cash Secured Put","Cash Secured Put Premium",$B483="Long Call/Put","Long Call/Put P/L",$B483="Debit Spread","Long Call/Put P/L",$B483="Stock Sale","Stock Sales",TRUE,"Other"))</f>
        <v/>
      </c>
      <c r="T483" s="11">
        <f>IF($A483="","",IF($B483="Cash Secured Put",$K483*$M483*100,IF($B483="Covered Call",$K483*$M483*100,IF($H483="Stock",$M483*$N483,""))))</f>
        <v/>
      </c>
      <c r="U483" s="19">
        <f>IF(OR($A483="",$C483&lt;&gt;"Closed",$D483="",$E483="",$T483=0),"",$R483/$T483*365/MAX(1,$E483-$D483))</f>
        <v/>
      </c>
      <c r="V483" s="14" t="n"/>
      <c r="W483" s="12" t="n"/>
    </row>
    <row r="484">
      <c r="A484" s="12" t="n"/>
      <c r="B484" s="14" t="n"/>
      <c r="C484" s="14" t="n"/>
      <c r="D484" s="15" t="n"/>
      <c r="E484" s="15" t="n"/>
      <c r="F484" s="16">
        <f>IF($E484="","",DATE(YEAR($E484),MONTH($E484),1))</f>
        <v/>
      </c>
      <c r="G484" s="14" t="n"/>
      <c r="H484" s="14" t="n"/>
      <c r="I484" s="14" t="n"/>
      <c r="J484" s="14" t="n"/>
      <c r="K484" s="17" t="n"/>
      <c r="L484" s="15" t="n"/>
      <c r="M484" s="14" t="n"/>
      <c r="N484" s="17" t="n"/>
      <c r="O484" s="17" t="n"/>
      <c r="P484" s="18" t="n"/>
      <c r="Q484" s="11">
        <f>IF($A484="","",IF($H484="Stock",IF($I484="Buy",-$M484*$N484-$P484,IF($I484="Sell",IF($N484="", $M484*$O484-$P484,($O484-$N484)*$M484-$P484),"")),IF($I484="Sell",($N484-IF($O484="",0,$O484))*$M484*100-$P484,IF($I484="Buy",(IF($O484="",0,$O484)-$N484)*$M484*100-$P484,""))))</f>
        <v/>
      </c>
      <c r="R484" s="11">
        <f>IF($A484="","",IF($C484="Open","",$Q484))</f>
        <v/>
      </c>
      <c r="S484" s="12">
        <f>IF($A484="","",IFS($B484="Covered Call","Covered Call Premium",$B484="Cash Secured Put","Cash Secured Put Premium",$B484="Long Call/Put","Long Call/Put P/L",$B484="Debit Spread","Long Call/Put P/L",$B484="Stock Sale","Stock Sales",TRUE,"Other"))</f>
        <v/>
      </c>
      <c r="T484" s="11">
        <f>IF($A484="","",IF($B484="Cash Secured Put",$K484*$M484*100,IF($B484="Covered Call",$K484*$M484*100,IF($H484="Stock",$M484*$N484,""))))</f>
        <v/>
      </c>
      <c r="U484" s="19">
        <f>IF(OR($A484="",$C484&lt;&gt;"Closed",$D484="",$E484="",$T484=0),"",$R484/$T484*365/MAX(1,$E484-$D484))</f>
        <v/>
      </c>
      <c r="V484" s="14" t="n"/>
      <c r="W484" s="12" t="n"/>
    </row>
    <row r="485">
      <c r="A485" s="12" t="n"/>
      <c r="B485" s="14" t="n"/>
      <c r="C485" s="14" t="n"/>
      <c r="D485" s="15" t="n"/>
      <c r="E485" s="15" t="n"/>
      <c r="F485" s="16">
        <f>IF($E485="","",DATE(YEAR($E485),MONTH($E485),1))</f>
        <v/>
      </c>
      <c r="G485" s="14" t="n"/>
      <c r="H485" s="14" t="n"/>
      <c r="I485" s="14" t="n"/>
      <c r="J485" s="14" t="n"/>
      <c r="K485" s="17" t="n"/>
      <c r="L485" s="15" t="n"/>
      <c r="M485" s="14" t="n"/>
      <c r="N485" s="17" t="n"/>
      <c r="O485" s="17" t="n"/>
      <c r="P485" s="18" t="n"/>
      <c r="Q485" s="11">
        <f>IF($A485="","",IF($H485="Stock",IF($I485="Buy",-$M485*$N485-$P485,IF($I485="Sell",IF($N485="", $M485*$O485-$P485,($O485-$N485)*$M485-$P485),"")),IF($I485="Sell",($N485-IF($O485="",0,$O485))*$M485*100-$P485,IF($I485="Buy",(IF($O485="",0,$O485)-$N485)*$M485*100-$P485,""))))</f>
        <v/>
      </c>
      <c r="R485" s="11">
        <f>IF($A485="","",IF($C485="Open","",$Q485))</f>
        <v/>
      </c>
      <c r="S485" s="12">
        <f>IF($A485="","",IFS($B485="Covered Call","Covered Call Premium",$B485="Cash Secured Put","Cash Secured Put Premium",$B485="Long Call/Put","Long Call/Put P/L",$B485="Debit Spread","Long Call/Put P/L",$B485="Stock Sale","Stock Sales",TRUE,"Other"))</f>
        <v/>
      </c>
      <c r="T485" s="11">
        <f>IF($A485="","",IF($B485="Cash Secured Put",$K485*$M485*100,IF($B485="Covered Call",$K485*$M485*100,IF($H485="Stock",$M485*$N485,""))))</f>
        <v/>
      </c>
      <c r="U485" s="19">
        <f>IF(OR($A485="",$C485&lt;&gt;"Closed",$D485="",$E485="",$T485=0),"",$R485/$T485*365/MAX(1,$E485-$D485))</f>
        <v/>
      </c>
      <c r="V485" s="14" t="n"/>
      <c r="W485" s="12" t="n"/>
    </row>
    <row r="486">
      <c r="A486" s="12" t="n"/>
      <c r="B486" s="14" t="n"/>
      <c r="C486" s="14" t="n"/>
      <c r="D486" s="15" t="n"/>
      <c r="E486" s="15" t="n"/>
      <c r="F486" s="16">
        <f>IF($E486="","",DATE(YEAR($E486),MONTH($E486),1))</f>
        <v/>
      </c>
      <c r="G486" s="14" t="n"/>
      <c r="H486" s="14" t="n"/>
      <c r="I486" s="14" t="n"/>
      <c r="J486" s="14" t="n"/>
      <c r="K486" s="17" t="n"/>
      <c r="L486" s="15" t="n"/>
      <c r="M486" s="14" t="n"/>
      <c r="N486" s="17" t="n"/>
      <c r="O486" s="17" t="n"/>
      <c r="P486" s="18" t="n"/>
      <c r="Q486" s="11">
        <f>IF($A486="","",IF($H486="Stock",IF($I486="Buy",-$M486*$N486-$P486,IF($I486="Sell",IF($N486="", $M486*$O486-$P486,($O486-$N486)*$M486-$P486),"")),IF($I486="Sell",($N486-IF($O486="",0,$O486))*$M486*100-$P486,IF($I486="Buy",(IF($O486="",0,$O486)-$N486)*$M486*100-$P486,""))))</f>
        <v/>
      </c>
      <c r="R486" s="11">
        <f>IF($A486="","",IF($C486="Open","",$Q486))</f>
        <v/>
      </c>
      <c r="S486" s="12">
        <f>IF($A486="","",IFS($B486="Covered Call","Covered Call Premium",$B486="Cash Secured Put","Cash Secured Put Premium",$B486="Long Call/Put","Long Call/Put P/L",$B486="Debit Spread","Long Call/Put P/L",$B486="Stock Sale","Stock Sales",TRUE,"Other"))</f>
        <v/>
      </c>
      <c r="T486" s="11">
        <f>IF($A486="","",IF($B486="Cash Secured Put",$K486*$M486*100,IF($B486="Covered Call",$K486*$M486*100,IF($H486="Stock",$M486*$N486,""))))</f>
        <v/>
      </c>
      <c r="U486" s="19">
        <f>IF(OR($A486="",$C486&lt;&gt;"Closed",$D486="",$E486="",$T486=0),"",$R486/$T486*365/MAX(1,$E486-$D486))</f>
        <v/>
      </c>
      <c r="V486" s="14" t="n"/>
      <c r="W486" s="12" t="n"/>
    </row>
    <row r="487">
      <c r="A487" s="12" t="n"/>
      <c r="B487" s="14" t="n"/>
      <c r="C487" s="14" t="n"/>
      <c r="D487" s="15" t="n"/>
      <c r="E487" s="15" t="n"/>
      <c r="F487" s="16">
        <f>IF($E487="","",DATE(YEAR($E487),MONTH($E487),1))</f>
        <v/>
      </c>
      <c r="G487" s="14" t="n"/>
      <c r="H487" s="14" t="n"/>
      <c r="I487" s="14" t="n"/>
      <c r="J487" s="14" t="n"/>
      <c r="K487" s="17" t="n"/>
      <c r="L487" s="15" t="n"/>
      <c r="M487" s="14" t="n"/>
      <c r="N487" s="17" t="n"/>
      <c r="O487" s="17" t="n"/>
      <c r="P487" s="18" t="n"/>
      <c r="Q487" s="11">
        <f>IF($A487="","",IF($H487="Stock",IF($I487="Buy",-$M487*$N487-$P487,IF($I487="Sell",IF($N487="", $M487*$O487-$P487,($O487-$N487)*$M487-$P487),"")),IF($I487="Sell",($N487-IF($O487="",0,$O487))*$M487*100-$P487,IF($I487="Buy",(IF($O487="",0,$O487)-$N487)*$M487*100-$P487,""))))</f>
        <v/>
      </c>
      <c r="R487" s="11">
        <f>IF($A487="","",IF($C487="Open","",$Q487))</f>
        <v/>
      </c>
      <c r="S487" s="12">
        <f>IF($A487="","",IFS($B487="Covered Call","Covered Call Premium",$B487="Cash Secured Put","Cash Secured Put Premium",$B487="Long Call/Put","Long Call/Put P/L",$B487="Debit Spread","Long Call/Put P/L",$B487="Stock Sale","Stock Sales",TRUE,"Other"))</f>
        <v/>
      </c>
      <c r="T487" s="11">
        <f>IF($A487="","",IF($B487="Cash Secured Put",$K487*$M487*100,IF($B487="Covered Call",$K487*$M487*100,IF($H487="Stock",$M487*$N487,""))))</f>
        <v/>
      </c>
      <c r="U487" s="19">
        <f>IF(OR($A487="",$C487&lt;&gt;"Closed",$D487="",$E487="",$T487=0),"",$R487/$T487*365/MAX(1,$E487-$D487))</f>
        <v/>
      </c>
      <c r="V487" s="14" t="n"/>
      <c r="W487" s="12" t="n"/>
    </row>
    <row r="488">
      <c r="A488" s="12" t="n"/>
      <c r="B488" s="14" t="n"/>
      <c r="C488" s="14" t="n"/>
      <c r="D488" s="15" t="n"/>
      <c r="E488" s="15" t="n"/>
      <c r="F488" s="16">
        <f>IF($E488="","",DATE(YEAR($E488),MONTH($E488),1))</f>
        <v/>
      </c>
      <c r="G488" s="14" t="n"/>
      <c r="H488" s="14" t="n"/>
      <c r="I488" s="14" t="n"/>
      <c r="J488" s="14" t="n"/>
      <c r="K488" s="17" t="n"/>
      <c r="L488" s="15" t="n"/>
      <c r="M488" s="14" t="n"/>
      <c r="N488" s="17" t="n"/>
      <c r="O488" s="17" t="n"/>
      <c r="P488" s="18" t="n"/>
      <c r="Q488" s="11">
        <f>IF($A488="","",IF($H488="Stock",IF($I488="Buy",-$M488*$N488-$P488,IF($I488="Sell",IF($N488="", $M488*$O488-$P488,($O488-$N488)*$M488-$P488),"")),IF($I488="Sell",($N488-IF($O488="",0,$O488))*$M488*100-$P488,IF($I488="Buy",(IF($O488="",0,$O488)-$N488)*$M488*100-$P488,""))))</f>
        <v/>
      </c>
      <c r="R488" s="11">
        <f>IF($A488="","",IF($C488="Open","",$Q488))</f>
        <v/>
      </c>
      <c r="S488" s="12">
        <f>IF($A488="","",IFS($B488="Covered Call","Covered Call Premium",$B488="Cash Secured Put","Cash Secured Put Premium",$B488="Long Call/Put","Long Call/Put P/L",$B488="Debit Spread","Long Call/Put P/L",$B488="Stock Sale","Stock Sales",TRUE,"Other"))</f>
        <v/>
      </c>
      <c r="T488" s="11">
        <f>IF($A488="","",IF($B488="Cash Secured Put",$K488*$M488*100,IF($B488="Covered Call",$K488*$M488*100,IF($H488="Stock",$M488*$N488,""))))</f>
        <v/>
      </c>
      <c r="U488" s="19">
        <f>IF(OR($A488="",$C488&lt;&gt;"Closed",$D488="",$E488="",$T488=0),"",$R488/$T488*365/MAX(1,$E488-$D488))</f>
        <v/>
      </c>
      <c r="V488" s="14" t="n"/>
      <c r="W488" s="12" t="n"/>
    </row>
    <row r="489">
      <c r="A489" s="12" t="n"/>
      <c r="B489" s="14" t="n"/>
      <c r="C489" s="14" t="n"/>
      <c r="D489" s="15" t="n"/>
      <c r="E489" s="15" t="n"/>
      <c r="F489" s="16">
        <f>IF($E489="","",DATE(YEAR($E489),MONTH($E489),1))</f>
        <v/>
      </c>
      <c r="G489" s="14" t="n"/>
      <c r="H489" s="14" t="n"/>
      <c r="I489" s="14" t="n"/>
      <c r="J489" s="14" t="n"/>
      <c r="K489" s="17" t="n"/>
      <c r="L489" s="15" t="n"/>
      <c r="M489" s="14" t="n"/>
      <c r="N489" s="17" t="n"/>
      <c r="O489" s="17" t="n"/>
      <c r="P489" s="18" t="n"/>
      <c r="Q489" s="11">
        <f>IF($A489="","",IF($H489="Stock",IF($I489="Buy",-$M489*$N489-$P489,IF($I489="Sell",IF($N489="", $M489*$O489-$P489,($O489-$N489)*$M489-$P489),"")),IF($I489="Sell",($N489-IF($O489="",0,$O489))*$M489*100-$P489,IF($I489="Buy",(IF($O489="",0,$O489)-$N489)*$M489*100-$P489,""))))</f>
        <v/>
      </c>
      <c r="R489" s="11">
        <f>IF($A489="","",IF($C489="Open","",$Q489))</f>
        <v/>
      </c>
      <c r="S489" s="12">
        <f>IF($A489="","",IFS($B489="Covered Call","Covered Call Premium",$B489="Cash Secured Put","Cash Secured Put Premium",$B489="Long Call/Put","Long Call/Put P/L",$B489="Debit Spread","Long Call/Put P/L",$B489="Stock Sale","Stock Sales",TRUE,"Other"))</f>
        <v/>
      </c>
      <c r="T489" s="11">
        <f>IF($A489="","",IF($B489="Cash Secured Put",$K489*$M489*100,IF($B489="Covered Call",$K489*$M489*100,IF($H489="Stock",$M489*$N489,""))))</f>
        <v/>
      </c>
      <c r="U489" s="19">
        <f>IF(OR($A489="",$C489&lt;&gt;"Closed",$D489="",$E489="",$T489=0),"",$R489/$T489*365/MAX(1,$E489-$D489))</f>
        <v/>
      </c>
      <c r="V489" s="14" t="n"/>
      <c r="W489" s="12" t="n"/>
    </row>
    <row r="490">
      <c r="A490" s="12" t="n"/>
      <c r="B490" s="14" t="n"/>
      <c r="C490" s="14" t="n"/>
      <c r="D490" s="15" t="n"/>
      <c r="E490" s="15" t="n"/>
      <c r="F490" s="16">
        <f>IF($E490="","",DATE(YEAR($E490),MONTH($E490),1))</f>
        <v/>
      </c>
      <c r="G490" s="14" t="n"/>
      <c r="H490" s="14" t="n"/>
      <c r="I490" s="14" t="n"/>
      <c r="J490" s="14" t="n"/>
      <c r="K490" s="17" t="n"/>
      <c r="L490" s="15" t="n"/>
      <c r="M490" s="14" t="n"/>
      <c r="N490" s="17" t="n"/>
      <c r="O490" s="17" t="n"/>
      <c r="P490" s="18" t="n"/>
      <c r="Q490" s="11">
        <f>IF($A490="","",IF($H490="Stock",IF($I490="Buy",-$M490*$N490-$P490,IF($I490="Sell",IF($N490="", $M490*$O490-$P490,($O490-$N490)*$M490-$P490),"")),IF($I490="Sell",($N490-IF($O490="",0,$O490))*$M490*100-$P490,IF($I490="Buy",(IF($O490="",0,$O490)-$N490)*$M490*100-$P490,""))))</f>
        <v/>
      </c>
      <c r="R490" s="11">
        <f>IF($A490="","",IF($C490="Open","",$Q490))</f>
        <v/>
      </c>
      <c r="S490" s="12">
        <f>IF($A490="","",IFS($B490="Covered Call","Covered Call Premium",$B490="Cash Secured Put","Cash Secured Put Premium",$B490="Long Call/Put","Long Call/Put P/L",$B490="Debit Spread","Long Call/Put P/L",$B490="Stock Sale","Stock Sales",TRUE,"Other"))</f>
        <v/>
      </c>
      <c r="T490" s="11">
        <f>IF($A490="","",IF($B490="Cash Secured Put",$K490*$M490*100,IF($B490="Covered Call",$K490*$M490*100,IF($H490="Stock",$M490*$N490,""))))</f>
        <v/>
      </c>
      <c r="U490" s="19">
        <f>IF(OR($A490="",$C490&lt;&gt;"Closed",$D490="",$E490="",$T490=0),"",$R490/$T490*365/MAX(1,$E490-$D490))</f>
        <v/>
      </c>
      <c r="V490" s="14" t="n"/>
      <c r="W490" s="12" t="n"/>
    </row>
    <row r="491">
      <c r="A491" s="12" t="n"/>
      <c r="B491" s="14" t="n"/>
      <c r="C491" s="14" t="n"/>
      <c r="D491" s="15" t="n"/>
      <c r="E491" s="15" t="n"/>
      <c r="F491" s="16">
        <f>IF($E491="","",DATE(YEAR($E491),MONTH($E491),1))</f>
        <v/>
      </c>
      <c r="G491" s="14" t="n"/>
      <c r="H491" s="14" t="n"/>
      <c r="I491" s="14" t="n"/>
      <c r="J491" s="14" t="n"/>
      <c r="K491" s="17" t="n"/>
      <c r="L491" s="15" t="n"/>
      <c r="M491" s="14" t="n"/>
      <c r="N491" s="17" t="n"/>
      <c r="O491" s="17" t="n"/>
      <c r="P491" s="18" t="n"/>
      <c r="Q491" s="11">
        <f>IF($A491="","",IF($H491="Stock",IF($I491="Buy",-$M491*$N491-$P491,IF($I491="Sell",IF($N491="", $M491*$O491-$P491,($O491-$N491)*$M491-$P491),"")),IF($I491="Sell",($N491-IF($O491="",0,$O491))*$M491*100-$P491,IF($I491="Buy",(IF($O491="",0,$O491)-$N491)*$M491*100-$P491,""))))</f>
        <v/>
      </c>
      <c r="R491" s="11">
        <f>IF($A491="","",IF($C491="Open","",$Q491))</f>
        <v/>
      </c>
      <c r="S491" s="12">
        <f>IF($A491="","",IFS($B491="Covered Call","Covered Call Premium",$B491="Cash Secured Put","Cash Secured Put Premium",$B491="Long Call/Put","Long Call/Put P/L",$B491="Debit Spread","Long Call/Put P/L",$B491="Stock Sale","Stock Sales",TRUE,"Other"))</f>
        <v/>
      </c>
      <c r="T491" s="11">
        <f>IF($A491="","",IF($B491="Cash Secured Put",$K491*$M491*100,IF($B491="Covered Call",$K491*$M491*100,IF($H491="Stock",$M491*$N491,""))))</f>
        <v/>
      </c>
      <c r="U491" s="19">
        <f>IF(OR($A491="",$C491&lt;&gt;"Closed",$D491="",$E491="",$T491=0),"",$R491/$T491*365/MAX(1,$E491-$D491))</f>
        <v/>
      </c>
      <c r="V491" s="14" t="n"/>
      <c r="W491" s="12" t="n"/>
    </row>
    <row r="492">
      <c r="A492" s="12" t="n"/>
      <c r="B492" s="14" t="n"/>
      <c r="C492" s="14" t="n"/>
      <c r="D492" s="15" t="n"/>
      <c r="E492" s="15" t="n"/>
      <c r="F492" s="16">
        <f>IF($E492="","",DATE(YEAR($E492),MONTH($E492),1))</f>
        <v/>
      </c>
      <c r="G492" s="14" t="n"/>
      <c r="H492" s="14" t="n"/>
      <c r="I492" s="14" t="n"/>
      <c r="J492" s="14" t="n"/>
      <c r="K492" s="17" t="n"/>
      <c r="L492" s="15" t="n"/>
      <c r="M492" s="14" t="n"/>
      <c r="N492" s="17" t="n"/>
      <c r="O492" s="17" t="n"/>
      <c r="P492" s="18" t="n"/>
      <c r="Q492" s="11">
        <f>IF($A492="","",IF($H492="Stock",IF($I492="Buy",-$M492*$N492-$P492,IF($I492="Sell",IF($N492="", $M492*$O492-$P492,($O492-$N492)*$M492-$P492),"")),IF($I492="Sell",($N492-IF($O492="",0,$O492))*$M492*100-$P492,IF($I492="Buy",(IF($O492="",0,$O492)-$N492)*$M492*100-$P492,""))))</f>
        <v/>
      </c>
      <c r="R492" s="11">
        <f>IF($A492="","",IF($C492="Open","",$Q492))</f>
        <v/>
      </c>
      <c r="S492" s="12">
        <f>IF($A492="","",IFS($B492="Covered Call","Covered Call Premium",$B492="Cash Secured Put","Cash Secured Put Premium",$B492="Long Call/Put","Long Call/Put P/L",$B492="Debit Spread","Long Call/Put P/L",$B492="Stock Sale","Stock Sales",TRUE,"Other"))</f>
        <v/>
      </c>
      <c r="T492" s="11">
        <f>IF($A492="","",IF($B492="Cash Secured Put",$K492*$M492*100,IF($B492="Covered Call",$K492*$M492*100,IF($H492="Stock",$M492*$N492,""))))</f>
        <v/>
      </c>
      <c r="U492" s="19">
        <f>IF(OR($A492="",$C492&lt;&gt;"Closed",$D492="",$E492="",$T492=0),"",$R492/$T492*365/MAX(1,$E492-$D492))</f>
        <v/>
      </c>
      <c r="V492" s="14" t="n"/>
      <c r="W492" s="12" t="n"/>
    </row>
    <row r="493">
      <c r="A493" s="12" t="n"/>
      <c r="B493" s="14" t="n"/>
      <c r="C493" s="14" t="n"/>
      <c r="D493" s="15" t="n"/>
      <c r="E493" s="15" t="n"/>
      <c r="F493" s="16">
        <f>IF($E493="","",DATE(YEAR($E493),MONTH($E493),1))</f>
        <v/>
      </c>
      <c r="G493" s="14" t="n"/>
      <c r="H493" s="14" t="n"/>
      <c r="I493" s="14" t="n"/>
      <c r="J493" s="14" t="n"/>
      <c r="K493" s="17" t="n"/>
      <c r="L493" s="15" t="n"/>
      <c r="M493" s="14" t="n"/>
      <c r="N493" s="17" t="n"/>
      <c r="O493" s="17" t="n"/>
      <c r="P493" s="18" t="n"/>
      <c r="Q493" s="11">
        <f>IF($A493="","",IF($H493="Stock",IF($I493="Buy",-$M493*$N493-$P493,IF($I493="Sell",IF($N493="", $M493*$O493-$P493,($O493-$N493)*$M493-$P493),"")),IF($I493="Sell",($N493-IF($O493="",0,$O493))*$M493*100-$P493,IF($I493="Buy",(IF($O493="",0,$O493)-$N493)*$M493*100-$P493,""))))</f>
        <v/>
      </c>
      <c r="R493" s="11">
        <f>IF($A493="","",IF($C493="Open","",$Q493))</f>
        <v/>
      </c>
      <c r="S493" s="12">
        <f>IF($A493="","",IFS($B493="Covered Call","Covered Call Premium",$B493="Cash Secured Put","Cash Secured Put Premium",$B493="Long Call/Put","Long Call/Put P/L",$B493="Debit Spread","Long Call/Put P/L",$B493="Stock Sale","Stock Sales",TRUE,"Other"))</f>
        <v/>
      </c>
      <c r="T493" s="11">
        <f>IF($A493="","",IF($B493="Cash Secured Put",$K493*$M493*100,IF($B493="Covered Call",$K493*$M493*100,IF($H493="Stock",$M493*$N493,""))))</f>
        <v/>
      </c>
      <c r="U493" s="19">
        <f>IF(OR($A493="",$C493&lt;&gt;"Closed",$D493="",$E493="",$T493=0),"",$R493/$T493*365/MAX(1,$E493-$D493))</f>
        <v/>
      </c>
      <c r="V493" s="14" t="n"/>
      <c r="W493" s="12" t="n"/>
    </row>
    <row r="494">
      <c r="A494" s="12" t="n"/>
      <c r="B494" s="14" t="n"/>
      <c r="C494" s="14" t="n"/>
      <c r="D494" s="15" t="n"/>
      <c r="E494" s="15" t="n"/>
      <c r="F494" s="16">
        <f>IF($E494="","",DATE(YEAR($E494),MONTH($E494),1))</f>
        <v/>
      </c>
      <c r="G494" s="14" t="n"/>
      <c r="H494" s="14" t="n"/>
      <c r="I494" s="14" t="n"/>
      <c r="J494" s="14" t="n"/>
      <c r="K494" s="17" t="n"/>
      <c r="L494" s="15" t="n"/>
      <c r="M494" s="14" t="n"/>
      <c r="N494" s="17" t="n"/>
      <c r="O494" s="17" t="n"/>
      <c r="P494" s="18" t="n"/>
      <c r="Q494" s="11">
        <f>IF($A494="","",IF($H494="Stock",IF($I494="Buy",-$M494*$N494-$P494,IF($I494="Sell",IF($N494="", $M494*$O494-$P494,($O494-$N494)*$M494-$P494),"")),IF($I494="Sell",($N494-IF($O494="",0,$O494))*$M494*100-$P494,IF($I494="Buy",(IF($O494="",0,$O494)-$N494)*$M494*100-$P494,""))))</f>
        <v/>
      </c>
      <c r="R494" s="11">
        <f>IF($A494="","",IF($C494="Open","",$Q494))</f>
        <v/>
      </c>
      <c r="S494" s="12">
        <f>IF($A494="","",IFS($B494="Covered Call","Covered Call Premium",$B494="Cash Secured Put","Cash Secured Put Premium",$B494="Long Call/Put","Long Call/Put P/L",$B494="Debit Spread","Long Call/Put P/L",$B494="Stock Sale","Stock Sales",TRUE,"Other"))</f>
        <v/>
      </c>
      <c r="T494" s="11">
        <f>IF($A494="","",IF($B494="Cash Secured Put",$K494*$M494*100,IF($B494="Covered Call",$K494*$M494*100,IF($H494="Stock",$M494*$N494,""))))</f>
        <v/>
      </c>
      <c r="U494" s="19">
        <f>IF(OR($A494="",$C494&lt;&gt;"Closed",$D494="",$E494="",$T494=0),"",$R494/$T494*365/MAX(1,$E494-$D494))</f>
        <v/>
      </c>
      <c r="V494" s="14" t="n"/>
      <c r="W494" s="12" t="n"/>
    </row>
    <row r="495">
      <c r="A495" s="12" t="n"/>
      <c r="B495" s="14" t="n"/>
      <c r="C495" s="14" t="n"/>
      <c r="D495" s="15" t="n"/>
      <c r="E495" s="15" t="n"/>
      <c r="F495" s="16">
        <f>IF($E495="","",DATE(YEAR($E495),MONTH($E495),1))</f>
        <v/>
      </c>
      <c r="G495" s="14" t="n"/>
      <c r="H495" s="14" t="n"/>
      <c r="I495" s="14" t="n"/>
      <c r="J495" s="14" t="n"/>
      <c r="K495" s="17" t="n"/>
      <c r="L495" s="15" t="n"/>
      <c r="M495" s="14" t="n"/>
      <c r="N495" s="17" t="n"/>
      <c r="O495" s="17" t="n"/>
      <c r="P495" s="18" t="n"/>
      <c r="Q495" s="11">
        <f>IF($A495="","",IF($H495="Stock",IF($I495="Buy",-$M495*$N495-$P495,IF($I495="Sell",IF($N495="", $M495*$O495-$P495,($O495-$N495)*$M495-$P495),"")),IF($I495="Sell",($N495-IF($O495="",0,$O495))*$M495*100-$P495,IF($I495="Buy",(IF($O495="",0,$O495)-$N495)*$M495*100-$P495,""))))</f>
        <v/>
      </c>
      <c r="R495" s="11">
        <f>IF($A495="","",IF($C495="Open","",$Q495))</f>
        <v/>
      </c>
      <c r="S495" s="12">
        <f>IF($A495="","",IFS($B495="Covered Call","Covered Call Premium",$B495="Cash Secured Put","Cash Secured Put Premium",$B495="Long Call/Put","Long Call/Put P/L",$B495="Debit Spread","Long Call/Put P/L",$B495="Stock Sale","Stock Sales",TRUE,"Other"))</f>
        <v/>
      </c>
      <c r="T495" s="11">
        <f>IF($A495="","",IF($B495="Cash Secured Put",$K495*$M495*100,IF($B495="Covered Call",$K495*$M495*100,IF($H495="Stock",$M495*$N495,""))))</f>
        <v/>
      </c>
      <c r="U495" s="19">
        <f>IF(OR($A495="",$C495&lt;&gt;"Closed",$D495="",$E495="",$T495=0),"",$R495/$T495*365/MAX(1,$E495-$D495))</f>
        <v/>
      </c>
      <c r="V495" s="14" t="n"/>
      <c r="W495" s="12" t="n"/>
    </row>
    <row r="496">
      <c r="A496" s="12" t="n"/>
      <c r="B496" s="14" t="n"/>
      <c r="C496" s="14" t="n"/>
      <c r="D496" s="15" t="n"/>
      <c r="E496" s="15" t="n"/>
      <c r="F496" s="16">
        <f>IF($E496="","",DATE(YEAR($E496),MONTH($E496),1))</f>
        <v/>
      </c>
      <c r="G496" s="14" t="n"/>
      <c r="H496" s="14" t="n"/>
      <c r="I496" s="14" t="n"/>
      <c r="J496" s="14" t="n"/>
      <c r="K496" s="17" t="n"/>
      <c r="L496" s="15" t="n"/>
      <c r="M496" s="14" t="n"/>
      <c r="N496" s="17" t="n"/>
      <c r="O496" s="17" t="n"/>
      <c r="P496" s="18" t="n"/>
      <c r="Q496" s="11">
        <f>IF($A496="","",IF($H496="Stock",IF($I496="Buy",-$M496*$N496-$P496,IF($I496="Sell",IF($N496="", $M496*$O496-$P496,($O496-$N496)*$M496-$P496),"")),IF($I496="Sell",($N496-IF($O496="",0,$O496))*$M496*100-$P496,IF($I496="Buy",(IF($O496="",0,$O496)-$N496)*$M496*100-$P496,""))))</f>
        <v/>
      </c>
      <c r="R496" s="11">
        <f>IF($A496="","",IF($C496="Open","",$Q496))</f>
        <v/>
      </c>
      <c r="S496" s="12">
        <f>IF($A496="","",IFS($B496="Covered Call","Covered Call Premium",$B496="Cash Secured Put","Cash Secured Put Premium",$B496="Long Call/Put","Long Call/Put P/L",$B496="Debit Spread","Long Call/Put P/L",$B496="Stock Sale","Stock Sales",TRUE,"Other"))</f>
        <v/>
      </c>
      <c r="T496" s="11">
        <f>IF($A496="","",IF($B496="Cash Secured Put",$K496*$M496*100,IF($B496="Covered Call",$K496*$M496*100,IF($H496="Stock",$M496*$N496,""))))</f>
        <v/>
      </c>
      <c r="U496" s="19">
        <f>IF(OR($A496="",$C496&lt;&gt;"Closed",$D496="",$E496="",$T496=0),"",$R496/$T496*365/MAX(1,$E496-$D496))</f>
        <v/>
      </c>
      <c r="V496" s="14" t="n"/>
      <c r="W496" s="12" t="n"/>
    </row>
    <row r="497">
      <c r="A497" s="12" t="n"/>
      <c r="B497" s="14" t="n"/>
      <c r="C497" s="14" t="n"/>
      <c r="D497" s="15" t="n"/>
      <c r="E497" s="15" t="n"/>
      <c r="F497" s="16">
        <f>IF($E497="","",DATE(YEAR($E497),MONTH($E497),1))</f>
        <v/>
      </c>
      <c r="G497" s="14" t="n"/>
      <c r="H497" s="14" t="n"/>
      <c r="I497" s="14" t="n"/>
      <c r="J497" s="14" t="n"/>
      <c r="K497" s="17" t="n"/>
      <c r="L497" s="15" t="n"/>
      <c r="M497" s="14" t="n"/>
      <c r="N497" s="17" t="n"/>
      <c r="O497" s="17" t="n"/>
      <c r="P497" s="18" t="n"/>
      <c r="Q497" s="11">
        <f>IF($A497="","",IF($H497="Stock",IF($I497="Buy",-$M497*$N497-$P497,IF($I497="Sell",IF($N497="", $M497*$O497-$P497,($O497-$N497)*$M497-$P497),"")),IF($I497="Sell",($N497-IF($O497="",0,$O497))*$M497*100-$P497,IF($I497="Buy",(IF($O497="",0,$O497)-$N497)*$M497*100-$P497,""))))</f>
        <v/>
      </c>
      <c r="R497" s="11">
        <f>IF($A497="","",IF($C497="Open","",$Q497))</f>
        <v/>
      </c>
      <c r="S497" s="12">
        <f>IF($A497="","",IFS($B497="Covered Call","Covered Call Premium",$B497="Cash Secured Put","Cash Secured Put Premium",$B497="Long Call/Put","Long Call/Put P/L",$B497="Debit Spread","Long Call/Put P/L",$B497="Stock Sale","Stock Sales",TRUE,"Other"))</f>
        <v/>
      </c>
      <c r="T497" s="11">
        <f>IF($A497="","",IF($B497="Cash Secured Put",$K497*$M497*100,IF($B497="Covered Call",$K497*$M497*100,IF($H497="Stock",$M497*$N497,""))))</f>
        <v/>
      </c>
      <c r="U497" s="19">
        <f>IF(OR($A497="",$C497&lt;&gt;"Closed",$D497="",$E497="",$T497=0),"",$R497/$T497*365/MAX(1,$E497-$D497))</f>
        <v/>
      </c>
      <c r="V497" s="14" t="n"/>
      <c r="W497" s="12" t="n"/>
    </row>
    <row r="498">
      <c r="A498" s="12" t="n"/>
      <c r="B498" s="14" t="n"/>
      <c r="C498" s="14" t="n"/>
      <c r="D498" s="15" t="n"/>
      <c r="E498" s="15" t="n"/>
      <c r="F498" s="16">
        <f>IF($E498="","",DATE(YEAR($E498),MONTH($E498),1))</f>
        <v/>
      </c>
      <c r="G498" s="14" t="n"/>
      <c r="H498" s="14" t="n"/>
      <c r="I498" s="14" t="n"/>
      <c r="J498" s="14" t="n"/>
      <c r="K498" s="17" t="n"/>
      <c r="L498" s="15" t="n"/>
      <c r="M498" s="14" t="n"/>
      <c r="N498" s="17" t="n"/>
      <c r="O498" s="17" t="n"/>
      <c r="P498" s="18" t="n"/>
      <c r="Q498" s="11">
        <f>IF($A498="","",IF($H498="Stock",IF($I498="Buy",-$M498*$N498-$P498,IF($I498="Sell",IF($N498="", $M498*$O498-$P498,($O498-$N498)*$M498-$P498),"")),IF($I498="Sell",($N498-IF($O498="",0,$O498))*$M498*100-$P498,IF($I498="Buy",(IF($O498="",0,$O498)-$N498)*$M498*100-$P498,""))))</f>
        <v/>
      </c>
      <c r="R498" s="11">
        <f>IF($A498="","",IF($C498="Open","",$Q498))</f>
        <v/>
      </c>
      <c r="S498" s="12">
        <f>IF($A498="","",IFS($B498="Covered Call","Covered Call Premium",$B498="Cash Secured Put","Cash Secured Put Premium",$B498="Long Call/Put","Long Call/Put P/L",$B498="Debit Spread","Long Call/Put P/L",$B498="Stock Sale","Stock Sales",TRUE,"Other"))</f>
        <v/>
      </c>
      <c r="T498" s="11">
        <f>IF($A498="","",IF($B498="Cash Secured Put",$K498*$M498*100,IF($B498="Covered Call",$K498*$M498*100,IF($H498="Stock",$M498*$N498,""))))</f>
        <v/>
      </c>
      <c r="U498" s="19">
        <f>IF(OR($A498="",$C498&lt;&gt;"Closed",$D498="",$E498="",$T498=0),"",$R498/$T498*365/MAX(1,$E498-$D498))</f>
        <v/>
      </c>
      <c r="V498" s="14" t="n"/>
      <c r="W498" s="12" t="n"/>
    </row>
    <row r="499">
      <c r="A499" s="12" t="n"/>
      <c r="B499" s="14" t="n"/>
      <c r="C499" s="14" t="n"/>
      <c r="D499" s="15" t="n"/>
      <c r="E499" s="15" t="n"/>
      <c r="F499" s="16">
        <f>IF($E499="","",DATE(YEAR($E499),MONTH($E499),1))</f>
        <v/>
      </c>
      <c r="G499" s="14" t="n"/>
      <c r="H499" s="14" t="n"/>
      <c r="I499" s="14" t="n"/>
      <c r="J499" s="14" t="n"/>
      <c r="K499" s="17" t="n"/>
      <c r="L499" s="15" t="n"/>
      <c r="M499" s="14" t="n"/>
      <c r="N499" s="17" t="n"/>
      <c r="O499" s="17" t="n"/>
      <c r="P499" s="18" t="n"/>
      <c r="Q499" s="11">
        <f>IF($A499="","",IF($H499="Stock",IF($I499="Buy",-$M499*$N499-$P499,IF($I499="Sell",IF($N499="", $M499*$O499-$P499,($O499-$N499)*$M499-$P499),"")),IF($I499="Sell",($N499-IF($O499="",0,$O499))*$M499*100-$P499,IF($I499="Buy",(IF($O499="",0,$O499)-$N499)*$M499*100-$P499,""))))</f>
        <v/>
      </c>
      <c r="R499" s="11">
        <f>IF($A499="","",IF($C499="Open","",$Q499))</f>
        <v/>
      </c>
      <c r="S499" s="12">
        <f>IF($A499="","",IFS($B499="Covered Call","Covered Call Premium",$B499="Cash Secured Put","Cash Secured Put Premium",$B499="Long Call/Put","Long Call/Put P/L",$B499="Debit Spread","Long Call/Put P/L",$B499="Stock Sale","Stock Sales",TRUE,"Other"))</f>
        <v/>
      </c>
      <c r="T499" s="11">
        <f>IF($A499="","",IF($B499="Cash Secured Put",$K499*$M499*100,IF($B499="Covered Call",$K499*$M499*100,IF($H499="Stock",$M499*$N499,""))))</f>
        <v/>
      </c>
      <c r="U499" s="19">
        <f>IF(OR($A499="",$C499&lt;&gt;"Closed",$D499="",$E499="",$T499=0),"",$R499/$T499*365/MAX(1,$E499-$D499))</f>
        <v/>
      </c>
      <c r="V499" s="14" t="n"/>
      <c r="W499" s="12" t="n"/>
    </row>
    <row r="500">
      <c r="A500" s="12" t="n"/>
      <c r="B500" s="14" t="n"/>
      <c r="C500" s="14" t="n"/>
      <c r="D500" s="15" t="n"/>
      <c r="E500" s="15" t="n"/>
      <c r="F500" s="16">
        <f>IF($E500="","",DATE(YEAR($E500),MONTH($E500),1))</f>
        <v/>
      </c>
      <c r="G500" s="14" t="n"/>
      <c r="H500" s="14" t="n"/>
      <c r="I500" s="14" t="n"/>
      <c r="J500" s="14" t="n"/>
      <c r="K500" s="17" t="n"/>
      <c r="L500" s="15" t="n"/>
      <c r="M500" s="14" t="n"/>
      <c r="N500" s="17" t="n"/>
      <c r="O500" s="17" t="n"/>
      <c r="P500" s="18" t="n"/>
      <c r="Q500" s="11">
        <f>IF($A500="","",IF($H500="Stock",IF($I500="Buy",-$M500*$N500-$P500,IF($I500="Sell",IF($N500="", $M500*$O500-$P500,($O500-$N500)*$M500-$P500),"")),IF($I500="Sell",($N500-IF($O500="",0,$O500))*$M500*100-$P500,IF($I500="Buy",(IF($O500="",0,$O500)-$N500)*$M500*100-$P500,""))))</f>
        <v/>
      </c>
      <c r="R500" s="11">
        <f>IF($A500="","",IF($C500="Open","",$Q500))</f>
        <v/>
      </c>
      <c r="S500" s="12">
        <f>IF($A500="","",IFS($B500="Covered Call","Covered Call Premium",$B500="Cash Secured Put","Cash Secured Put Premium",$B500="Long Call/Put","Long Call/Put P/L",$B500="Debit Spread","Long Call/Put P/L",$B500="Stock Sale","Stock Sales",TRUE,"Other"))</f>
        <v/>
      </c>
      <c r="T500" s="11">
        <f>IF($A500="","",IF($B500="Cash Secured Put",$K500*$M500*100,IF($B500="Covered Call",$K500*$M500*100,IF($H500="Stock",$M500*$N500,""))))</f>
        <v/>
      </c>
      <c r="U500" s="19">
        <f>IF(OR($A500="",$C500&lt;&gt;"Closed",$D500="",$E500="",$T500=0),"",$R500/$T500*365/MAX(1,$E500-$D500))</f>
        <v/>
      </c>
      <c r="V500" s="14" t="n"/>
      <c r="W500" s="12" t="n"/>
    </row>
    <row r="501">
      <c r="A501" s="12" t="n"/>
      <c r="B501" s="14" t="n"/>
      <c r="C501" s="14" t="n"/>
      <c r="D501" s="15" t="n"/>
      <c r="E501" s="15" t="n"/>
      <c r="F501" s="16">
        <f>IF($E501="","",DATE(YEAR($E501),MONTH($E501),1))</f>
        <v/>
      </c>
      <c r="G501" s="14" t="n"/>
      <c r="H501" s="14" t="n"/>
      <c r="I501" s="14" t="n"/>
      <c r="J501" s="14" t="n"/>
      <c r="K501" s="17" t="n"/>
      <c r="L501" s="15" t="n"/>
      <c r="M501" s="14" t="n"/>
      <c r="N501" s="17" t="n"/>
      <c r="O501" s="17" t="n"/>
      <c r="P501" s="18" t="n"/>
      <c r="Q501" s="11">
        <f>IF($A501="","",IF($H501="Stock",IF($I501="Buy",-$M501*$N501-$P501,IF($I501="Sell",IF($N501="", $M501*$O501-$P501,($O501-$N501)*$M501-$P501),"")),IF($I501="Sell",($N501-IF($O501="",0,$O501))*$M501*100-$P501,IF($I501="Buy",(IF($O501="",0,$O501)-$N501)*$M501*100-$P501,""))))</f>
        <v/>
      </c>
      <c r="R501" s="11">
        <f>IF($A501="","",IF($C501="Open","",$Q501))</f>
        <v/>
      </c>
      <c r="S501" s="12">
        <f>IF($A501="","",IFS($B501="Covered Call","Covered Call Premium",$B501="Cash Secured Put","Cash Secured Put Premium",$B501="Long Call/Put","Long Call/Put P/L",$B501="Debit Spread","Long Call/Put P/L",$B501="Stock Sale","Stock Sales",TRUE,"Other"))</f>
        <v/>
      </c>
      <c r="T501" s="11">
        <f>IF($A501="","",IF($B501="Cash Secured Put",$K501*$M501*100,IF($B501="Covered Call",$K501*$M501*100,IF($H501="Stock",$M501*$N501,""))))</f>
        <v/>
      </c>
      <c r="U501" s="19">
        <f>IF(OR($A501="",$C501&lt;&gt;"Closed",$D501="",$E501="",$T501=0),"",$R501/$T501*365/MAX(1,$E501-$D501))</f>
        <v/>
      </c>
      <c r="V501" s="14" t="n"/>
      <c r="W501" s="12" t="n"/>
    </row>
    <row r="502">
      <c r="A502" s="12" t="n"/>
      <c r="B502" s="14" t="n"/>
      <c r="C502" s="14" t="n"/>
      <c r="D502" s="15" t="n"/>
      <c r="E502" s="15" t="n"/>
      <c r="F502" s="16">
        <f>IF($E502="","",DATE(YEAR($E502),MONTH($E502),1))</f>
        <v/>
      </c>
      <c r="G502" s="14" t="n"/>
      <c r="H502" s="14" t="n"/>
      <c r="I502" s="14" t="n"/>
      <c r="J502" s="14" t="n"/>
      <c r="K502" s="17" t="n"/>
      <c r="L502" s="15" t="n"/>
      <c r="M502" s="14" t="n"/>
      <c r="N502" s="17" t="n"/>
      <c r="O502" s="17" t="n"/>
      <c r="P502" s="18" t="n"/>
      <c r="Q502" s="11">
        <f>IF($A502="","",IF($H502="Stock",IF($I502="Buy",-$M502*$N502-$P502,IF($I502="Sell",IF($N502="", $M502*$O502-$P502,($O502-$N502)*$M502-$P502),"")),IF($I502="Sell",($N502-IF($O502="",0,$O502))*$M502*100-$P502,IF($I502="Buy",(IF($O502="",0,$O502)-$N502)*$M502*100-$P502,""))))</f>
        <v/>
      </c>
      <c r="R502" s="11">
        <f>IF($A502="","",IF($C502="Open","",$Q502))</f>
        <v/>
      </c>
      <c r="S502" s="12">
        <f>IF($A502="","",IFS($B502="Covered Call","Covered Call Premium",$B502="Cash Secured Put","Cash Secured Put Premium",$B502="Long Call/Put","Long Call/Put P/L",$B502="Debit Spread","Long Call/Put P/L",$B502="Stock Sale","Stock Sales",TRUE,"Other"))</f>
        <v/>
      </c>
      <c r="T502" s="11">
        <f>IF($A502="","",IF($B502="Cash Secured Put",$K502*$M502*100,IF($B502="Covered Call",$K502*$M502*100,IF($H502="Stock",$M502*$N502,""))))</f>
        <v/>
      </c>
      <c r="U502" s="19">
        <f>IF(OR($A502="",$C502&lt;&gt;"Closed",$D502="",$E502="",$T502=0),"",$R502/$T502*365/MAX(1,$E502-$D502))</f>
        <v/>
      </c>
      <c r="V502" s="14" t="n"/>
      <c r="W502" s="12" t="n"/>
    </row>
    <row r="503">
      <c r="A503" s="12" t="n"/>
      <c r="B503" s="14" t="n"/>
      <c r="C503" s="14" t="n"/>
      <c r="D503" s="15" t="n"/>
      <c r="E503" s="15" t="n"/>
      <c r="F503" s="16">
        <f>IF($E503="","",DATE(YEAR($E503),MONTH($E503),1))</f>
        <v/>
      </c>
      <c r="G503" s="14" t="n"/>
      <c r="H503" s="14" t="n"/>
      <c r="I503" s="14" t="n"/>
      <c r="J503" s="14" t="n"/>
      <c r="K503" s="17" t="n"/>
      <c r="L503" s="15" t="n"/>
      <c r="M503" s="14" t="n"/>
      <c r="N503" s="17" t="n"/>
      <c r="O503" s="17" t="n"/>
      <c r="P503" s="18" t="n"/>
      <c r="Q503" s="11">
        <f>IF($A503="","",IF($H503="Stock",IF($I503="Buy",-$M503*$N503-$P503,IF($I503="Sell",IF($N503="", $M503*$O503-$P503,($O503-$N503)*$M503-$P503),"")),IF($I503="Sell",($N503-IF($O503="",0,$O503))*$M503*100-$P503,IF($I503="Buy",(IF($O503="",0,$O503)-$N503)*$M503*100-$P503,""))))</f>
        <v/>
      </c>
      <c r="R503" s="11">
        <f>IF($A503="","",IF($C503="Open","",$Q503))</f>
        <v/>
      </c>
      <c r="S503" s="12">
        <f>IF($A503="","",IFS($B503="Covered Call","Covered Call Premium",$B503="Cash Secured Put","Cash Secured Put Premium",$B503="Long Call/Put","Long Call/Put P/L",$B503="Debit Spread","Long Call/Put P/L",$B503="Stock Sale","Stock Sales",TRUE,"Other"))</f>
        <v/>
      </c>
      <c r="T503" s="11">
        <f>IF($A503="","",IF($B503="Cash Secured Put",$K503*$M503*100,IF($B503="Covered Call",$K503*$M503*100,IF($H503="Stock",$M503*$N503,""))))</f>
        <v/>
      </c>
      <c r="U503" s="19">
        <f>IF(OR($A503="",$C503&lt;&gt;"Closed",$D503="",$E503="",$T503=0),"",$R503/$T503*365/MAX(1,$E503-$D503))</f>
        <v/>
      </c>
      <c r="V503" s="14" t="n"/>
      <c r="W503" s="12" t="n"/>
    </row>
    <row r="504">
      <c r="A504" s="12" t="n"/>
      <c r="B504" s="14" t="n"/>
      <c r="C504" s="14" t="n"/>
      <c r="D504" s="15" t="n"/>
      <c r="E504" s="15" t="n"/>
      <c r="F504" s="16">
        <f>IF($E504="","",DATE(YEAR($E504),MONTH($E504),1))</f>
        <v/>
      </c>
      <c r="G504" s="14" t="n"/>
      <c r="H504" s="14" t="n"/>
      <c r="I504" s="14" t="n"/>
      <c r="J504" s="14" t="n"/>
      <c r="K504" s="17" t="n"/>
      <c r="L504" s="15" t="n"/>
      <c r="M504" s="14" t="n"/>
      <c r="N504" s="17" t="n"/>
      <c r="O504" s="17" t="n"/>
      <c r="P504" s="18" t="n"/>
      <c r="Q504" s="11">
        <f>IF($A504="","",IF($H504="Stock",IF($I504="Buy",-$M504*$N504-$P504,IF($I504="Sell",IF($N504="", $M504*$O504-$P504,($O504-$N504)*$M504-$P504),"")),IF($I504="Sell",($N504-IF($O504="",0,$O504))*$M504*100-$P504,IF($I504="Buy",(IF($O504="",0,$O504)-$N504)*$M504*100-$P504,""))))</f>
        <v/>
      </c>
      <c r="R504" s="11">
        <f>IF($A504="","",IF($C504="Open","",$Q504))</f>
        <v/>
      </c>
      <c r="S504" s="12">
        <f>IF($A504="","",IFS($B504="Covered Call","Covered Call Premium",$B504="Cash Secured Put","Cash Secured Put Premium",$B504="Long Call/Put","Long Call/Put P/L",$B504="Debit Spread","Long Call/Put P/L",$B504="Stock Sale","Stock Sales",TRUE,"Other"))</f>
        <v/>
      </c>
      <c r="T504" s="11">
        <f>IF($A504="","",IF($B504="Cash Secured Put",$K504*$M504*100,IF($B504="Covered Call",$K504*$M504*100,IF($H504="Stock",$M504*$N504,""))))</f>
        <v/>
      </c>
      <c r="U504" s="19">
        <f>IF(OR($A504="",$C504&lt;&gt;"Closed",$D504="",$E504="",$T504=0),"",$R504/$T504*365/MAX(1,$E504-$D504))</f>
        <v/>
      </c>
      <c r="V504" s="14" t="n"/>
      <c r="W504" s="12" t="n"/>
    </row>
    <row r="505">
      <c r="A505" s="12" t="n"/>
      <c r="B505" s="14" t="n"/>
      <c r="C505" s="14" t="n"/>
      <c r="D505" s="15" t="n"/>
      <c r="E505" s="15" t="n"/>
      <c r="F505" s="16">
        <f>IF($E505="","",DATE(YEAR($E505),MONTH($E505),1))</f>
        <v/>
      </c>
      <c r="G505" s="14" t="n"/>
      <c r="H505" s="14" t="n"/>
      <c r="I505" s="14" t="n"/>
      <c r="J505" s="14" t="n"/>
      <c r="K505" s="17" t="n"/>
      <c r="L505" s="15" t="n"/>
      <c r="M505" s="14" t="n"/>
      <c r="N505" s="17" t="n"/>
      <c r="O505" s="17" t="n"/>
      <c r="P505" s="18" t="n"/>
      <c r="Q505" s="11">
        <f>IF($A505="","",IF($H505="Stock",IF($I505="Buy",-$M505*$N505-$P505,IF($I505="Sell",IF($N505="", $M505*$O505-$P505,($O505-$N505)*$M505-$P505),"")),IF($I505="Sell",($N505-IF($O505="",0,$O505))*$M505*100-$P505,IF($I505="Buy",(IF($O505="",0,$O505)-$N505)*$M505*100-$P505,""))))</f>
        <v/>
      </c>
      <c r="R505" s="11">
        <f>IF($A505="","",IF($C505="Open","",$Q505))</f>
        <v/>
      </c>
      <c r="S505" s="12">
        <f>IF($A505="","",IFS($B505="Covered Call","Covered Call Premium",$B505="Cash Secured Put","Cash Secured Put Premium",$B505="Long Call/Put","Long Call/Put P/L",$B505="Debit Spread","Long Call/Put P/L",$B505="Stock Sale","Stock Sales",TRUE,"Other"))</f>
        <v/>
      </c>
      <c r="T505" s="11">
        <f>IF($A505="","",IF($B505="Cash Secured Put",$K505*$M505*100,IF($B505="Covered Call",$K505*$M505*100,IF($H505="Stock",$M505*$N505,""))))</f>
        <v/>
      </c>
      <c r="U505" s="19">
        <f>IF(OR($A505="",$C505&lt;&gt;"Closed",$D505="",$E505="",$T505=0),"",$R505/$T505*365/MAX(1,$E505-$D505))</f>
        <v/>
      </c>
      <c r="V505" s="14" t="n"/>
      <c r="W505" s="12" t="n"/>
    </row>
    <row r="506">
      <c r="A506" s="12" t="n"/>
      <c r="B506" s="14" t="n"/>
      <c r="C506" s="14" t="n"/>
      <c r="D506" s="15" t="n"/>
      <c r="E506" s="15" t="n"/>
      <c r="F506" s="16">
        <f>IF($E506="","",DATE(YEAR($E506),MONTH($E506),1))</f>
        <v/>
      </c>
      <c r="G506" s="14" t="n"/>
      <c r="H506" s="14" t="n"/>
      <c r="I506" s="14" t="n"/>
      <c r="J506" s="14" t="n"/>
      <c r="K506" s="17" t="n"/>
      <c r="L506" s="15" t="n"/>
      <c r="M506" s="14" t="n"/>
      <c r="N506" s="17" t="n"/>
      <c r="O506" s="17" t="n"/>
      <c r="P506" s="18" t="n"/>
      <c r="Q506" s="11">
        <f>IF($A506="","",IF($H506="Stock",IF($I506="Buy",-$M506*$N506-$P506,IF($I506="Sell",IF($N506="", $M506*$O506-$P506,($O506-$N506)*$M506-$P506),"")),IF($I506="Sell",($N506-IF($O506="",0,$O506))*$M506*100-$P506,IF($I506="Buy",(IF($O506="",0,$O506)-$N506)*$M506*100-$P506,""))))</f>
        <v/>
      </c>
      <c r="R506" s="11">
        <f>IF($A506="","",IF($C506="Open","",$Q506))</f>
        <v/>
      </c>
      <c r="S506" s="12">
        <f>IF($A506="","",IFS($B506="Covered Call","Covered Call Premium",$B506="Cash Secured Put","Cash Secured Put Premium",$B506="Long Call/Put","Long Call/Put P/L",$B506="Debit Spread","Long Call/Put P/L",$B506="Stock Sale","Stock Sales",TRUE,"Other"))</f>
        <v/>
      </c>
      <c r="T506" s="11">
        <f>IF($A506="","",IF($B506="Cash Secured Put",$K506*$M506*100,IF($B506="Covered Call",$K506*$M506*100,IF($H506="Stock",$M506*$N506,""))))</f>
        <v/>
      </c>
      <c r="U506" s="19">
        <f>IF(OR($A506="",$C506&lt;&gt;"Closed",$D506="",$E506="",$T506=0),"",$R506/$T506*365/MAX(1,$E506-$D506))</f>
        <v/>
      </c>
      <c r="V506" s="14" t="n"/>
      <c r="W506" s="12" t="n"/>
    </row>
    <row r="507">
      <c r="A507" s="12" t="n"/>
      <c r="B507" s="14" t="n"/>
      <c r="C507" s="14" t="n"/>
      <c r="D507" s="15" t="n"/>
      <c r="E507" s="15" t="n"/>
      <c r="F507" s="16">
        <f>IF($E507="","",DATE(YEAR($E507),MONTH($E507),1))</f>
        <v/>
      </c>
      <c r="G507" s="14" t="n"/>
      <c r="H507" s="14" t="n"/>
      <c r="I507" s="14" t="n"/>
      <c r="J507" s="14" t="n"/>
      <c r="K507" s="17" t="n"/>
      <c r="L507" s="15" t="n"/>
      <c r="M507" s="14" t="n"/>
      <c r="N507" s="17" t="n"/>
      <c r="O507" s="17" t="n"/>
      <c r="P507" s="18" t="n"/>
      <c r="Q507" s="11">
        <f>IF($A507="","",IF($H507="Stock",IF($I507="Buy",-$M507*$N507-$P507,IF($I507="Sell",IF($N507="", $M507*$O507-$P507,($O507-$N507)*$M507-$P507),"")),IF($I507="Sell",($N507-IF($O507="",0,$O507))*$M507*100-$P507,IF($I507="Buy",(IF($O507="",0,$O507)-$N507)*$M507*100-$P507,""))))</f>
        <v/>
      </c>
      <c r="R507" s="11">
        <f>IF($A507="","",IF($C507="Open","",$Q507))</f>
        <v/>
      </c>
      <c r="S507" s="12">
        <f>IF($A507="","",IFS($B507="Covered Call","Covered Call Premium",$B507="Cash Secured Put","Cash Secured Put Premium",$B507="Long Call/Put","Long Call/Put P/L",$B507="Debit Spread","Long Call/Put P/L",$B507="Stock Sale","Stock Sales",TRUE,"Other"))</f>
        <v/>
      </c>
      <c r="T507" s="11">
        <f>IF($A507="","",IF($B507="Cash Secured Put",$K507*$M507*100,IF($B507="Covered Call",$K507*$M507*100,IF($H507="Stock",$M507*$N507,""))))</f>
        <v/>
      </c>
      <c r="U507" s="19">
        <f>IF(OR($A507="",$C507&lt;&gt;"Closed",$D507="",$E507="",$T507=0),"",$R507/$T507*365/MAX(1,$E507-$D507))</f>
        <v/>
      </c>
      <c r="V507" s="14" t="n"/>
      <c r="W507" s="12" t="n"/>
    </row>
    <row r="508">
      <c r="A508" s="12" t="n"/>
      <c r="B508" s="14" t="n"/>
      <c r="C508" s="14" t="n"/>
      <c r="D508" s="15" t="n"/>
      <c r="E508" s="15" t="n"/>
      <c r="F508" s="16">
        <f>IF($E508="","",DATE(YEAR($E508),MONTH($E508),1))</f>
        <v/>
      </c>
      <c r="G508" s="14" t="n"/>
      <c r="H508" s="14" t="n"/>
      <c r="I508" s="14" t="n"/>
      <c r="J508" s="14" t="n"/>
      <c r="K508" s="17" t="n"/>
      <c r="L508" s="15" t="n"/>
      <c r="M508" s="14" t="n"/>
      <c r="N508" s="17" t="n"/>
      <c r="O508" s="17" t="n"/>
      <c r="P508" s="18" t="n"/>
      <c r="Q508" s="11">
        <f>IF($A508="","",IF($H508="Stock",IF($I508="Buy",-$M508*$N508-$P508,IF($I508="Sell",IF($N508="", $M508*$O508-$P508,($O508-$N508)*$M508-$P508),"")),IF($I508="Sell",($N508-IF($O508="",0,$O508))*$M508*100-$P508,IF($I508="Buy",(IF($O508="",0,$O508)-$N508)*$M508*100-$P508,""))))</f>
        <v/>
      </c>
      <c r="R508" s="11">
        <f>IF($A508="","",IF($C508="Open","",$Q508))</f>
        <v/>
      </c>
      <c r="S508" s="12">
        <f>IF($A508="","",IFS($B508="Covered Call","Covered Call Premium",$B508="Cash Secured Put","Cash Secured Put Premium",$B508="Long Call/Put","Long Call/Put P/L",$B508="Debit Spread","Long Call/Put P/L",$B508="Stock Sale","Stock Sales",TRUE,"Other"))</f>
        <v/>
      </c>
      <c r="T508" s="11">
        <f>IF($A508="","",IF($B508="Cash Secured Put",$K508*$M508*100,IF($B508="Covered Call",$K508*$M508*100,IF($H508="Stock",$M508*$N508,""))))</f>
        <v/>
      </c>
      <c r="U508" s="19">
        <f>IF(OR($A508="",$C508&lt;&gt;"Closed",$D508="",$E508="",$T508=0),"",$R508/$T508*365/MAX(1,$E508-$D508))</f>
        <v/>
      </c>
      <c r="V508" s="14" t="n"/>
      <c r="W508" s="12" t="n"/>
    </row>
    <row r="509">
      <c r="A509" s="12" t="n"/>
      <c r="B509" s="14" t="n"/>
      <c r="C509" s="14" t="n"/>
      <c r="D509" s="15" t="n"/>
      <c r="E509" s="15" t="n"/>
      <c r="F509" s="16">
        <f>IF($E509="","",DATE(YEAR($E509),MONTH($E509),1))</f>
        <v/>
      </c>
      <c r="G509" s="14" t="n"/>
      <c r="H509" s="14" t="n"/>
      <c r="I509" s="14" t="n"/>
      <c r="J509" s="14" t="n"/>
      <c r="K509" s="17" t="n"/>
      <c r="L509" s="15" t="n"/>
      <c r="M509" s="14" t="n"/>
      <c r="N509" s="17" t="n"/>
      <c r="O509" s="17" t="n"/>
      <c r="P509" s="18" t="n"/>
      <c r="Q509" s="11">
        <f>IF($A509="","",IF($H509="Stock",IF($I509="Buy",-$M509*$N509-$P509,IF($I509="Sell",IF($N509="", $M509*$O509-$P509,($O509-$N509)*$M509-$P509),"")),IF($I509="Sell",($N509-IF($O509="",0,$O509))*$M509*100-$P509,IF($I509="Buy",(IF($O509="",0,$O509)-$N509)*$M509*100-$P509,""))))</f>
        <v/>
      </c>
      <c r="R509" s="11">
        <f>IF($A509="","",IF($C509="Open","",$Q509))</f>
        <v/>
      </c>
      <c r="S509" s="12">
        <f>IF($A509="","",IFS($B509="Covered Call","Covered Call Premium",$B509="Cash Secured Put","Cash Secured Put Premium",$B509="Long Call/Put","Long Call/Put P/L",$B509="Debit Spread","Long Call/Put P/L",$B509="Stock Sale","Stock Sales",TRUE,"Other"))</f>
        <v/>
      </c>
      <c r="T509" s="11">
        <f>IF($A509="","",IF($B509="Cash Secured Put",$K509*$M509*100,IF($B509="Covered Call",$K509*$M509*100,IF($H509="Stock",$M509*$N509,""))))</f>
        <v/>
      </c>
      <c r="U509" s="19">
        <f>IF(OR($A509="",$C509&lt;&gt;"Closed",$D509="",$E509="",$T509=0),"",$R509/$T509*365/MAX(1,$E509-$D509))</f>
        <v/>
      </c>
      <c r="V509" s="14" t="n"/>
      <c r="W509" s="12" t="n"/>
    </row>
    <row r="510">
      <c r="A510" s="12" t="n"/>
      <c r="B510" s="14" t="n"/>
      <c r="C510" s="14" t="n"/>
      <c r="D510" s="15" t="n"/>
      <c r="E510" s="15" t="n"/>
      <c r="F510" s="16">
        <f>IF($E510="","",DATE(YEAR($E510),MONTH($E510),1))</f>
        <v/>
      </c>
      <c r="G510" s="14" t="n"/>
      <c r="H510" s="14" t="n"/>
      <c r="I510" s="14" t="n"/>
      <c r="J510" s="14" t="n"/>
      <c r="K510" s="17" t="n"/>
      <c r="L510" s="15" t="n"/>
      <c r="M510" s="14" t="n"/>
      <c r="N510" s="17" t="n"/>
      <c r="O510" s="17" t="n"/>
      <c r="P510" s="18" t="n"/>
      <c r="Q510" s="11">
        <f>IF($A510="","",IF($H510="Stock",IF($I510="Buy",-$M510*$N510-$P510,IF($I510="Sell",IF($N510="", $M510*$O510-$P510,($O510-$N510)*$M510-$P510),"")),IF($I510="Sell",($N510-IF($O510="",0,$O510))*$M510*100-$P510,IF($I510="Buy",(IF($O510="",0,$O510)-$N510)*$M510*100-$P510,""))))</f>
        <v/>
      </c>
      <c r="R510" s="11">
        <f>IF($A510="","",IF($C510="Open","",$Q510))</f>
        <v/>
      </c>
      <c r="S510" s="12">
        <f>IF($A510="","",IFS($B510="Covered Call","Covered Call Premium",$B510="Cash Secured Put","Cash Secured Put Premium",$B510="Long Call/Put","Long Call/Put P/L",$B510="Debit Spread","Long Call/Put P/L",$B510="Stock Sale","Stock Sales",TRUE,"Other"))</f>
        <v/>
      </c>
      <c r="T510" s="11">
        <f>IF($A510="","",IF($B510="Cash Secured Put",$K510*$M510*100,IF($B510="Covered Call",$K510*$M510*100,IF($H510="Stock",$M510*$N510,""))))</f>
        <v/>
      </c>
      <c r="U510" s="19">
        <f>IF(OR($A510="",$C510&lt;&gt;"Closed",$D510="",$E510="",$T510=0),"",$R510/$T510*365/MAX(1,$E510-$D510))</f>
        <v/>
      </c>
      <c r="V510" s="14" t="n"/>
      <c r="W510" s="12" t="n"/>
    </row>
    <row r="511">
      <c r="A511" s="12" t="n"/>
      <c r="B511" s="14" t="n"/>
      <c r="C511" s="14" t="n"/>
      <c r="D511" s="15" t="n"/>
      <c r="E511" s="15" t="n"/>
      <c r="F511" s="16">
        <f>IF($E511="","",DATE(YEAR($E511),MONTH($E511),1))</f>
        <v/>
      </c>
      <c r="G511" s="14" t="n"/>
      <c r="H511" s="14" t="n"/>
      <c r="I511" s="14" t="n"/>
      <c r="J511" s="14" t="n"/>
      <c r="K511" s="17" t="n"/>
      <c r="L511" s="15" t="n"/>
      <c r="M511" s="14" t="n"/>
      <c r="N511" s="17" t="n"/>
      <c r="O511" s="17" t="n"/>
      <c r="P511" s="18" t="n"/>
      <c r="Q511" s="11">
        <f>IF($A511="","",IF($H511="Stock",IF($I511="Buy",-$M511*$N511-$P511,IF($I511="Sell",IF($N511="", $M511*$O511-$P511,($O511-$N511)*$M511-$P511),"")),IF($I511="Sell",($N511-IF($O511="",0,$O511))*$M511*100-$P511,IF($I511="Buy",(IF($O511="",0,$O511)-$N511)*$M511*100-$P511,""))))</f>
        <v/>
      </c>
      <c r="R511" s="11">
        <f>IF($A511="","",IF($C511="Open","",$Q511))</f>
        <v/>
      </c>
      <c r="S511" s="12">
        <f>IF($A511="","",IFS($B511="Covered Call","Covered Call Premium",$B511="Cash Secured Put","Cash Secured Put Premium",$B511="Long Call/Put","Long Call/Put P/L",$B511="Debit Spread","Long Call/Put P/L",$B511="Stock Sale","Stock Sales",TRUE,"Other"))</f>
        <v/>
      </c>
      <c r="T511" s="11">
        <f>IF($A511="","",IF($B511="Cash Secured Put",$K511*$M511*100,IF($B511="Covered Call",$K511*$M511*100,IF($H511="Stock",$M511*$N511,""))))</f>
        <v/>
      </c>
      <c r="U511" s="19">
        <f>IF(OR($A511="",$C511&lt;&gt;"Closed",$D511="",$E511="",$T511=0),"",$R511/$T511*365/MAX(1,$E511-$D511))</f>
        <v/>
      </c>
      <c r="V511" s="14" t="n"/>
      <c r="W511" s="12" t="n"/>
    </row>
    <row r="512">
      <c r="A512" s="12" t="n"/>
      <c r="B512" s="14" t="n"/>
      <c r="C512" s="14" t="n"/>
      <c r="D512" s="15" t="n"/>
      <c r="E512" s="15" t="n"/>
      <c r="F512" s="16">
        <f>IF($E512="","",DATE(YEAR($E512),MONTH($E512),1))</f>
        <v/>
      </c>
      <c r="G512" s="14" t="n"/>
      <c r="H512" s="14" t="n"/>
      <c r="I512" s="14" t="n"/>
      <c r="J512" s="14" t="n"/>
      <c r="K512" s="17" t="n"/>
      <c r="L512" s="15" t="n"/>
      <c r="M512" s="14" t="n"/>
      <c r="N512" s="17" t="n"/>
      <c r="O512" s="17" t="n"/>
      <c r="P512" s="18" t="n"/>
      <c r="Q512" s="11">
        <f>IF($A512="","",IF($H512="Stock",IF($I512="Buy",-$M512*$N512-$P512,IF($I512="Sell",IF($N512="", $M512*$O512-$P512,($O512-$N512)*$M512-$P512),"")),IF($I512="Sell",($N512-IF($O512="",0,$O512))*$M512*100-$P512,IF($I512="Buy",(IF($O512="",0,$O512)-$N512)*$M512*100-$P512,""))))</f>
        <v/>
      </c>
      <c r="R512" s="11">
        <f>IF($A512="","",IF($C512="Open","",$Q512))</f>
        <v/>
      </c>
      <c r="S512" s="12">
        <f>IF($A512="","",IFS($B512="Covered Call","Covered Call Premium",$B512="Cash Secured Put","Cash Secured Put Premium",$B512="Long Call/Put","Long Call/Put P/L",$B512="Debit Spread","Long Call/Put P/L",$B512="Stock Sale","Stock Sales",TRUE,"Other"))</f>
        <v/>
      </c>
      <c r="T512" s="11">
        <f>IF($A512="","",IF($B512="Cash Secured Put",$K512*$M512*100,IF($B512="Covered Call",$K512*$M512*100,IF($H512="Stock",$M512*$N512,""))))</f>
        <v/>
      </c>
      <c r="U512" s="19">
        <f>IF(OR($A512="",$C512&lt;&gt;"Closed",$D512="",$E512="",$T512=0),"",$R512/$T512*365/MAX(1,$E512-$D512))</f>
        <v/>
      </c>
      <c r="V512" s="14" t="n"/>
      <c r="W512" s="12" t="n"/>
    </row>
    <row r="513">
      <c r="A513" s="12" t="n"/>
      <c r="B513" s="14" t="n"/>
      <c r="C513" s="14" t="n"/>
      <c r="D513" s="15" t="n"/>
      <c r="E513" s="15" t="n"/>
      <c r="F513" s="16">
        <f>IF($E513="","",DATE(YEAR($E513),MONTH($E513),1))</f>
        <v/>
      </c>
      <c r="G513" s="14" t="n"/>
      <c r="H513" s="14" t="n"/>
      <c r="I513" s="14" t="n"/>
      <c r="J513" s="14" t="n"/>
      <c r="K513" s="17" t="n"/>
      <c r="L513" s="15" t="n"/>
      <c r="M513" s="14" t="n"/>
      <c r="N513" s="17" t="n"/>
      <c r="O513" s="17" t="n"/>
      <c r="P513" s="18" t="n"/>
      <c r="Q513" s="11">
        <f>IF($A513="","",IF($H513="Stock",IF($I513="Buy",-$M513*$N513-$P513,IF($I513="Sell",IF($N513="", $M513*$O513-$P513,($O513-$N513)*$M513-$P513),"")),IF($I513="Sell",($N513-IF($O513="",0,$O513))*$M513*100-$P513,IF($I513="Buy",(IF($O513="",0,$O513)-$N513)*$M513*100-$P513,""))))</f>
        <v/>
      </c>
      <c r="R513" s="11">
        <f>IF($A513="","",IF($C513="Open","",$Q513))</f>
        <v/>
      </c>
      <c r="S513" s="12">
        <f>IF($A513="","",IFS($B513="Covered Call","Covered Call Premium",$B513="Cash Secured Put","Cash Secured Put Premium",$B513="Long Call/Put","Long Call/Put P/L",$B513="Debit Spread","Long Call/Put P/L",$B513="Stock Sale","Stock Sales",TRUE,"Other"))</f>
        <v/>
      </c>
      <c r="T513" s="11">
        <f>IF($A513="","",IF($B513="Cash Secured Put",$K513*$M513*100,IF($B513="Covered Call",$K513*$M513*100,IF($H513="Stock",$M513*$N513,""))))</f>
        <v/>
      </c>
      <c r="U513" s="19">
        <f>IF(OR($A513="",$C513&lt;&gt;"Closed",$D513="",$E513="",$T513=0),"",$R513/$T513*365/MAX(1,$E513-$D513))</f>
        <v/>
      </c>
      <c r="V513" s="14" t="n"/>
      <c r="W513" s="12" t="n"/>
    </row>
    <row r="514">
      <c r="A514" s="12" t="n"/>
      <c r="B514" s="14" t="n"/>
      <c r="C514" s="14" t="n"/>
      <c r="D514" s="15" t="n"/>
      <c r="E514" s="15" t="n"/>
      <c r="F514" s="16">
        <f>IF($E514="","",DATE(YEAR($E514),MONTH($E514),1))</f>
        <v/>
      </c>
      <c r="G514" s="14" t="n"/>
      <c r="H514" s="14" t="n"/>
      <c r="I514" s="14" t="n"/>
      <c r="J514" s="14" t="n"/>
      <c r="K514" s="17" t="n"/>
      <c r="L514" s="15" t="n"/>
      <c r="M514" s="14" t="n"/>
      <c r="N514" s="17" t="n"/>
      <c r="O514" s="17" t="n"/>
      <c r="P514" s="18" t="n"/>
      <c r="Q514" s="11">
        <f>IF($A514="","",IF($H514="Stock",IF($I514="Buy",-$M514*$N514-$P514,IF($I514="Sell",IF($N514="", $M514*$O514-$P514,($O514-$N514)*$M514-$P514),"")),IF($I514="Sell",($N514-IF($O514="",0,$O514))*$M514*100-$P514,IF($I514="Buy",(IF($O514="",0,$O514)-$N514)*$M514*100-$P514,""))))</f>
        <v/>
      </c>
      <c r="R514" s="11">
        <f>IF($A514="","",IF($C514="Open","",$Q514))</f>
        <v/>
      </c>
      <c r="S514" s="12">
        <f>IF($A514="","",IFS($B514="Covered Call","Covered Call Premium",$B514="Cash Secured Put","Cash Secured Put Premium",$B514="Long Call/Put","Long Call/Put P/L",$B514="Debit Spread","Long Call/Put P/L",$B514="Stock Sale","Stock Sales",TRUE,"Other"))</f>
        <v/>
      </c>
      <c r="T514" s="11">
        <f>IF($A514="","",IF($B514="Cash Secured Put",$K514*$M514*100,IF($B514="Covered Call",$K514*$M514*100,IF($H514="Stock",$M514*$N514,""))))</f>
        <v/>
      </c>
      <c r="U514" s="19">
        <f>IF(OR($A514="",$C514&lt;&gt;"Closed",$D514="",$E514="",$T514=0),"",$R514/$T514*365/MAX(1,$E514-$D514))</f>
        <v/>
      </c>
      <c r="V514" s="14" t="n"/>
      <c r="W514" s="12" t="n"/>
    </row>
    <row r="515">
      <c r="A515" s="12" t="n"/>
      <c r="B515" s="14" t="n"/>
      <c r="C515" s="14" t="n"/>
      <c r="D515" s="15" t="n"/>
      <c r="E515" s="15" t="n"/>
      <c r="F515" s="16">
        <f>IF($E515="","",DATE(YEAR($E515),MONTH($E515),1))</f>
        <v/>
      </c>
      <c r="G515" s="14" t="n"/>
      <c r="H515" s="14" t="n"/>
      <c r="I515" s="14" t="n"/>
      <c r="J515" s="14" t="n"/>
      <c r="K515" s="17" t="n"/>
      <c r="L515" s="15" t="n"/>
      <c r="M515" s="14" t="n"/>
      <c r="N515" s="17" t="n"/>
      <c r="O515" s="17" t="n"/>
      <c r="P515" s="18" t="n"/>
      <c r="Q515" s="11">
        <f>IF($A515="","",IF($H515="Stock",IF($I515="Buy",-$M515*$N515-$P515,IF($I515="Sell",IF($N515="", $M515*$O515-$P515,($O515-$N515)*$M515-$P515),"")),IF($I515="Sell",($N515-IF($O515="",0,$O515))*$M515*100-$P515,IF($I515="Buy",(IF($O515="",0,$O515)-$N515)*$M515*100-$P515,""))))</f>
        <v/>
      </c>
      <c r="R515" s="11">
        <f>IF($A515="","",IF($C515="Open","",$Q515))</f>
        <v/>
      </c>
      <c r="S515" s="12">
        <f>IF($A515="","",IFS($B515="Covered Call","Covered Call Premium",$B515="Cash Secured Put","Cash Secured Put Premium",$B515="Long Call/Put","Long Call/Put P/L",$B515="Debit Spread","Long Call/Put P/L",$B515="Stock Sale","Stock Sales",TRUE,"Other"))</f>
        <v/>
      </c>
      <c r="T515" s="11">
        <f>IF($A515="","",IF($B515="Cash Secured Put",$K515*$M515*100,IF($B515="Covered Call",$K515*$M515*100,IF($H515="Stock",$M515*$N515,""))))</f>
        <v/>
      </c>
      <c r="U515" s="19">
        <f>IF(OR($A515="",$C515&lt;&gt;"Closed",$D515="",$E515="",$T515=0),"",$R515/$T515*365/MAX(1,$E515-$D515))</f>
        <v/>
      </c>
      <c r="V515" s="14" t="n"/>
      <c r="W515" s="12" t="n"/>
    </row>
    <row r="516">
      <c r="A516" s="12" t="n"/>
      <c r="B516" s="14" t="n"/>
      <c r="C516" s="14" t="n"/>
      <c r="D516" s="15" t="n"/>
      <c r="E516" s="15" t="n"/>
      <c r="F516" s="16">
        <f>IF($E516="","",DATE(YEAR($E516),MONTH($E516),1))</f>
        <v/>
      </c>
      <c r="G516" s="14" t="n"/>
      <c r="H516" s="14" t="n"/>
      <c r="I516" s="14" t="n"/>
      <c r="J516" s="14" t="n"/>
      <c r="K516" s="17" t="n"/>
      <c r="L516" s="15" t="n"/>
      <c r="M516" s="14" t="n"/>
      <c r="N516" s="17" t="n"/>
      <c r="O516" s="17" t="n"/>
      <c r="P516" s="18" t="n"/>
      <c r="Q516" s="11">
        <f>IF($A516="","",IF($H516="Stock",IF($I516="Buy",-$M516*$N516-$P516,IF($I516="Sell",IF($N516="", $M516*$O516-$P516,($O516-$N516)*$M516-$P516),"")),IF($I516="Sell",($N516-IF($O516="",0,$O516))*$M516*100-$P516,IF($I516="Buy",(IF($O516="",0,$O516)-$N516)*$M516*100-$P516,""))))</f>
        <v/>
      </c>
      <c r="R516" s="11">
        <f>IF($A516="","",IF($C516="Open","",$Q516))</f>
        <v/>
      </c>
      <c r="S516" s="12">
        <f>IF($A516="","",IFS($B516="Covered Call","Covered Call Premium",$B516="Cash Secured Put","Cash Secured Put Premium",$B516="Long Call/Put","Long Call/Put P/L",$B516="Debit Spread","Long Call/Put P/L",$B516="Stock Sale","Stock Sales",TRUE,"Other"))</f>
        <v/>
      </c>
      <c r="T516" s="11">
        <f>IF($A516="","",IF($B516="Cash Secured Put",$K516*$M516*100,IF($B516="Covered Call",$K516*$M516*100,IF($H516="Stock",$M516*$N516,""))))</f>
        <v/>
      </c>
      <c r="U516" s="19">
        <f>IF(OR($A516="",$C516&lt;&gt;"Closed",$D516="",$E516="",$T516=0),"",$R516/$T516*365/MAX(1,$E516-$D516))</f>
        <v/>
      </c>
      <c r="V516" s="14" t="n"/>
      <c r="W516" s="12" t="n"/>
    </row>
    <row r="517">
      <c r="A517" s="12" t="n"/>
      <c r="B517" s="14" t="n"/>
      <c r="C517" s="14" t="n"/>
      <c r="D517" s="15" t="n"/>
      <c r="E517" s="15" t="n"/>
      <c r="F517" s="16">
        <f>IF($E517="","",DATE(YEAR($E517),MONTH($E517),1))</f>
        <v/>
      </c>
      <c r="G517" s="14" t="n"/>
      <c r="H517" s="14" t="n"/>
      <c r="I517" s="14" t="n"/>
      <c r="J517" s="14" t="n"/>
      <c r="K517" s="17" t="n"/>
      <c r="L517" s="15" t="n"/>
      <c r="M517" s="14" t="n"/>
      <c r="N517" s="17" t="n"/>
      <c r="O517" s="17" t="n"/>
      <c r="P517" s="18" t="n"/>
      <c r="Q517" s="11">
        <f>IF($A517="","",IF($H517="Stock",IF($I517="Buy",-$M517*$N517-$P517,IF($I517="Sell",IF($N517="", $M517*$O517-$P517,($O517-$N517)*$M517-$P517),"")),IF($I517="Sell",($N517-IF($O517="",0,$O517))*$M517*100-$P517,IF($I517="Buy",(IF($O517="",0,$O517)-$N517)*$M517*100-$P517,""))))</f>
        <v/>
      </c>
      <c r="R517" s="11">
        <f>IF($A517="","",IF($C517="Open","",$Q517))</f>
        <v/>
      </c>
      <c r="S517" s="12">
        <f>IF($A517="","",IFS($B517="Covered Call","Covered Call Premium",$B517="Cash Secured Put","Cash Secured Put Premium",$B517="Long Call/Put","Long Call/Put P/L",$B517="Debit Spread","Long Call/Put P/L",$B517="Stock Sale","Stock Sales",TRUE,"Other"))</f>
        <v/>
      </c>
      <c r="T517" s="11">
        <f>IF($A517="","",IF($B517="Cash Secured Put",$K517*$M517*100,IF($B517="Covered Call",$K517*$M517*100,IF($H517="Stock",$M517*$N517,""))))</f>
        <v/>
      </c>
      <c r="U517" s="19">
        <f>IF(OR($A517="",$C517&lt;&gt;"Closed",$D517="",$E517="",$T517=0),"",$R517/$T517*365/MAX(1,$E517-$D517))</f>
        <v/>
      </c>
      <c r="V517" s="14" t="n"/>
      <c r="W517" s="12" t="n"/>
    </row>
    <row r="518">
      <c r="A518" s="12" t="n"/>
      <c r="B518" s="14" t="n"/>
      <c r="C518" s="14" t="n"/>
      <c r="D518" s="15" t="n"/>
      <c r="E518" s="15" t="n"/>
      <c r="F518" s="16">
        <f>IF($E518="","",DATE(YEAR($E518),MONTH($E518),1))</f>
        <v/>
      </c>
      <c r="G518" s="14" t="n"/>
      <c r="H518" s="14" t="n"/>
      <c r="I518" s="14" t="n"/>
      <c r="J518" s="14" t="n"/>
      <c r="K518" s="17" t="n"/>
      <c r="L518" s="15" t="n"/>
      <c r="M518" s="14" t="n"/>
      <c r="N518" s="17" t="n"/>
      <c r="O518" s="17" t="n"/>
      <c r="P518" s="18" t="n"/>
      <c r="Q518" s="11">
        <f>IF($A518="","",IF($H518="Stock",IF($I518="Buy",-$M518*$N518-$P518,IF($I518="Sell",IF($N518="", $M518*$O518-$P518,($O518-$N518)*$M518-$P518),"")),IF($I518="Sell",($N518-IF($O518="",0,$O518))*$M518*100-$P518,IF($I518="Buy",(IF($O518="",0,$O518)-$N518)*$M518*100-$P518,""))))</f>
        <v/>
      </c>
      <c r="R518" s="11">
        <f>IF($A518="","",IF($C518="Open","",$Q518))</f>
        <v/>
      </c>
      <c r="S518" s="12">
        <f>IF($A518="","",IFS($B518="Covered Call","Covered Call Premium",$B518="Cash Secured Put","Cash Secured Put Premium",$B518="Long Call/Put","Long Call/Put P/L",$B518="Debit Spread","Long Call/Put P/L",$B518="Stock Sale","Stock Sales",TRUE,"Other"))</f>
        <v/>
      </c>
      <c r="T518" s="11">
        <f>IF($A518="","",IF($B518="Cash Secured Put",$K518*$M518*100,IF($B518="Covered Call",$K518*$M518*100,IF($H518="Stock",$M518*$N518,""))))</f>
        <v/>
      </c>
      <c r="U518" s="19">
        <f>IF(OR($A518="",$C518&lt;&gt;"Closed",$D518="",$E518="",$T518=0),"",$R518/$T518*365/MAX(1,$E518-$D518))</f>
        <v/>
      </c>
      <c r="V518" s="14" t="n"/>
      <c r="W518" s="12" t="n"/>
    </row>
    <row r="519">
      <c r="A519" s="12" t="n"/>
      <c r="B519" s="14" t="n"/>
      <c r="C519" s="14" t="n"/>
      <c r="D519" s="15" t="n"/>
      <c r="E519" s="15" t="n"/>
      <c r="F519" s="16">
        <f>IF($E519="","",DATE(YEAR($E519),MONTH($E519),1))</f>
        <v/>
      </c>
      <c r="G519" s="14" t="n"/>
      <c r="H519" s="14" t="n"/>
      <c r="I519" s="14" t="n"/>
      <c r="J519" s="14" t="n"/>
      <c r="K519" s="17" t="n"/>
      <c r="L519" s="15" t="n"/>
      <c r="M519" s="14" t="n"/>
      <c r="N519" s="17" t="n"/>
      <c r="O519" s="17" t="n"/>
      <c r="P519" s="18" t="n"/>
      <c r="Q519" s="11">
        <f>IF($A519="","",IF($H519="Stock",IF($I519="Buy",-$M519*$N519-$P519,IF($I519="Sell",IF($N519="", $M519*$O519-$P519,($O519-$N519)*$M519-$P519),"")),IF($I519="Sell",($N519-IF($O519="",0,$O519))*$M519*100-$P519,IF($I519="Buy",(IF($O519="",0,$O519)-$N519)*$M519*100-$P519,""))))</f>
        <v/>
      </c>
      <c r="R519" s="11">
        <f>IF($A519="","",IF($C519="Open","",$Q519))</f>
        <v/>
      </c>
      <c r="S519" s="12">
        <f>IF($A519="","",IFS($B519="Covered Call","Covered Call Premium",$B519="Cash Secured Put","Cash Secured Put Premium",$B519="Long Call/Put","Long Call/Put P/L",$B519="Debit Spread","Long Call/Put P/L",$B519="Stock Sale","Stock Sales",TRUE,"Other"))</f>
        <v/>
      </c>
      <c r="T519" s="11">
        <f>IF($A519="","",IF($B519="Cash Secured Put",$K519*$M519*100,IF($B519="Covered Call",$K519*$M519*100,IF($H519="Stock",$M519*$N519,""))))</f>
        <v/>
      </c>
      <c r="U519" s="19">
        <f>IF(OR($A519="",$C519&lt;&gt;"Closed",$D519="",$E519="",$T519=0),"",$R519/$T519*365/MAX(1,$E519-$D519))</f>
        <v/>
      </c>
      <c r="V519" s="14" t="n"/>
      <c r="W519" s="12" t="n"/>
    </row>
    <row r="520">
      <c r="A520" s="12" t="n"/>
      <c r="B520" s="14" t="n"/>
      <c r="C520" s="14" t="n"/>
      <c r="D520" s="15" t="n"/>
      <c r="E520" s="15" t="n"/>
      <c r="F520" s="16">
        <f>IF($E520="","",DATE(YEAR($E520),MONTH($E520),1))</f>
        <v/>
      </c>
      <c r="G520" s="14" t="n"/>
      <c r="H520" s="14" t="n"/>
      <c r="I520" s="14" t="n"/>
      <c r="J520" s="14" t="n"/>
      <c r="K520" s="17" t="n"/>
      <c r="L520" s="15" t="n"/>
      <c r="M520" s="14" t="n"/>
      <c r="N520" s="17" t="n"/>
      <c r="O520" s="17" t="n"/>
      <c r="P520" s="18" t="n"/>
      <c r="Q520" s="11">
        <f>IF($A520="","",IF($H520="Stock",IF($I520="Buy",-$M520*$N520-$P520,IF($I520="Sell",IF($N520="", $M520*$O520-$P520,($O520-$N520)*$M520-$P520),"")),IF($I520="Sell",($N520-IF($O520="",0,$O520))*$M520*100-$P520,IF($I520="Buy",(IF($O520="",0,$O520)-$N520)*$M520*100-$P520,""))))</f>
        <v/>
      </c>
      <c r="R520" s="11">
        <f>IF($A520="","",IF($C520="Open","",$Q520))</f>
        <v/>
      </c>
      <c r="S520" s="12">
        <f>IF($A520="","",IFS($B520="Covered Call","Covered Call Premium",$B520="Cash Secured Put","Cash Secured Put Premium",$B520="Long Call/Put","Long Call/Put P/L",$B520="Debit Spread","Long Call/Put P/L",$B520="Stock Sale","Stock Sales",TRUE,"Other"))</f>
        <v/>
      </c>
      <c r="T520" s="11">
        <f>IF($A520="","",IF($B520="Cash Secured Put",$K520*$M520*100,IF($B520="Covered Call",$K520*$M520*100,IF($H520="Stock",$M520*$N520,""))))</f>
        <v/>
      </c>
      <c r="U520" s="19">
        <f>IF(OR($A520="",$C520&lt;&gt;"Closed",$D520="",$E520="",$T520=0),"",$R520/$T520*365/MAX(1,$E520-$D520))</f>
        <v/>
      </c>
      <c r="V520" s="14" t="n"/>
      <c r="W520" s="12" t="n"/>
    </row>
    <row r="521">
      <c r="A521" s="12" t="n"/>
      <c r="B521" s="14" t="n"/>
      <c r="C521" s="14" t="n"/>
      <c r="D521" s="15" t="n"/>
      <c r="E521" s="15" t="n"/>
      <c r="F521" s="16">
        <f>IF($E521="","",DATE(YEAR($E521),MONTH($E521),1))</f>
        <v/>
      </c>
      <c r="G521" s="14" t="n"/>
      <c r="H521" s="14" t="n"/>
      <c r="I521" s="14" t="n"/>
      <c r="J521" s="14" t="n"/>
      <c r="K521" s="17" t="n"/>
      <c r="L521" s="15" t="n"/>
      <c r="M521" s="14" t="n"/>
      <c r="N521" s="17" t="n"/>
      <c r="O521" s="17" t="n"/>
      <c r="P521" s="18" t="n"/>
      <c r="Q521" s="11">
        <f>IF($A521="","",IF($H521="Stock",IF($I521="Buy",-$M521*$N521-$P521,IF($I521="Sell",IF($N521="", $M521*$O521-$P521,($O521-$N521)*$M521-$P521),"")),IF($I521="Sell",($N521-IF($O521="",0,$O521))*$M521*100-$P521,IF($I521="Buy",(IF($O521="",0,$O521)-$N521)*$M521*100-$P521,""))))</f>
        <v/>
      </c>
      <c r="R521" s="11">
        <f>IF($A521="","",IF($C521="Open","",$Q521))</f>
        <v/>
      </c>
      <c r="S521" s="12">
        <f>IF($A521="","",IFS($B521="Covered Call","Covered Call Premium",$B521="Cash Secured Put","Cash Secured Put Premium",$B521="Long Call/Put","Long Call/Put P/L",$B521="Debit Spread","Long Call/Put P/L",$B521="Stock Sale","Stock Sales",TRUE,"Other"))</f>
        <v/>
      </c>
      <c r="T521" s="11">
        <f>IF($A521="","",IF($B521="Cash Secured Put",$K521*$M521*100,IF($B521="Covered Call",$K521*$M521*100,IF($H521="Stock",$M521*$N521,""))))</f>
        <v/>
      </c>
      <c r="U521" s="19">
        <f>IF(OR($A521="",$C521&lt;&gt;"Closed",$D521="",$E521="",$T521=0),"",$R521/$T521*365/MAX(1,$E521-$D521))</f>
        <v/>
      </c>
      <c r="V521" s="14" t="n"/>
      <c r="W521" s="12" t="n"/>
    </row>
    <row r="522">
      <c r="A522" s="12" t="n"/>
      <c r="B522" s="14" t="n"/>
      <c r="C522" s="14" t="n"/>
      <c r="D522" s="15" t="n"/>
      <c r="E522" s="15" t="n"/>
      <c r="F522" s="16">
        <f>IF($E522="","",DATE(YEAR($E522),MONTH($E522),1))</f>
        <v/>
      </c>
      <c r="G522" s="14" t="n"/>
      <c r="H522" s="14" t="n"/>
      <c r="I522" s="14" t="n"/>
      <c r="J522" s="14" t="n"/>
      <c r="K522" s="17" t="n"/>
      <c r="L522" s="15" t="n"/>
      <c r="M522" s="14" t="n"/>
      <c r="N522" s="17" t="n"/>
      <c r="O522" s="17" t="n"/>
      <c r="P522" s="18" t="n"/>
      <c r="Q522" s="11">
        <f>IF($A522="","",IF($H522="Stock",IF($I522="Buy",-$M522*$N522-$P522,IF($I522="Sell",IF($N522="", $M522*$O522-$P522,($O522-$N522)*$M522-$P522),"")),IF($I522="Sell",($N522-IF($O522="",0,$O522))*$M522*100-$P522,IF($I522="Buy",(IF($O522="",0,$O522)-$N522)*$M522*100-$P522,""))))</f>
        <v/>
      </c>
      <c r="R522" s="11">
        <f>IF($A522="","",IF($C522="Open","",$Q522))</f>
        <v/>
      </c>
      <c r="S522" s="12">
        <f>IF($A522="","",IFS($B522="Covered Call","Covered Call Premium",$B522="Cash Secured Put","Cash Secured Put Premium",$B522="Long Call/Put","Long Call/Put P/L",$B522="Debit Spread","Long Call/Put P/L",$B522="Stock Sale","Stock Sales",TRUE,"Other"))</f>
        <v/>
      </c>
      <c r="T522" s="11">
        <f>IF($A522="","",IF($B522="Cash Secured Put",$K522*$M522*100,IF($B522="Covered Call",$K522*$M522*100,IF($H522="Stock",$M522*$N522,""))))</f>
        <v/>
      </c>
      <c r="U522" s="19">
        <f>IF(OR($A522="",$C522&lt;&gt;"Closed",$D522="",$E522="",$T522=0),"",$R522/$T522*365/MAX(1,$E522-$D522))</f>
        <v/>
      </c>
      <c r="V522" s="14" t="n"/>
      <c r="W522" s="12" t="n"/>
    </row>
    <row r="523">
      <c r="A523" s="12" t="n"/>
      <c r="B523" s="14" t="n"/>
      <c r="C523" s="14" t="n"/>
      <c r="D523" s="15" t="n"/>
      <c r="E523" s="15" t="n"/>
      <c r="F523" s="16">
        <f>IF($E523="","",DATE(YEAR($E523),MONTH($E523),1))</f>
        <v/>
      </c>
      <c r="G523" s="14" t="n"/>
      <c r="H523" s="14" t="n"/>
      <c r="I523" s="14" t="n"/>
      <c r="J523" s="14" t="n"/>
      <c r="K523" s="17" t="n"/>
      <c r="L523" s="15" t="n"/>
      <c r="M523" s="14" t="n"/>
      <c r="N523" s="17" t="n"/>
      <c r="O523" s="17" t="n"/>
      <c r="P523" s="18" t="n"/>
      <c r="Q523" s="11">
        <f>IF($A523="","",IF($H523="Stock",IF($I523="Buy",-$M523*$N523-$P523,IF($I523="Sell",IF($N523="", $M523*$O523-$P523,($O523-$N523)*$M523-$P523),"")),IF($I523="Sell",($N523-IF($O523="",0,$O523))*$M523*100-$P523,IF($I523="Buy",(IF($O523="",0,$O523)-$N523)*$M523*100-$P523,""))))</f>
        <v/>
      </c>
      <c r="R523" s="11">
        <f>IF($A523="","",IF($C523="Open","",$Q523))</f>
        <v/>
      </c>
      <c r="S523" s="12">
        <f>IF($A523="","",IFS($B523="Covered Call","Covered Call Premium",$B523="Cash Secured Put","Cash Secured Put Premium",$B523="Long Call/Put","Long Call/Put P/L",$B523="Debit Spread","Long Call/Put P/L",$B523="Stock Sale","Stock Sales",TRUE,"Other"))</f>
        <v/>
      </c>
      <c r="T523" s="11">
        <f>IF($A523="","",IF($B523="Cash Secured Put",$K523*$M523*100,IF($B523="Covered Call",$K523*$M523*100,IF($H523="Stock",$M523*$N523,""))))</f>
        <v/>
      </c>
      <c r="U523" s="19">
        <f>IF(OR($A523="",$C523&lt;&gt;"Closed",$D523="",$E523="",$T523=0),"",$R523/$T523*365/MAX(1,$E523-$D523))</f>
        <v/>
      </c>
      <c r="V523" s="14" t="n"/>
      <c r="W523" s="12" t="n"/>
    </row>
    <row r="524">
      <c r="A524" s="12" t="n"/>
      <c r="B524" s="14" t="n"/>
      <c r="C524" s="14" t="n"/>
      <c r="D524" s="15" t="n"/>
      <c r="E524" s="15" t="n"/>
      <c r="F524" s="16">
        <f>IF($E524="","",DATE(YEAR($E524),MONTH($E524),1))</f>
        <v/>
      </c>
      <c r="G524" s="14" t="n"/>
      <c r="H524" s="14" t="n"/>
      <c r="I524" s="14" t="n"/>
      <c r="J524" s="14" t="n"/>
      <c r="K524" s="17" t="n"/>
      <c r="L524" s="15" t="n"/>
      <c r="M524" s="14" t="n"/>
      <c r="N524" s="17" t="n"/>
      <c r="O524" s="17" t="n"/>
      <c r="P524" s="18" t="n"/>
      <c r="Q524" s="11">
        <f>IF($A524="","",IF($H524="Stock",IF($I524="Buy",-$M524*$N524-$P524,IF($I524="Sell",IF($N524="", $M524*$O524-$P524,($O524-$N524)*$M524-$P524),"")),IF($I524="Sell",($N524-IF($O524="",0,$O524))*$M524*100-$P524,IF($I524="Buy",(IF($O524="",0,$O524)-$N524)*$M524*100-$P524,""))))</f>
        <v/>
      </c>
      <c r="R524" s="11">
        <f>IF($A524="","",IF($C524="Open","",$Q524))</f>
        <v/>
      </c>
      <c r="S524" s="12">
        <f>IF($A524="","",IFS($B524="Covered Call","Covered Call Premium",$B524="Cash Secured Put","Cash Secured Put Premium",$B524="Long Call/Put","Long Call/Put P/L",$B524="Debit Spread","Long Call/Put P/L",$B524="Stock Sale","Stock Sales",TRUE,"Other"))</f>
        <v/>
      </c>
      <c r="T524" s="11">
        <f>IF($A524="","",IF($B524="Cash Secured Put",$K524*$M524*100,IF($B524="Covered Call",$K524*$M524*100,IF($H524="Stock",$M524*$N524,""))))</f>
        <v/>
      </c>
      <c r="U524" s="19">
        <f>IF(OR($A524="",$C524&lt;&gt;"Closed",$D524="",$E524="",$T524=0),"",$R524/$T524*365/MAX(1,$E524-$D524))</f>
        <v/>
      </c>
      <c r="V524" s="14" t="n"/>
      <c r="W524" s="12" t="n"/>
    </row>
    <row r="525">
      <c r="A525" s="12" t="n"/>
      <c r="B525" s="14" t="n"/>
      <c r="C525" s="14" t="n"/>
      <c r="D525" s="15" t="n"/>
      <c r="E525" s="15" t="n"/>
      <c r="F525" s="16">
        <f>IF($E525="","",DATE(YEAR($E525),MONTH($E525),1))</f>
        <v/>
      </c>
      <c r="G525" s="14" t="n"/>
      <c r="H525" s="14" t="n"/>
      <c r="I525" s="14" t="n"/>
      <c r="J525" s="14" t="n"/>
      <c r="K525" s="17" t="n"/>
      <c r="L525" s="15" t="n"/>
      <c r="M525" s="14" t="n"/>
      <c r="N525" s="17" t="n"/>
      <c r="O525" s="17" t="n"/>
      <c r="P525" s="18" t="n"/>
      <c r="Q525" s="11">
        <f>IF($A525="","",IF($H525="Stock",IF($I525="Buy",-$M525*$N525-$P525,IF($I525="Sell",IF($N525="", $M525*$O525-$P525,($O525-$N525)*$M525-$P525),"")),IF($I525="Sell",($N525-IF($O525="",0,$O525))*$M525*100-$P525,IF($I525="Buy",(IF($O525="",0,$O525)-$N525)*$M525*100-$P525,""))))</f>
        <v/>
      </c>
      <c r="R525" s="11">
        <f>IF($A525="","",IF($C525="Open","",$Q525))</f>
        <v/>
      </c>
      <c r="S525" s="12">
        <f>IF($A525="","",IFS($B525="Covered Call","Covered Call Premium",$B525="Cash Secured Put","Cash Secured Put Premium",$B525="Long Call/Put","Long Call/Put P/L",$B525="Debit Spread","Long Call/Put P/L",$B525="Stock Sale","Stock Sales",TRUE,"Other"))</f>
        <v/>
      </c>
      <c r="T525" s="11">
        <f>IF($A525="","",IF($B525="Cash Secured Put",$K525*$M525*100,IF($B525="Covered Call",$K525*$M525*100,IF($H525="Stock",$M525*$N525,""))))</f>
        <v/>
      </c>
      <c r="U525" s="19">
        <f>IF(OR($A525="",$C525&lt;&gt;"Closed",$D525="",$E525="",$T525=0),"",$R525/$T525*365/MAX(1,$E525-$D525))</f>
        <v/>
      </c>
      <c r="V525" s="14" t="n"/>
      <c r="W525" s="12" t="n"/>
    </row>
    <row r="526">
      <c r="A526" s="12" t="n"/>
      <c r="B526" s="14" t="n"/>
      <c r="C526" s="14" t="n"/>
      <c r="D526" s="15" t="n"/>
      <c r="E526" s="15" t="n"/>
      <c r="F526" s="16">
        <f>IF($E526="","",DATE(YEAR($E526),MONTH($E526),1))</f>
        <v/>
      </c>
      <c r="G526" s="14" t="n"/>
      <c r="H526" s="14" t="n"/>
      <c r="I526" s="14" t="n"/>
      <c r="J526" s="14" t="n"/>
      <c r="K526" s="17" t="n"/>
      <c r="L526" s="15" t="n"/>
      <c r="M526" s="14" t="n"/>
      <c r="N526" s="17" t="n"/>
      <c r="O526" s="17" t="n"/>
      <c r="P526" s="18" t="n"/>
      <c r="Q526" s="11">
        <f>IF($A526="","",IF($H526="Stock",IF($I526="Buy",-$M526*$N526-$P526,IF($I526="Sell",IF($N526="", $M526*$O526-$P526,($O526-$N526)*$M526-$P526),"")),IF($I526="Sell",($N526-IF($O526="",0,$O526))*$M526*100-$P526,IF($I526="Buy",(IF($O526="",0,$O526)-$N526)*$M526*100-$P526,""))))</f>
        <v/>
      </c>
      <c r="R526" s="11">
        <f>IF($A526="","",IF($C526="Open","",$Q526))</f>
        <v/>
      </c>
      <c r="S526" s="12">
        <f>IF($A526="","",IFS($B526="Covered Call","Covered Call Premium",$B526="Cash Secured Put","Cash Secured Put Premium",$B526="Long Call/Put","Long Call/Put P/L",$B526="Debit Spread","Long Call/Put P/L",$B526="Stock Sale","Stock Sales",TRUE,"Other"))</f>
        <v/>
      </c>
      <c r="T526" s="11">
        <f>IF($A526="","",IF($B526="Cash Secured Put",$K526*$M526*100,IF($B526="Covered Call",$K526*$M526*100,IF($H526="Stock",$M526*$N526,""))))</f>
        <v/>
      </c>
      <c r="U526" s="19">
        <f>IF(OR($A526="",$C526&lt;&gt;"Closed",$D526="",$E526="",$T526=0),"",$R526/$T526*365/MAX(1,$E526-$D526))</f>
        <v/>
      </c>
      <c r="V526" s="14" t="n"/>
      <c r="W526" s="12" t="n"/>
    </row>
    <row r="527">
      <c r="A527" s="12" t="n"/>
      <c r="B527" s="14" t="n"/>
      <c r="C527" s="14" t="n"/>
      <c r="D527" s="15" t="n"/>
      <c r="E527" s="15" t="n"/>
      <c r="F527" s="16">
        <f>IF($E527="","",DATE(YEAR($E527),MONTH($E527),1))</f>
        <v/>
      </c>
      <c r="G527" s="14" t="n"/>
      <c r="H527" s="14" t="n"/>
      <c r="I527" s="14" t="n"/>
      <c r="J527" s="14" t="n"/>
      <c r="K527" s="17" t="n"/>
      <c r="L527" s="15" t="n"/>
      <c r="M527" s="14" t="n"/>
      <c r="N527" s="17" t="n"/>
      <c r="O527" s="17" t="n"/>
      <c r="P527" s="18" t="n"/>
      <c r="Q527" s="11">
        <f>IF($A527="","",IF($H527="Stock",IF($I527="Buy",-$M527*$N527-$P527,IF($I527="Sell",IF($N527="", $M527*$O527-$P527,($O527-$N527)*$M527-$P527),"")),IF($I527="Sell",($N527-IF($O527="",0,$O527))*$M527*100-$P527,IF($I527="Buy",(IF($O527="",0,$O527)-$N527)*$M527*100-$P527,""))))</f>
        <v/>
      </c>
      <c r="R527" s="11">
        <f>IF($A527="","",IF($C527="Open","",$Q527))</f>
        <v/>
      </c>
      <c r="S527" s="12">
        <f>IF($A527="","",IFS($B527="Covered Call","Covered Call Premium",$B527="Cash Secured Put","Cash Secured Put Premium",$B527="Long Call/Put","Long Call/Put P/L",$B527="Debit Spread","Long Call/Put P/L",$B527="Stock Sale","Stock Sales",TRUE,"Other"))</f>
        <v/>
      </c>
      <c r="T527" s="11">
        <f>IF($A527="","",IF($B527="Cash Secured Put",$K527*$M527*100,IF($B527="Covered Call",$K527*$M527*100,IF($H527="Stock",$M527*$N527,""))))</f>
        <v/>
      </c>
      <c r="U527" s="19">
        <f>IF(OR($A527="",$C527&lt;&gt;"Closed",$D527="",$E527="",$T527=0),"",$R527/$T527*365/MAX(1,$E527-$D527))</f>
        <v/>
      </c>
      <c r="V527" s="14" t="n"/>
      <c r="W527" s="12" t="n"/>
    </row>
    <row r="528">
      <c r="A528" s="12" t="n"/>
      <c r="B528" s="14" t="n"/>
      <c r="C528" s="14" t="n"/>
      <c r="D528" s="15" t="n"/>
      <c r="E528" s="15" t="n"/>
      <c r="F528" s="16">
        <f>IF($E528="","",DATE(YEAR($E528),MONTH($E528),1))</f>
        <v/>
      </c>
      <c r="G528" s="14" t="n"/>
      <c r="H528" s="14" t="n"/>
      <c r="I528" s="14" t="n"/>
      <c r="J528" s="14" t="n"/>
      <c r="K528" s="17" t="n"/>
      <c r="L528" s="15" t="n"/>
      <c r="M528" s="14" t="n"/>
      <c r="N528" s="17" t="n"/>
      <c r="O528" s="17" t="n"/>
      <c r="P528" s="18" t="n"/>
      <c r="Q528" s="11">
        <f>IF($A528="","",IF($H528="Stock",IF($I528="Buy",-$M528*$N528-$P528,IF($I528="Sell",IF($N528="", $M528*$O528-$P528,($O528-$N528)*$M528-$P528),"")),IF($I528="Sell",($N528-IF($O528="",0,$O528))*$M528*100-$P528,IF($I528="Buy",(IF($O528="",0,$O528)-$N528)*$M528*100-$P528,""))))</f>
        <v/>
      </c>
      <c r="R528" s="11">
        <f>IF($A528="","",IF($C528="Open","",$Q528))</f>
        <v/>
      </c>
      <c r="S528" s="12">
        <f>IF($A528="","",IFS($B528="Covered Call","Covered Call Premium",$B528="Cash Secured Put","Cash Secured Put Premium",$B528="Long Call/Put","Long Call/Put P/L",$B528="Debit Spread","Long Call/Put P/L",$B528="Stock Sale","Stock Sales",TRUE,"Other"))</f>
        <v/>
      </c>
      <c r="T528" s="11">
        <f>IF($A528="","",IF($B528="Cash Secured Put",$K528*$M528*100,IF($B528="Covered Call",$K528*$M528*100,IF($H528="Stock",$M528*$N528,""))))</f>
        <v/>
      </c>
      <c r="U528" s="19">
        <f>IF(OR($A528="",$C528&lt;&gt;"Closed",$D528="",$E528="",$T528=0),"",$R528/$T528*365/MAX(1,$E528-$D528))</f>
        <v/>
      </c>
      <c r="V528" s="14" t="n"/>
      <c r="W528" s="12" t="n"/>
    </row>
    <row r="529">
      <c r="A529" s="12" t="n"/>
      <c r="B529" s="14" t="n"/>
      <c r="C529" s="14" t="n"/>
      <c r="D529" s="15" t="n"/>
      <c r="E529" s="15" t="n"/>
      <c r="F529" s="16">
        <f>IF($E529="","",DATE(YEAR($E529),MONTH($E529),1))</f>
        <v/>
      </c>
      <c r="G529" s="14" t="n"/>
      <c r="H529" s="14" t="n"/>
      <c r="I529" s="14" t="n"/>
      <c r="J529" s="14" t="n"/>
      <c r="K529" s="17" t="n"/>
      <c r="L529" s="15" t="n"/>
      <c r="M529" s="14" t="n"/>
      <c r="N529" s="17" t="n"/>
      <c r="O529" s="17" t="n"/>
      <c r="P529" s="18" t="n"/>
      <c r="Q529" s="11">
        <f>IF($A529="","",IF($H529="Stock",IF($I529="Buy",-$M529*$N529-$P529,IF($I529="Sell",IF($N529="", $M529*$O529-$P529,($O529-$N529)*$M529-$P529),"")),IF($I529="Sell",($N529-IF($O529="",0,$O529))*$M529*100-$P529,IF($I529="Buy",(IF($O529="",0,$O529)-$N529)*$M529*100-$P529,""))))</f>
        <v/>
      </c>
      <c r="R529" s="11">
        <f>IF($A529="","",IF($C529="Open","",$Q529))</f>
        <v/>
      </c>
      <c r="S529" s="12">
        <f>IF($A529="","",IFS($B529="Covered Call","Covered Call Premium",$B529="Cash Secured Put","Cash Secured Put Premium",$B529="Long Call/Put","Long Call/Put P/L",$B529="Debit Spread","Long Call/Put P/L",$B529="Stock Sale","Stock Sales",TRUE,"Other"))</f>
        <v/>
      </c>
      <c r="T529" s="11">
        <f>IF($A529="","",IF($B529="Cash Secured Put",$K529*$M529*100,IF($B529="Covered Call",$K529*$M529*100,IF($H529="Stock",$M529*$N529,""))))</f>
        <v/>
      </c>
      <c r="U529" s="19">
        <f>IF(OR($A529="",$C529&lt;&gt;"Closed",$D529="",$E529="",$T529=0),"",$R529/$T529*365/MAX(1,$E529-$D529))</f>
        <v/>
      </c>
      <c r="V529" s="14" t="n"/>
      <c r="W529" s="12" t="n"/>
    </row>
    <row r="530">
      <c r="A530" s="12" t="n"/>
      <c r="B530" s="14" t="n"/>
      <c r="C530" s="14" t="n"/>
      <c r="D530" s="15" t="n"/>
      <c r="E530" s="15" t="n"/>
      <c r="F530" s="16">
        <f>IF($E530="","",DATE(YEAR($E530),MONTH($E530),1))</f>
        <v/>
      </c>
      <c r="G530" s="14" t="n"/>
      <c r="H530" s="14" t="n"/>
      <c r="I530" s="14" t="n"/>
      <c r="J530" s="14" t="n"/>
      <c r="K530" s="17" t="n"/>
      <c r="L530" s="15" t="n"/>
      <c r="M530" s="14" t="n"/>
      <c r="N530" s="17" t="n"/>
      <c r="O530" s="17" t="n"/>
      <c r="P530" s="18" t="n"/>
      <c r="Q530" s="11">
        <f>IF($A530="","",IF($H530="Stock",IF($I530="Buy",-$M530*$N530-$P530,IF($I530="Sell",IF($N530="", $M530*$O530-$P530,($O530-$N530)*$M530-$P530),"")),IF($I530="Sell",($N530-IF($O530="",0,$O530))*$M530*100-$P530,IF($I530="Buy",(IF($O530="",0,$O530)-$N530)*$M530*100-$P530,""))))</f>
        <v/>
      </c>
      <c r="R530" s="11">
        <f>IF($A530="","",IF($C530="Open","",$Q530))</f>
        <v/>
      </c>
      <c r="S530" s="12">
        <f>IF($A530="","",IFS($B530="Covered Call","Covered Call Premium",$B530="Cash Secured Put","Cash Secured Put Premium",$B530="Long Call/Put","Long Call/Put P/L",$B530="Debit Spread","Long Call/Put P/L",$B530="Stock Sale","Stock Sales",TRUE,"Other"))</f>
        <v/>
      </c>
      <c r="T530" s="11">
        <f>IF($A530="","",IF($B530="Cash Secured Put",$K530*$M530*100,IF($B530="Covered Call",$K530*$M530*100,IF($H530="Stock",$M530*$N530,""))))</f>
        <v/>
      </c>
      <c r="U530" s="19">
        <f>IF(OR($A530="",$C530&lt;&gt;"Closed",$D530="",$E530="",$T530=0),"",$R530/$T530*365/MAX(1,$E530-$D530))</f>
        <v/>
      </c>
      <c r="V530" s="14" t="n"/>
      <c r="W530" s="12" t="n"/>
    </row>
    <row r="531">
      <c r="A531" s="12" t="n"/>
      <c r="B531" s="14" t="n"/>
      <c r="C531" s="14" t="n"/>
      <c r="D531" s="15" t="n"/>
      <c r="E531" s="15" t="n"/>
      <c r="F531" s="16">
        <f>IF($E531="","",DATE(YEAR($E531),MONTH($E531),1))</f>
        <v/>
      </c>
      <c r="G531" s="14" t="n"/>
      <c r="H531" s="14" t="n"/>
      <c r="I531" s="14" t="n"/>
      <c r="J531" s="14" t="n"/>
      <c r="K531" s="17" t="n"/>
      <c r="L531" s="15" t="n"/>
      <c r="M531" s="14" t="n"/>
      <c r="N531" s="17" t="n"/>
      <c r="O531" s="17" t="n"/>
      <c r="P531" s="18" t="n"/>
      <c r="Q531" s="11">
        <f>IF($A531="","",IF($H531="Stock",IF($I531="Buy",-$M531*$N531-$P531,IF($I531="Sell",IF($N531="", $M531*$O531-$P531,($O531-$N531)*$M531-$P531),"")),IF($I531="Sell",($N531-IF($O531="",0,$O531))*$M531*100-$P531,IF($I531="Buy",(IF($O531="",0,$O531)-$N531)*$M531*100-$P531,""))))</f>
        <v/>
      </c>
      <c r="R531" s="11">
        <f>IF($A531="","",IF($C531="Open","",$Q531))</f>
        <v/>
      </c>
      <c r="S531" s="12">
        <f>IF($A531="","",IFS($B531="Covered Call","Covered Call Premium",$B531="Cash Secured Put","Cash Secured Put Premium",$B531="Long Call/Put","Long Call/Put P/L",$B531="Debit Spread","Long Call/Put P/L",$B531="Stock Sale","Stock Sales",TRUE,"Other"))</f>
        <v/>
      </c>
      <c r="T531" s="11">
        <f>IF($A531="","",IF($B531="Cash Secured Put",$K531*$M531*100,IF($B531="Covered Call",$K531*$M531*100,IF($H531="Stock",$M531*$N531,""))))</f>
        <v/>
      </c>
      <c r="U531" s="19">
        <f>IF(OR($A531="",$C531&lt;&gt;"Closed",$D531="",$E531="",$T531=0),"",$R531/$T531*365/MAX(1,$E531-$D531))</f>
        <v/>
      </c>
      <c r="V531" s="14" t="n"/>
      <c r="W531" s="12" t="n"/>
    </row>
    <row r="532">
      <c r="A532" s="12" t="n"/>
      <c r="B532" s="14" t="n"/>
      <c r="C532" s="14" t="n"/>
      <c r="D532" s="15" t="n"/>
      <c r="E532" s="15" t="n"/>
      <c r="F532" s="16">
        <f>IF($E532="","",DATE(YEAR($E532),MONTH($E532),1))</f>
        <v/>
      </c>
      <c r="G532" s="14" t="n"/>
      <c r="H532" s="14" t="n"/>
      <c r="I532" s="14" t="n"/>
      <c r="J532" s="14" t="n"/>
      <c r="K532" s="17" t="n"/>
      <c r="L532" s="15" t="n"/>
      <c r="M532" s="14" t="n"/>
      <c r="N532" s="17" t="n"/>
      <c r="O532" s="17" t="n"/>
      <c r="P532" s="18" t="n"/>
      <c r="Q532" s="11">
        <f>IF($A532="","",IF($H532="Stock",IF($I532="Buy",-$M532*$N532-$P532,IF($I532="Sell",IF($N532="", $M532*$O532-$P532,($O532-$N532)*$M532-$P532),"")),IF($I532="Sell",($N532-IF($O532="",0,$O532))*$M532*100-$P532,IF($I532="Buy",(IF($O532="",0,$O532)-$N532)*$M532*100-$P532,""))))</f>
        <v/>
      </c>
      <c r="R532" s="11">
        <f>IF($A532="","",IF($C532="Open","",$Q532))</f>
        <v/>
      </c>
      <c r="S532" s="12">
        <f>IF($A532="","",IFS($B532="Covered Call","Covered Call Premium",$B532="Cash Secured Put","Cash Secured Put Premium",$B532="Long Call/Put","Long Call/Put P/L",$B532="Debit Spread","Long Call/Put P/L",$B532="Stock Sale","Stock Sales",TRUE,"Other"))</f>
        <v/>
      </c>
      <c r="T532" s="11">
        <f>IF($A532="","",IF($B532="Cash Secured Put",$K532*$M532*100,IF($B532="Covered Call",$K532*$M532*100,IF($H532="Stock",$M532*$N532,""))))</f>
        <v/>
      </c>
      <c r="U532" s="19">
        <f>IF(OR($A532="",$C532&lt;&gt;"Closed",$D532="",$E532="",$T532=0),"",$R532/$T532*365/MAX(1,$E532-$D532))</f>
        <v/>
      </c>
      <c r="V532" s="14" t="n"/>
      <c r="W532" s="12" t="n"/>
    </row>
    <row r="533">
      <c r="A533" s="12" t="n"/>
      <c r="B533" s="14" t="n"/>
      <c r="C533" s="14" t="n"/>
      <c r="D533" s="15" t="n"/>
      <c r="E533" s="15" t="n"/>
      <c r="F533" s="16">
        <f>IF($E533="","",DATE(YEAR($E533),MONTH($E533),1))</f>
        <v/>
      </c>
      <c r="G533" s="14" t="n"/>
      <c r="H533" s="14" t="n"/>
      <c r="I533" s="14" t="n"/>
      <c r="J533" s="14" t="n"/>
      <c r="K533" s="17" t="n"/>
      <c r="L533" s="15" t="n"/>
      <c r="M533" s="14" t="n"/>
      <c r="N533" s="17" t="n"/>
      <c r="O533" s="17" t="n"/>
      <c r="P533" s="18" t="n"/>
      <c r="Q533" s="11">
        <f>IF($A533="","",IF($H533="Stock",IF($I533="Buy",-$M533*$N533-$P533,IF($I533="Sell",IF($N533="", $M533*$O533-$P533,($O533-$N533)*$M533-$P533),"")),IF($I533="Sell",($N533-IF($O533="",0,$O533))*$M533*100-$P533,IF($I533="Buy",(IF($O533="",0,$O533)-$N533)*$M533*100-$P533,""))))</f>
        <v/>
      </c>
      <c r="R533" s="11">
        <f>IF($A533="","",IF($C533="Open","",$Q533))</f>
        <v/>
      </c>
      <c r="S533" s="12">
        <f>IF($A533="","",IFS($B533="Covered Call","Covered Call Premium",$B533="Cash Secured Put","Cash Secured Put Premium",$B533="Long Call/Put","Long Call/Put P/L",$B533="Debit Spread","Long Call/Put P/L",$B533="Stock Sale","Stock Sales",TRUE,"Other"))</f>
        <v/>
      </c>
      <c r="T533" s="11">
        <f>IF($A533="","",IF($B533="Cash Secured Put",$K533*$M533*100,IF($B533="Covered Call",$K533*$M533*100,IF($H533="Stock",$M533*$N533,""))))</f>
        <v/>
      </c>
      <c r="U533" s="19">
        <f>IF(OR($A533="",$C533&lt;&gt;"Closed",$D533="",$E533="",$T533=0),"",$R533/$T533*365/MAX(1,$E533-$D533))</f>
        <v/>
      </c>
      <c r="V533" s="14" t="n"/>
      <c r="W533" s="12" t="n"/>
    </row>
    <row r="534">
      <c r="A534" s="12" t="n"/>
      <c r="B534" s="14" t="n"/>
      <c r="C534" s="14" t="n"/>
      <c r="D534" s="15" t="n"/>
      <c r="E534" s="15" t="n"/>
      <c r="F534" s="16">
        <f>IF($E534="","",DATE(YEAR($E534),MONTH($E534),1))</f>
        <v/>
      </c>
      <c r="G534" s="14" t="n"/>
      <c r="H534" s="14" t="n"/>
      <c r="I534" s="14" t="n"/>
      <c r="J534" s="14" t="n"/>
      <c r="K534" s="17" t="n"/>
      <c r="L534" s="15" t="n"/>
      <c r="M534" s="14" t="n"/>
      <c r="N534" s="17" t="n"/>
      <c r="O534" s="17" t="n"/>
      <c r="P534" s="18" t="n"/>
      <c r="Q534" s="11">
        <f>IF($A534="","",IF($H534="Stock",IF($I534="Buy",-$M534*$N534-$P534,IF($I534="Sell",IF($N534="", $M534*$O534-$P534,($O534-$N534)*$M534-$P534),"")),IF($I534="Sell",($N534-IF($O534="",0,$O534))*$M534*100-$P534,IF($I534="Buy",(IF($O534="",0,$O534)-$N534)*$M534*100-$P534,""))))</f>
        <v/>
      </c>
      <c r="R534" s="11">
        <f>IF($A534="","",IF($C534="Open","",$Q534))</f>
        <v/>
      </c>
      <c r="S534" s="12">
        <f>IF($A534="","",IFS($B534="Covered Call","Covered Call Premium",$B534="Cash Secured Put","Cash Secured Put Premium",$B534="Long Call/Put","Long Call/Put P/L",$B534="Debit Spread","Long Call/Put P/L",$B534="Stock Sale","Stock Sales",TRUE,"Other"))</f>
        <v/>
      </c>
      <c r="T534" s="11">
        <f>IF($A534="","",IF($B534="Cash Secured Put",$K534*$M534*100,IF($B534="Covered Call",$K534*$M534*100,IF($H534="Stock",$M534*$N534,""))))</f>
        <v/>
      </c>
      <c r="U534" s="19">
        <f>IF(OR($A534="",$C534&lt;&gt;"Closed",$D534="",$E534="",$T534=0),"",$R534/$T534*365/MAX(1,$E534-$D534))</f>
        <v/>
      </c>
      <c r="V534" s="14" t="n"/>
      <c r="W534" s="12" t="n"/>
    </row>
    <row r="535">
      <c r="A535" s="12" t="n"/>
      <c r="B535" s="14" t="n"/>
      <c r="C535" s="14" t="n"/>
      <c r="D535" s="15" t="n"/>
      <c r="E535" s="15" t="n"/>
      <c r="F535" s="16">
        <f>IF($E535="","",DATE(YEAR($E535),MONTH($E535),1))</f>
        <v/>
      </c>
      <c r="G535" s="14" t="n"/>
      <c r="H535" s="14" t="n"/>
      <c r="I535" s="14" t="n"/>
      <c r="J535" s="14" t="n"/>
      <c r="K535" s="17" t="n"/>
      <c r="L535" s="15" t="n"/>
      <c r="M535" s="14" t="n"/>
      <c r="N535" s="17" t="n"/>
      <c r="O535" s="17" t="n"/>
      <c r="P535" s="18" t="n"/>
      <c r="Q535" s="11">
        <f>IF($A535="","",IF($H535="Stock",IF($I535="Buy",-$M535*$N535-$P535,IF($I535="Sell",IF($N535="", $M535*$O535-$P535,($O535-$N535)*$M535-$P535),"")),IF($I535="Sell",($N535-IF($O535="",0,$O535))*$M535*100-$P535,IF($I535="Buy",(IF($O535="",0,$O535)-$N535)*$M535*100-$P535,""))))</f>
        <v/>
      </c>
      <c r="R535" s="11">
        <f>IF($A535="","",IF($C535="Open","",$Q535))</f>
        <v/>
      </c>
      <c r="S535" s="12">
        <f>IF($A535="","",IFS($B535="Covered Call","Covered Call Premium",$B535="Cash Secured Put","Cash Secured Put Premium",$B535="Long Call/Put","Long Call/Put P/L",$B535="Debit Spread","Long Call/Put P/L",$B535="Stock Sale","Stock Sales",TRUE,"Other"))</f>
        <v/>
      </c>
      <c r="T535" s="11">
        <f>IF($A535="","",IF($B535="Cash Secured Put",$K535*$M535*100,IF($B535="Covered Call",$K535*$M535*100,IF($H535="Stock",$M535*$N535,""))))</f>
        <v/>
      </c>
      <c r="U535" s="19">
        <f>IF(OR($A535="",$C535&lt;&gt;"Closed",$D535="",$E535="",$T535=0),"",$R535/$T535*365/MAX(1,$E535-$D535))</f>
        <v/>
      </c>
      <c r="V535" s="14" t="n"/>
      <c r="W535" s="12" t="n"/>
    </row>
    <row r="536">
      <c r="A536" s="12" t="n"/>
      <c r="B536" s="14" t="n"/>
      <c r="C536" s="14" t="n"/>
      <c r="D536" s="15" t="n"/>
      <c r="E536" s="15" t="n"/>
      <c r="F536" s="16">
        <f>IF($E536="","",DATE(YEAR($E536),MONTH($E536),1))</f>
        <v/>
      </c>
      <c r="G536" s="14" t="n"/>
      <c r="H536" s="14" t="n"/>
      <c r="I536" s="14" t="n"/>
      <c r="J536" s="14" t="n"/>
      <c r="K536" s="17" t="n"/>
      <c r="L536" s="15" t="n"/>
      <c r="M536" s="14" t="n"/>
      <c r="N536" s="17" t="n"/>
      <c r="O536" s="17" t="n"/>
      <c r="P536" s="18" t="n"/>
      <c r="Q536" s="11">
        <f>IF($A536="","",IF($H536="Stock",IF($I536="Buy",-$M536*$N536-$P536,IF($I536="Sell",IF($N536="", $M536*$O536-$P536,($O536-$N536)*$M536-$P536),"")),IF($I536="Sell",($N536-IF($O536="",0,$O536))*$M536*100-$P536,IF($I536="Buy",(IF($O536="",0,$O536)-$N536)*$M536*100-$P536,""))))</f>
        <v/>
      </c>
      <c r="R536" s="11">
        <f>IF($A536="","",IF($C536="Open","",$Q536))</f>
        <v/>
      </c>
      <c r="S536" s="12">
        <f>IF($A536="","",IFS($B536="Covered Call","Covered Call Premium",$B536="Cash Secured Put","Cash Secured Put Premium",$B536="Long Call/Put","Long Call/Put P/L",$B536="Debit Spread","Long Call/Put P/L",$B536="Stock Sale","Stock Sales",TRUE,"Other"))</f>
        <v/>
      </c>
      <c r="T536" s="11">
        <f>IF($A536="","",IF($B536="Cash Secured Put",$K536*$M536*100,IF($B536="Covered Call",$K536*$M536*100,IF($H536="Stock",$M536*$N536,""))))</f>
        <v/>
      </c>
      <c r="U536" s="19">
        <f>IF(OR($A536="",$C536&lt;&gt;"Closed",$D536="",$E536="",$T536=0),"",$R536/$T536*365/MAX(1,$E536-$D536))</f>
        <v/>
      </c>
      <c r="V536" s="14" t="n"/>
      <c r="W536" s="12" t="n"/>
    </row>
    <row r="537">
      <c r="A537" s="12" t="n"/>
      <c r="B537" s="14" t="n"/>
      <c r="C537" s="14" t="n"/>
      <c r="D537" s="15" t="n"/>
      <c r="E537" s="15" t="n"/>
      <c r="F537" s="16">
        <f>IF($E537="","",DATE(YEAR($E537),MONTH($E537),1))</f>
        <v/>
      </c>
      <c r="G537" s="14" t="n"/>
      <c r="H537" s="14" t="n"/>
      <c r="I537" s="14" t="n"/>
      <c r="J537" s="14" t="n"/>
      <c r="K537" s="17" t="n"/>
      <c r="L537" s="15" t="n"/>
      <c r="M537" s="14" t="n"/>
      <c r="N537" s="17" t="n"/>
      <c r="O537" s="17" t="n"/>
      <c r="P537" s="18" t="n"/>
      <c r="Q537" s="11">
        <f>IF($A537="","",IF($H537="Stock",IF($I537="Buy",-$M537*$N537-$P537,IF($I537="Sell",IF($N537="", $M537*$O537-$P537,($O537-$N537)*$M537-$P537),"")),IF($I537="Sell",($N537-IF($O537="",0,$O537))*$M537*100-$P537,IF($I537="Buy",(IF($O537="",0,$O537)-$N537)*$M537*100-$P537,""))))</f>
        <v/>
      </c>
      <c r="R537" s="11">
        <f>IF($A537="","",IF($C537="Open","",$Q537))</f>
        <v/>
      </c>
      <c r="S537" s="12">
        <f>IF($A537="","",IFS($B537="Covered Call","Covered Call Premium",$B537="Cash Secured Put","Cash Secured Put Premium",$B537="Long Call/Put","Long Call/Put P/L",$B537="Debit Spread","Long Call/Put P/L",$B537="Stock Sale","Stock Sales",TRUE,"Other"))</f>
        <v/>
      </c>
      <c r="T537" s="11">
        <f>IF($A537="","",IF($B537="Cash Secured Put",$K537*$M537*100,IF($B537="Covered Call",$K537*$M537*100,IF($H537="Stock",$M537*$N537,""))))</f>
        <v/>
      </c>
      <c r="U537" s="19">
        <f>IF(OR($A537="",$C537&lt;&gt;"Closed",$D537="",$E537="",$T537=0),"",$R537/$T537*365/MAX(1,$E537-$D537))</f>
        <v/>
      </c>
      <c r="V537" s="14" t="n"/>
      <c r="W537" s="12" t="n"/>
    </row>
    <row r="538">
      <c r="A538" s="12" t="n"/>
      <c r="B538" s="14" t="n"/>
      <c r="C538" s="14" t="n"/>
      <c r="D538" s="15" t="n"/>
      <c r="E538" s="15" t="n"/>
      <c r="F538" s="16">
        <f>IF($E538="","",DATE(YEAR($E538),MONTH($E538),1))</f>
        <v/>
      </c>
      <c r="G538" s="14" t="n"/>
      <c r="H538" s="14" t="n"/>
      <c r="I538" s="14" t="n"/>
      <c r="J538" s="14" t="n"/>
      <c r="K538" s="17" t="n"/>
      <c r="L538" s="15" t="n"/>
      <c r="M538" s="14" t="n"/>
      <c r="N538" s="17" t="n"/>
      <c r="O538" s="17" t="n"/>
      <c r="P538" s="18" t="n"/>
      <c r="Q538" s="11">
        <f>IF($A538="","",IF($H538="Stock",IF($I538="Buy",-$M538*$N538-$P538,IF($I538="Sell",IF($N538="", $M538*$O538-$P538,($O538-$N538)*$M538-$P538),"")),IF($I538="Sell",($N538-IF($O538="",0,$O538))*$M538*100-$P538,IF($I538="Buy",(IF($O538="",0,$O538)-$N538)*$M538*100-$P538,""))))</f>
        <v/>
      </c>
      <c r="R538" s="11">
        <f>IF($A538="","",IF($C538="Open","",$Q538))</f>
        <v/>
      </c>
      <c r="S538" s="12">
        <f>IF($A538="","",IFS($B538="Covered Call","Covered Call Premium",$B538="Cash Secured Put","Cash Secured Put Premium",$B538="Long Call/Put","Long Call/Put P/L",$B538="Debit Spread","Long Call/Put P/L",$B538="Stock Sale","Stock Sales",TRUE,"Other"))</f>
        <v/>
      </c>
      <c r="T538" s="11">
        <f>IF($A538="","",IF($B538="Cash Secured Put",$K538*$M538*100,IF($B538="Covered Call",$K538*$M538*100,IF($H538="Stock",$M538*$N538,""))))</f>
        <v/>
      </c>
      <c r="U538" s="19">
        <f>IF(OR($A538="",$C538&lt;&gt;"Closed",$D538="",$E538="",$T538=0),"",$R538/$T538*365/MAX(1,$E538-$D538))</f>
        <v/>
      </c>
      <c r="V538" s="14" t="n"/>
      <c r="W538" s="12" t="n"/>
    </row>
    <row r="539">
      <c r="A539" s="12" t="n"/>
      <c r="B539" s="14" t="n"/>
      <c r="C539" s="14" t="n"/>
      <c r="D539" s="15" t="n"/>
      <c r="E539" s="15" t="n"/>
      <c r="F539" s="16">
        <f>IF($E539="","",DATE(YEAR($E539),MONTH($E539),1))</f>
        <v/>
      </c>
      <c r="G539" s="14" t="n"/>
      <c r="H539" s="14" t="n"/>
      <c r="I539" s="14" t="n"/>
      <c r="J539" s="14" t="n"/>
      <c r="K539" s="17" t="n"/>
      <c r="L539" s="15" t="n"/>
      <c r="M539" s="14" t="n"/>
      <c r="N539" s="17" t="n"/>
      <c r="O539" s="17" t="n"/>
      <c r="P539" s="18" t="n"/>
      <c r="Q539" s="11">
        <f>IF($A539="","",IF($H539="Stock",IF($I539="Buy",-$M539*$N539-$P539,IF($I539="Sell",IF($N539="", $M539*$O539-$P539,($O539-$N539)*$M539-$P539),"")),IF($I539="Sell",($N539-IF($O539="",0,$O539))*$M539*100-$P539,IF($I539="Buy",(IF($O539="",0,$O539)-$N539)*$M539*100-$P539,""))))</f>
        <v/>
      </c>
      <c r="R539" s="11">
        <f>IF($A539="","",IF($C539="Open","",$Q539))</f>
        <v/>
      </c>
      <c r="S539" s="12">
        <f>IF($A539="","",IFS($B539="Covered Call","Covered Call Premium",$B539="Cash Secured Put","Cash Secured Put Premium",$B539="Long Call/Put","Long Call/Put P/L",$B539="Debit Spread","Long Call/Put P/L",$B539="Stock Sale","Stock Sales",TRUE,"Other"))</f>
        <v/>
      </c>
      <c r="T539" s="11">
        <f>IF($A539="","",IF($B539="Cash Secured Put",$K539*$M539*100,IF($B539="Covered Call",$K539*$M539*100,IF($H539="Stock",$M539*$N539,""))))</f>
        <v/>
      </c>
      <c r="U539" s="19">
        <f>IF(OR($A539="",$C539&lt;&gt;"Closed",$D539="",$E539="",$T539=0),"",$R539/$T539*365/MAX(1,$E539-$D539))</f>
        <v/>
      </c>
      <c r="V539" s="14" t="n"/>
      <c r="W539" s="12" t="n"/>
    </row>
    <row r="540">
      <c r="A540" s="12" t="n"/>
      <c r="B540" s="14" t="n"/>
      <c r="C540" s="14" t="n"/>
      <c r="D540" s="15" t="n"/>
      <c r="E540" s="15" t="n"/>
      <c r="F540" s="16">
        <f>IF($E540="","",DATE(YEAR($E540),MONTH($E540),1))</f>
        <v/>
      </c>
      <c r="G540" s="14" t="n"/>
      <c r="H540" s="14" t="n"/>
      <c r="I540" s="14" t="n"/>
      <c r="J540" s="14" t="n"/>
      <c r="K540" s="17" t="n"/>
      <c r="L540" s="15" t="n"/>
      <c r="M540" s="14" t="n"/>
      <c r="N540" s="17" t="n"/>
      <c r="O540" s="17" t="n"/>
      <c r="P540" s="18" t="n"/>
      <c r="Q540" s="11">
        <f>IF($A540="","",IF($H540="Stock",IF($I540="Buy",-$M540*$N540-$P540,IF($I540="Sell",IF($N540="", $M540*$O540-$P540,($O540-$N540)*$M540-$P540),"")),IF($I540="Sell",($N540-IF($O540="",0,$O540))*$M540*100-$P540,IF($I540="Buy",(IF($O540="",0,$O540)-$N540)*$M540*100-$P540,""))))</f>
        <v/>
      </c>
      <c r="R540" s="11">
        <f>IF($A540="","",IF($C540="Open","",$Q540))</f>
        <v/>
      </c>
      <c r="S540" s="12">
        <f>IF($A540="","",IFS($B540="Covered Call","Covered Call Premium",$B540="Cash Secured Put","Cash Secured Put Premium",$B540="Long Call/Put","Long Call/Put P/L",$B540="Debit Spread","Long Call/Put P/L",$B540="Stock Sale","Stock Sales",TRUE,"Other"))</f>
        <v/>
      </c>
      <c r="T540" s="11">
        <f>IF($A540="","",IF($B540="Cash Secured Put",$K540*$M540*100,IF($B540="Covered Call",$K540*$M540*100,IF($H540="Stock",$M540*$N540,""))))</f>
        <v/>
      </c>
      <c r="U540" s="19">
        <f>IF(OR($A540="",$C540&lt;&gt;"Closed",$D540="",$E540="",$T540=0),"",$R540/$T540*365/MAX(1,$E540-$D540))</f>
        <v/>
      </c>
      <c r="V540" s="14" t="n"/>
      <c r="W540" s="12" t="n"/>
    </row>
    <row r="541">
      <c r="A541" s="12" t="n"/>
      <c r="B541" s="14" t="n"/>
      <c r="C541" s="14" t="n"/>
      <c r="D541" s="15" t="n"/>
      <c r="E541" s="15" t="n"/>
      <c r="F541" s="16">
        <f>IF($E541="","",DATE(YEAR($E541),MONTH($E541),1))</f>
        <v/>
      </c>
      <c r="G541" s="14" t="n"/>
      <c r="H541" s="14" t="n"/>
      <c r="I541" s="14" t="n"/>
      <c r="J541" s="14" t="n"/>
      <c r="K541" s="17" t="n"/>
      <c r="L541" s="15" t="n"/>
      <c r="M541" s="14" t="n"/>
      <c r="N541" s="17" t="n"/>
      <c r="O541" s="17" t="n"/>
      <c r="P541" s="18" t="n"/>
      <c r="Q541" s="11">
        <f>IF($A541="","",IF($H541="Stock",IF($I541="Buy",-$M541*$N541-$P541,IF($I541="Sell",IF($N541="", $M541*$O541-$P541,($O541-$N541)*$M541-$P541),"")),IF($I541="Sell",($N541-IF($O541="",0,$O541))*$M541*100-$P541,IF($I541="Buy",(IF($O541="",0,$O541)-$N541)*$M541*100-$P541,""))))</f>
        <v/>
      </c>
      <c r="R541" s="11">
        <f>IF($A541="","",IF($C541="Open","",$Q541))</f>
        <v/>
      </c>
      <c r="S541" s="12">
        <f>IF($A541="","",IFS($B541="Covered Call","Covered Call Premium",$B541="Cash Secured Put","Cash Secured Put Premium",$B541="Long Call/Put","Long Call/Put P/L",$B541="Debit Spread","Long Call/Put P/L",$B541="Stock Sale","Stock Sales",TRUE,"Other"))</f>
        <v/>
      </c>
      <c r="T541" s="11">
        <f>IF($A541="","",IF($B541="Cash Secured Put",$K541*$M541*100,IF($B541="Covered Call",$K541*$M541*100,IF($H541="Stock",$M541*$N541,""))))</f>
        <v/>
      </c>
      <c r="U541" s="19">
        <f>IF(OR($A541="",$C541&lt;&gt;"Closed",$D541="",$E541="",$T541=0),"",$R541/$T541*365/MAX(1,$E541-$D541))</f>
        <v/>
      </c>
      <c r="V541" s="14" t="n"/>
      <c r="W541" s="12" t="n"/>
    </row>
    <row r="542">
      <c r="A542" s="12" t="n"/>
      <c r="B542" s="14" t="n"/>
      <c r="C542" s="14" t="n"/>
      <c r="D542" s="15" t="n"/>
      <c r="E542" s="15" t="n"/>
      <c r="F542" s="16">
        <f>IF($E542="","",DATE(YEAR($E542),MONTH($E542),1))</f>
        <v/>
      </c>
      <c r="G542" s="14" t="n"/>
      <c r="H542" s="14" t="n"/>
      <c r="I542" s="14" t="n"/>
      <c r="J542" s="14" t="n"/>
      <c r="K542" s="17" t="n"/>
      <c r="L542" s="15" t="n"/>
      <c r="M542" s="14" t="n"/>
      <c r="N542" s="17" t="n"/>
      <c r="O542" s="17" t="n"/>
      <c r="P542" s="18" t="n"/>
      <c r="Q542" s="11">
        <f>IF($A542="","",IF($H542="Stock",IF($I542="Buy",-$M542*$N542-$P542,IF($I542="Sell",IF($N542="", $M542*$O542-$P542,($O542-$N542)*$M542-$P542),"")),IF($I542="Sell",($N542-IF($O542="",0,$O542))*$M542*100-$P542,IF($I542="Buy",(IF($O542="",0,$O542)-$N542)*$M542*100-$P542,""))))</f>
        <v/>
      </c>
      <c r="R542" s="11">
        <f>IF($A542="","",IF($C542="Open","",$Q542))</f>
        <v/>
      </c>
      <c r="S542" s="12">
        <f>IF($A542="","",IFS($B542="Covered Call","Covered Call Premium",$B542="Cash Secured Put","Cash Secured Put Premium",$B542="Long Call/Put","Long Call/Put P/L",$B542="Debit Spread","Long Call/Put P/L",$B542="Stock Sale","Stock Sales",TRUE,"Other"))</f>
        <v/>
      </c>
      <c r="T542" s="11">
        <f>IF($A542="","",IF($B542="Cash Secured Put",$K542*$M542*100,IF($B542="Covered Call",$K542*$M542*100,IF($H542="Stock",$M542*$N542,""))))</f>
        <v/>
      </c>
      <c r="U542" s="19">
        <f>IF(OR($A542="",$C542&lt;&gt;"Closed",$D542="",$E542="",$T542=0),"",$R542/$T542*365/MAX(1,$E542-$D542))</f>
        <v/>
      </c>
      <c r="V542" s="14" t="n"/>
      <c r="W542" s="12" t="n"/>
    </row>
    <row r="543">
      <c r="A543" s="12" t="n"/>
      <c r="B543" s="14" t="n"/>
      <c r="C543" s="14" t="n"/>
      <c r="D543" s="15" t="n"/>
      <c r="E543" s="15" t="n"/>
      <c r="F543" s="16">
        <f>IF($E543="","",DATE(YEAR($E543),MONTH($E543),1))</f>
        <v/>
      </c>
      <c r="G543" s="14" t="n"/>
      <c r="H543" s="14" t="n"/>
      <c r="I543" s="14" t="n"/>
      <c r="J543" s="14" t="n"/>
      <c r="K543" s="17" t="n"/>
      <c r="L543" s="15" t="n"/>
      <c r="M543" s="14" t="n"/>
      <c r="N543" s="17" t="n"/>
      <c r="O543" s="17" t="n"/>
      <c r="P543" s="18" t="n"/>
      <c r="Q543" s="11">
        <f>IF($A543="","",IF($H543="Stock",IF($I543="Buy",-$M543*$N543-$P543,IF($I543="Sell",IF($N543="", $M543*$O543-$P543,($O543-$N543)*$M543-$P543),"")),IF($I543="Sell",($N543-IF($O543="",0,$O543))*$M543*100-$P543,IF($I543="Buy",(IF($O543="",0,$O543)-$N543)*$M543*100-$P543,""))))</f>
        <v/>
      </c>
      <c r="R543" s="11">
        <f>IF($A543="","",IF($C543="Open","",$Q543))</f>
        <v/>
      </c>
      <c r="S543" s="12">
        <f>IF($A543="","",IFS($B543="Covered Call","Covered Call Premium",$B543="Cash Secured Put","Cash Secured Put Premium",$B543="Long Call/Put","Long Call/Put P/L",$B543="Debit Spread","Long Call/Put P/L",$B543="Stock Sale","Stock Sales",TRUE,"Other"))</f>
        <v/>
      </c>
      <c r="T543" s="11">
        <f>IF($A543="","",IF($B543="Cash Secured Put",$K543*$M543*100,IF($B543="Covered Call",$K543*$M543*100,IF($H543="Stock",$M543*$N543,""))))</f>
        <v/>
      </c>
      <c r="U543" s="19">
        <f>IF(OR($A543="",$C543&lt;&gt;"Closed",$D543="",$E543="",$T543=0),"",$R543/$T543*365/MAX(1,$E543-$D543))</f>
        <v/>
      </c>
      <c r="V543" s="14" t="n"/>
      <c r="W543" s="12" t="n"/>
    </row>
    <row r="544">
      <c r="A544" s="12" t="n"/>
      <c r="B544" s="14" t="n"/>
      <c r="C544" s="14" t="n"/>
      <c r="D544" s="15" t="n"/>
      <c r="E544" s="15" t="n"/>
      <c r="F544" s="16">
        <f>IF($E544="","",DATE(YEAR($E544),MONTH($E544),1))</f>
        <v/>
      </c>
      <c r="G544" s="14" t="n"/>
      <c r="H544" s="14" t="n"/>
      <c r="I544" s="14" t="n"/>
      <c r="J544" s="14" t="n"/>
      <c r="K544" s="17" t="n"/>
      <c r="L544" s="15" t="n"/>
      <c r="M544" s="14" t="n"/>
      <c r="N544" s="17" t="n"/>
      <c r="O544" s="17" t="n"/>
      <c r="P544" s="18" t="n"/>
      <c r="Q544" s="11">
        <f>IF($A544="","",IF($H544="Stock",IF($I544="Buy",-$M544*$N544-$P544,IF($I544="Sell",IF($N544="", $M544*$O544-$P544,($O544-$N544)*$M544-$P544),"")),IF($I544="Sell",($N544-IF($O544="",0,$O544))*$M544*100-$P544,IF($I544="Buy",(IF($O544="",0,$O544)-$N544)*$M544*100-$P544,""))))</f>
        <v/>
      </c>
      <c r="R544" s="11">
        <f>IF($A544="","",IF($C544="Open","",$Q544))</f>
        <v/>
      </c>
      <c r="S544" s="12">
        <f>IF($A544="","",IFS($B544="Covered Call","Covered Call Premium",$B544="Cash Secured Put","Cash Secured Put Premium",$B544="Long Call/Put","Long Call/Put P/L",$B544="Debit Spread","Long Call/Put P/L",$B544="Stock Sale","Stock Sales",TRUE,"Other"))</f>
        <v/>
      </c>
      <c r="T544" s="11">
        <f>IF($A544="","",IF($B544="Cash Secured Put",$K544*$M544*100,IF($B544="Covered Call",$K544*$M544*100,IF($H544="Stock",$M544*$N544,""))))</f>
        <v/>
      </c>
      <c r="U544" s="19">
        <f>IF(OR($A544="",$C544&lt;&gt;"Closed",$D544="",$E544="",$T544=0),"",$R544/$T544*365/MAX(1,$E544-$D544))</f>
        <v/>
      </c>
      <c r="V544" s="14" t="n"/>
      <c r="W544" s="12" t="n"/>
    </row>
    <row r="545">
      <c r="A545" s="12" t="n"/>
      <c r="B545" s="14" t="n"/>
      <c r="C545" s="14" t="n"/>
      <c r="D545" s="15" t="n"/>
      <c r="E545" s="15" t="n"/>
      <c r="F545" s="16">
        <f>IF($E545="","",DATE(YEAR($E545),MONTH($E545),1))</f>
        <v/>
      </c>
      <c r="G545" s="14" t="n"/>
      <c r="H545" s="14" t="n"/>
      <c r="I545" s="14" t="n"/>
      <c r="J545" s="14" t="n"/>
      <c r="K545" s="17" t="n"/>
      <c r="L545" s="15" t="n"/>
      <c r="M545" s="14" t="n"/>
      <c r="N545" s="17" t="n"/>
      <c r="O545" s="17" t="n"/>
      <c r="P545" s="18" t="n"/>
      <c r="Q545" s="11">
        <f>IF($A545="","",IF($H545="Stock",IF($I545="Buy",-$M545*$N545-$P545,IF($I545="Sell",IF($N545="", $M545*$O545-$P545,($O545-$N545)*$M545-$P545),"")),IF($I545="Sell",($N545-IF($O545="",0,$O545))*$M545*100-$P545,IF($I545="Buy",(IF($O545="",0,$O545)-$N545)*$M545*100-$P545,""))))</f>
        <v/>
      </c>
      <c r="R545" s="11">
        <f>IF($A545="","",IF($C545="Open","",$Q545))</f>
        <v/>
      </c>
      <c r="S545" s="12">
        <f>IF($A545="","",IFS($B545="Covered Call","Covered Call Premium",$B545="Cash Secured Put","Cash Secured Put Premium",$B545="Long Call/Put","Long Call/Put P/L",$B545="Debit Spread","Long Call/Put P/L",$B545="Stock Sale","Stock Sales",TRUE,"Other"))</f>
        <v/>
      </c>
      <c r="T545" s="11">
        <f>IF($A545="","",IF($B545="Cash Secured Put",$K545*$M545*100,IF($B545="Covered Call",$K545*$M545*100,IF($H545="Stock",$M545*$N545,""))))</f>
        <v/>
      </c>
      <c r="U545" s="19">
        <f>IF(OR($A545="",$C545&lt;&gt;"Closed",$D545="",$E545="",$T545=0),"",$R545/$T545*365/MAX(1,$E545-$D545))</f>
        <v/>
      </c>
      <c r="V545" s="14" t="n"/>
      <c r="W545" s="12" t="n"/>
    </row>
    <row r="546">
      <c r="A546" s="12" t="n"/>
      <c r="B546" s="14" t="n"/>
      <c r="C546" s="14" t="n"/>
      <c r="D546" s="15" t="n"/>
      <c r="E546" s="15" t="n"/>
      <c r="F546" s="16">
        <f>IF($E546="","",DATE(YEAR($E546),MONTH($E546),1))</f>
        <v/>
      </c>
      <c r="G546" s="14" t="n"/>
      <c r="H546" s="14" t="n"/>
      <c r="I546" s="14" t="n"/>
      <c r="J546" s="14" t="n"/>
      <c r="K546" s="17" t="n"/>
      <c r="L546" s="15" t="n"/>
      <c r="M546" s="14" t="n"/>
      <c r="N546" s="17" t="n"/>
      <c r="O546" s="17" t="n"/>
      <c r="P546" s="18" t="n"/>
      <c r="Q546" s="11">
        <f>IF($A546="","",IF($H546="Stock",IF($I546="Buy",-$M546*$N546-$P546,IF($I546="Sell",IF($N546="", $M546*$O546-$P546,($O546-$N546)*$M546-$P546),"")),IF($I546="Sell",($N546-IF($O546="",0,$O546))*$M546*100-$P546,IF($I546="Buy",(IF($O546="",0,$O546)-$N546)*$M546*100-$P546,""))))</f>
        <v/>
      </c>
      <c r="R546" s="11">
        <f>IF($A546="","",IF($C546="Open","",$Q546))</f>
        <v/>
      </c>
      <c r="S546" s="12">
        <f>IF($A546="","",IFS($B546="Covered Call","Covered Call Premium",$B546="Cash Secured Put","Cash Secured Put Premium",$B546="Long Call/Put","Long Call/Put P/L",$B546="Debit Spread","Long Call/Put P/L",$B546="Stock Sale","Stock Sales",TRUE,"Other"))</f>
        <v/>
      </c>
      <c r="T546" s="11">
        <f>IF($A546="","",IF($B546="Cash Secured Put",$K546*$M546*100,IF($B546="Covered Call",$K546*$M546*100,IF($H546="Stock",$M546*$N546,""))))</f>
        <v/>
      </c>
      <c r="U546" s="19">
        <f>IF(OR($A546="",$C546&lt;&gt;"Closed",$D546="",$E546="",$T546=0),"",$R546/$T546*365/MAX(1,$E546-$D546))</f>
        <v/>
      </c>
      <c r="V546" s="14" t="n"/>
      <c r="W546" s="12" t="n"/>
    </row>
    <row r="547">
      <c r="A547" s="12" t="n"/>
      <c r="B547" s="14" t="n"/>
      <c r="C547" s="14" t="n"/>
      <c r="D547" s="15" t="n"/>
      <c r="E547" s="15" t="n"/>
      <c r="F547" s="16">
        <f>IF($E547="","",DATE(YEAR($E547),MONTH($E547),1))</f>
        <v/>
      </c>
      <c r="G547" s="14" t="n"/>
      <c r="H547" s="14" t="n"/>
      <c r="I547" s="14" t="n"/>
      <c r="J547" s="14" t="n"/>
      <c r="K547" s="17" t="n"/>
      <c r="L547" s="15" t="n"/>
      <c r="M547" s="14" t="n"/>
      <c r="N547" s="17" t="n"/>
      <c r="O547" s="17" t="n"/>
      <c r="P547" s="18" t="n"/>
      <c r="Q547" s="11">
        <f>IF($A547="","",IF($H547="Stock",IF($I547="Buy",-$M547*$N547-$P547,IF($I547="Sell",IF($N547="", $M547*$O547-$P547,($O547-$N547)*$M547-$P547),"")),IF($I547="Sell",($N547-IF($O547="",0,$O547))*$M547*100-$P547,IF($I547="Buy",(IF($O547="",0,$O547)-$N547)*$M547*100-$P547,""))))</f>
        <v/>
      </c>
      <c r="R547" s="11">
        <f>IF($A547="","",IF($C547="Open","",$Q547))</f>
        <v/>
      </c>
      <c r="S547" s="12">
        <f>IF($A547="","",IFS($B547="Covered Call","Covered Call Premium",$B547="Cash Secured Put","Cash Secured Put Premium",$B547="Long Call/Put","Long Call/Put P/L",$B547="Debit Spread","Long Call/Put P/L",$B547="Stock Sale","Stock Sales",TRUE,"Other"))</f>
        <v/>
      </c>
      <c r="T547" s="11">
        <f>IF($A547="","",IF($B547="Cash Secured Put",$K547*$M547*100,IF($B547="Covered Call",$K547*$M547*100,IF($H547="Stock",$M547*$N547,""))))</f>
        <v/>
      </c>
      <c r="U547" s="19">
        <f>IF(OR($A547="",$C547&lt;&gt;"Closed",$D547="",$E547="",$T547=0),"",$R547/$T547*365/MAX(1,$E547-$D547))</f>
        <v/>
      </c>
      <c r="V547" s="14" t="n"/>
      <c r="W547" s="12" t="n"/>
    </row>
    <row r="548">
      <c r="A548" s="12" t="n"/>
      <c r="B548" s="14" t="n"/>
      <c r="C548" s="14" t="n"/>
      <c r="D548" s="15" t="n"/>
      <c r="E548" s="15" t="n"/>
      <c r="F548" s="16">
        <f>IF($E548="","",DATE(YEAR($E548),MONTH($E548),1))</f>
        <v/>
      </c>
      <c r="G548" s="14" t="n"/>
      <c r="H548" s="14" t="n"/>
      <c r="I548" s="14" t="n"/>
      <c r="J548" s="14" t="n"/>
      <c r="K548" s="17" t="n"/>
      <c r="L548" s="15" t="n"/>
      <c r="M548" s="14" t="n"/>
      <c r="N548" s="17" t="n"/>
      <c r="O548" s="17" t="n"/>
      <c r="P548" s="18" t="n"/>
      <c r="Q548" s="11">
        <f>IF($A548="","",IF($H548="Stock",IF($I548="Buy",-$M548*$N548-$P548,IF($I548="Sell",IF($N548="", $M548*$O548-$P548,($O548-$N548)*$M548-$P548),"")),IF($I548="Sell",($N548-IF($O548="",0,$O548))*$M548*100-$P548,IF($I548="Buy",(IF($O548="",0,$O548)-$N548)*$M548*100-$P548,""))))</f>
        <v/>
      </c>
      <c r="R548" s="11">
        <f>IF($A548="","",IF($C548="Open","",$Q548))</f>
        <v/>
      </c>
      <c r="S548" s="12">
        <f>IF($A548="","",IFS($B548="Covered Call","Covered Call Premium",$B548="Cash Secured Put","Cash Secured Put Premium",$B548="Long Call/Put","Long Call/Put P/L",$B548="Debit Spread","Long Call/Put P/L",$B548="Stock Sale","Stock Sales",TRUE,"Other"))</f>
        <v/>
      </c>
      <c r="T548" s="11">
        <f>IF($A548="","",IF($B548="Cash Secured Put",$K548*$M548*100,IF($B548="Covered Call",$K548*$M548*100,IF($H548="Stock",$M548*$N548,""))))</f>
        <v/>
      </c>
      <c r="U548" s="19">
        <f>IF(OR($A548="",$C548&lt;&gt;"Closed",$D548="",$E548="",$T548=0),"",$R548/$T548*365/MAX(1,$E548-$D548))</f>
        <v/>
      </c>
      <c r="V548" s="14" t="n"/>
      <c r="W548" s="12" t="n"/>
    </row>
    <row r="549">
      <c r="A549" s="12" t="n"/>
      <c r="B549" s="14" t="n"/>
      <c r="C549" s="14" t="n"/>
      <c r="D549" s="15" t="n"/>
      <c r="E549" s="15" t="n"/>
      <c r="F549" s="16">
        <f>IF($E549="","",DATE(YEAR($E549),MONTH($E549),1))</f>
        <v/>
      </c>
      <c r="G549" s="14" t="n"/>
      <c r="H549" s="14" t="n"/>
      <c r="I549" s="14" t="n"/>
      <c r="J549" s="14" t="n"/>
      <c r="K549" s="17" t="n"/>
      <c r="L549" s="15" t="n"/>
      <c r="M549" s="14" t="n"/>
      <c r="N549" s="17" t="n"/>
      <c r="O549" s="17" t="n"/>
      <c r="P549" s="18" t="n"/>
      <c r="Q549" s="11">
        <f>IF($A549="","",IF($H549="Stock",IF($I549="Buy",-$M549*$N549-$P549,IF($I549="Sell",IF($N549="", $M549*$O549-$P549,($O549-$N549)*$M549-$P549),"")),IF($I549="Sell",($N549-IF($O549="",0,$O549))*$M549*100-$P549,IF($I549="Buy",(IF($O549="",0,$O549)-$N549)*$M549*100-$P549,""))))</f>
        <v/>
      </c>
      <c r="R549" s="11">
        <f>IF($A549="","",IF($C549="Open","",$Q549))</f>
        <v/>
      </c>
      <c r="S549" s="12">
        <f>IF($A549="","",IFS($B549="Covered Call","Covered Call Premium",$B549="Cash Secured Put","Cash Secured Put Premium",$B549="Long Call/Put","Long Call/Put P/L",$B549="Debit Spread","Long Call/Put P/L",$B549="Stock Sale","Stock Sales",TRUE,"Other"))</f>
        <v/>
      </c>
      <c r="T549" s="11">
        <f>IF($A549="","",IF($B549="Cash Secured Put",$K549*$M549*100,IF($B549="Covered Call",$K549*$M549*100,IF($H549="Stock",$M549*$N549,""))))</f>
        <v/>
      </c>
      <c r="U549" s="19">
        <f>IF(OR($A549="",$C549&lt;&gt;"Closed",$D549="",$E549="",$T549=0),"",$R549/$T549*365/MAX(1,$E549-$D549))</f>
        <v/>
      </c>
      <c r="V549" s="14" t="n"/>
      <c r="W549" s="12" t="n"/>
    </row>
    <row r="550">
      <c r="A550" s="12" t="n"/>
      <c r="B550" s="14" t="n"/>
      <c r="C550" s="14" t="n"/>
      <c r="D550" s="15" t="n"/>
      <c r="E550" s="15" t="n"/>
      <c r="F550" s="16">
        <f>IF($E550="","",DATE(YEAR($E550),MONTH($E550),1))</f>
        <v/>
      </c>
      <c r="G550" s="14" t="n"/>
      <c r="H550" s="14" t="n"/>
      <c r="I550" s="14" t="n"/>
      <c r="J550" s="14" t="n"/>
      <c r="K550" s="17" t="n"/>
      <c r="L550" s="15" t="n"/>
      <c r="M550" s="14" t="n"/>
      <c r="N550" s="17" t="n"/>
      <c r="O550" s="17" t="n"/>
      <c r="P550" s="18" t="n"/>
      <c r="Q550" s="11">
        <f>IF($A550="","",IF($H550="Stock",IF($I550="Buy",-$M550*$N550-$P550,IF($I550="Sell",IF($N550="", $M550*$O550-$P550,($O550-$N550)*$M550-$P550),"")),IF($I550="Sell",($N550-IF($O550="",0,$O550))*$M550*100-$P550,IF($I550="Buy",(IF($O550="",0,$O550)-$N550)*$M550*100-$P550,""))))</f>
        <v/>
      </c>
      <c r="R550" s="11">
        <f>IF($A550="","",IF($C550="Open","",$Q550))</f>
        <v/>
      </c>
      <c r="S550" s="12">
        <f>IF($A550="","",IFS($B550="Covered Call","Covered Call Premium",$B550="Cash Secured Put","Cash Secured Put Premium",$B550="Long Call/Put","Long Call/Put P/L",$B550="Debit Spread","Long Call/Put P/L",$B550="Stock Sale","Stock Sales",TRUE,"Other"))</f>
        <v/>
      </c>
      <c r="T550" s="11">
        <f>IF($A550="","",IF($B550="Cash Secured Put",$K550*$M550*100,IF($B550="Covered Call",$K550*$M550*100,IF($H550="Stock",$M550*$N550,""))))</f>
        <v/>
      </c>
      <c r="U550" s="19">
        <f>IF(OR($A550="",$C550&lt;&gt;"Closed",$D550="",$E550="",$T550=0),"",$R550/$T550*365/MAX(1,$E550-$D550))</f>
        <v/>
      </c>
      <c r="V550" s="14" t="n"/>
      <c r="W550" s="12" t="n"/>
    </row>
    <row r="551">
      <c r="A551" s="12" t="n"/>
      <c r="B551" s="14" t="n"/>
      <c r="C551" s="14" t="n"/>
      <c r="D551" s="15" t="n"/>
      <c r="E551" s="15" t="n"/>
      <c r="F551" s="16">
        <f>IF($E551="","",DATE(YEAR($E551),MONTH($E551),1))</f>
        <v/>
      </c>
      <c r="G551" s="14" t="n"/>
      <c r="H551" s="14" t="n"/>
      <c r="I551" s="14" t="n"/>
      <c r="J551" s="14" t="n"/>
      <c r="K551" s="17" t="n"/>
      <c r="L551" s="15" t="n"/>
      <c r="M551" s="14" t="n"/>
      <c r="N551" s="17" t="n"/>
      <c r="O551" s="17" t="n"/>
      <c r="P551" s="18" t="n"/>
      <c r="Q551" s="11">
        <f>IF($A551="","",IF($H551="Stock",IF($I551="Buy",-$M551*$N551-$P551,IF($I551="Sell",IF($N551="", $M551*$O551-$P551,($O551-$N551)*$M551-$P551),"")),IF($I551="Sell",($N551-IF($O551="",0,$O551))*$M551*100-$P551,IF($I551="Buy",(IF($O551="",0,$O551)-$N551)*$M551*100-$P551,""))))</f>
        <v/>
      </c>
      <c r="R551" s="11">
        <f>IF($A551="","",IF($C551="Open","",$Q551))</f>
        <v/>
      </c>
      <c r="S551" s="12">
        <f>IF($A551="","",IFS($B551="Covered Call","Covered Call Premium",$B551="Cash Secured Put","Cash Secured Put Premium",$B551="Long Call/Put","Long Call/Put P/L",$B551="Debit Spread","Long Call/Put P/L",$B551="Stock Sale","Stock Sales",TRUE,"Other"))</f>
        <v/>
      </c>
      <c r="T551" s="11">
        <f>IF($A551="","",IF($B551="Cash Secured Put",$K551*$M551*100,IF($B551="Covered Call",$K551*$M551*100,IF($H551="Stock",$M551*$N551,""))))</f>
        <v/>
      </c>
      <c r="U551" s="19">
        <f>IF(OR($A551="",$C551&lt;&gt;"Closed",$D551="",$E551="",$T551=0),"",$R551/$T551*365/MAX(1,$E551-$D551))</f>
        <v/>
      </c>
      <c r="V551" s="14" t="n"/>
      <c r="W551" s="12" t="n"/>
    </row>
    <row r="552">
      <c r="A552" s="12" t="n"/>
      <c r="B552" s="14" t="n"/>
      <c r="C552" s="14" t="n"/>
      <c r="D552" s="15" t="n"/>
      <c r="E552" s="15" t="n"/>
      <c r="F552" s="16">
        <f>IF($E552="","",DATE(YEAR($E552),MONTH($E552),1))</f>
        <v/>
      </c>
      <c r="G552" s="14" t="n"/>
      <c r="H552" s="14" t="n"/>
      <c r="I552" s="14" t="n"/>
      <c r="J552" s="14" t="n"/>
      <c r="K552" s="17" t="n"/>
      <c r="L552" s="15" t="n"/>
      <c r="M552" s="14" t="n"/>
      <c r="N552" s="17" t="n"/>
      <c r="O552" s="17" t="n"/>
      <c r="P552" s="18" t="n"/>
      <c r="Q552" s="11">
        <f>IF($A552="","",IF($H552="Stock",IF($I552="Buy",-$M552*$N552-$P552,IF($I552="Sell",IF($N552="", $M552*$O552-$P552,($O552-$N552)*$M552-$P552),"")),IF($I552="Sell",($N552-IF($O552="",0,$O552))*$M552*100-$P552,IF($I552="Buy",(IF($O552="",0,$O552)-$N552)*$M552*100-$P552,""))))</f>
        <v/>
      </c>
      <c r="R552" s="11">
        <f>IF($A552="","",IF($C552="Open","",$Q552))</f>
        <v/>
      </c>
      <c r="S552" s="12">
        <f>IF($A552="","",IFS($B552="Covered Call","Covered Call Premium",$B552="Cash Secured Put","Cash Secured Put Premium",$B552="Long Call/Put","Long Call/Put P/L",$B552="Debit Spread","Long Call/Put P/L",$B552="Stock Sale","Stock Sales",TRUE,"Other"))</f>
        <v/>
      </c>
      <c r="T552" s="11">
        <f>IF($A552="","",IF($B552="Cash Secured Put",$K552*$M552*100,IF($B552="Covered Call",$K552*$M552*100,IF($H552="Stock",$M552*$N552,""))))</f>
        <v/>
      </c>
      <c r="U552" s="19">
        <f>IF(OR($A552="",$C552&lt;&gt;"Closed",$D552="",$E552="",$T552=0),"",$R552/$T552*365/MAX(1,$E552-$D552))</f>
        <v/>
      </c>
      <c r="V552" s="14" t="n"/>
      <c r="W552" s="12" t="n"/>
    </row>
    <row r="553">
      <c r="A553" s="12" t="n"/>
      <c r="B553" s="14" t="n"/>
      <c r="C553" s="14" t="n"/>
      <c r="D553" s="15" t="n"/>
      <c r="E553" s="15" t="n"/>
      <c r="F553" s="16">
        <f>IF($E553="","",DATE(YEAR($E553),MONTH($E553),1))</f>
        <v/>
      </c>
      <c r="G553" s="14" t="n"/>
      <c r="H553" s="14" t="n"/>
      <c r="I553" s="14" t="n"/>
      <c r="J553" s="14" t="n"/>
      <c r="K553" s="17" t="n"/>
      <c r="L553" s="15" t="n"/>
      <c r="M553" s="14" t="n"/>
      <c r="N553" s="17" t="n"/>
      <c r="O553" s="17" t="n"/>
      <c r="P553" s="18" t="n"/>
      <c r="Q553" s="11">
        <f>IF($A553="","",IF($H553="Stock",IF($I553="Buy",-$M553*$N553-$P553,IF($I553="Sell",IF($N553="", $M553*$O553-$P553,($O553-$N553)*$M553-$P553),"")),IF($I553="Sell",($N553-IF($O553="",0,$O553))*$M553*100-$P553,IF($I553="Buy",(IF($O553="",0,$O553)-$N553)*$M553*100-$P553,""))))</f>
        <v/>
      </c>
      <c r="R553" s="11">
        <f>IF($A553="","",IF($C553="Open","",$Q553))</f>
        <v/>
      </c>
      <c r="S553" s="12">
        <f>IF($A553="","",IFS($B553="Covered Call","Covered Call Premium",$B553="Cash Secured Put","Cash Secured Put Premium",$B553="Long Call/Put","Long Call/Put P/L",$B553="Debit Spread","Long Call/Put P/L",$B553="Stock Sale","Stock Sales",TRUE,"Other"))</f>
        <v/>
      </c>
      <c r="T553" s="11">
        <f>IF($A553="","",IF($B553="Cash Secured Put",$K553*$M553*100,IF($B553="Covered Call",$K553*$M553*100,IF($H553="Stock",$M553*$N553,""))))</f>
        <v/>
      </c>
      <c r="U553" s="19">
        <f>IF(OR($A553="",$C553&lt;&gt;"Closed",$D553="",$E553="",$T553=0),"",$R553/$T553*365/MAX(1,$E553-$D553))</f>
        <v/>
      </c>
      <c r="V553" s="14" t="n"/>
      <c r="W553" s="12" t="n"/>
    </row>
    <row r="554">
      <c r="A554" s="12" t="n"/>
      <c r="B554" s="14" t="n"/>
      <c r="C554" s="14" t="n"/>
      <c r="D554" s="15" t="n"/>
      <c r="E554" s="15" t="n"/>
      <c r="F554" s="16">
        <f>IF($E554="","",DATE(YEAR($E554),MONTH($E554),1))</f>
        <v/>
      </c>
      <c r="G554" s="14" t="n"/>
      <c r="H554" s="14" t="n"/>
      <c r="I554" s="14" t="n"/>
      <c r="J554" s="14" t="n"/>
      <c r="K554" s="17" t="n"/>
      <c r="L554" s="15" t="n"/>
      <c r="M554" s="14" t="n"/>
      <c r="N554" s="17" t="n"/>
      <c r="O554" s="17" t="n"/>
      <c r="P554" s="18" t="n"/>
      <c r="Q554" s="11">
        <f>IF($A554="","",IF($H554="Stock",IF($I554="Buy",-$M554*$N554-$P554,IF($I554="Sell",IF($N554="", $M554*$O554-$P554,($O554-$N554)*$M554-$P554),"")),IF($I554="Sell",($N554-IF($O554="",0,$O554))*$M554*100-$P554,IF($I554="Buy",(IF($O554="",0,$O554)-$N554)*$M554*100-$P554,""))))</f>
        <v/>
      </c>
      <c r="R554" s="11">
        <f>IF($A554="","",IF($C554="Open","",$Q554))</f>
        <v/>
      </c>
      <c r="S554" s="12">
        <f>IF($A554="","",IFS($B554="Covered Call","Covered Call Premium",$B554="Cash Secured Put","Cash Secured Put Premium",$B554="Long Call/Put","Long Call/Put P/L",$B554="Debit Spread","Long Call/Put P/L",$B554="Stock Sale","Stock Sales",TRUE,"Other"))</f>
        <v/>
      </c>
      <c r="T554" s="11">
        <f>IF($A554="","",IF($B554="Cash Secured Put",$K554*$M554*100,IF($B554="Covered Call",$K554*$M554*100,IF($H554="Stock",$M554*$N554,""))))</f>
        <v/>
      </c>
      <c r="U554" s="19">
        <f>IF(OR($A554="",$C554&lt;&gt;"Closed",$D554="",$E554="",$T554=0),"",$R554/$T554*365/MAX(1,$E554-$D554))</f>
        <v/>
      </c>
      <c r="V554" s="14" t="n"/>
      <c r="W554" s="12" t="n"/>
    </row>
    <row r="555">
      <c r="A555" s="12" t="n"/>
      <c r="B555" s="14" t="n"/>
      <c r="C555" s="14" t="n"/>
      <c r="D555" s="15" t="n"/>
      <c r="E555" s="15" t="n"/>
      <c r="F555" s="16">
        <f>IF($E555="","",DATE(YEAR($E555),MONTH($E555),1))</f>
        <v/>
      </c>
      <c r="G555" s="14" t="n"/>
      <c r="H555" s="14" t="n"/>
      <c r="I555" s="14" t="n"/>
      <c r="J555" s="14" t="n"/>
      <c r="K555" s="17" t="n"/>
      <c r="L555" s="15" t="n"/>
      <c r="M555" s="14" t="n"/>
      <c r="N555" s="17" t="n"/>
      <c r="O555" s="17" t="n"/>
      <c r="P555" s="18" t="n"/>
      <c r="Q555" s="11">
        <f>IF($A555="","",IF($H555="Stock",IF($I555="Buy",-$M555*$N555-$P555,IF($I555="Sell",IF($N555="", $M555*$O555-$P555,($O555-$N555)*$M555-$P555),"")),IF($I555="Sell",($N555-IF($O555="",0,$O555))*$M555*100-$P555,IF($I555="Buy",(IF($O555="",0,$O555)-$N555)*$M555*100-$P555,""))))</f>
        <v/>
      </c>
      <c r="R555" s="11">
        <f>IF($A555="","",IF($C555="Open","",$Q555))</f>
        <v/>
      </c>
      <c r="S555" s="12">
        <f>IF($A555="","",IFS($B555="Covered Call","Covered Call Premium",$B555="Cash Secured Put","Cash Secured Put Premium",$B555="Long Call/Put","Long Call/Put P/L",$B555="Debit Spread","Long Call/Put P/L",$B555="Stock Sale","Stock Sales",TRUE,"Other"))</f>
        <v/>
      </c>
      <c r="T555" s="11">
        <f>IF($A555="","",IF($B555="Cash Secured Put",$K555*$M555*100,IF($B555="Covered Call",$K555*$M555*100,IF($H555="Stock",$M555*$N555,""))))</f>
        <v/>
      </c>
      <c r="U555" s="19">
        <f>IF(OR($A555="",$C555&lt;&gt;"Closed",$D555="",$E555="",$T555=0),"",$R555/$T555*365/MAX(1,$E555-$D555))</f>
        <v/>
      </c>
      <c r="V555" s="14" t="n"/>
      <c r="W555" s="12" t="n"/>
    </row>
    <row r="556">
      <c r="A556" s="12" t="n"/>
      <c r="B556" s="14" t="n"/>
      <c r="C556" s="14" t="n"/>
      <c r="D556" s="15" t="n"/>
      <c r="E556" s="15" t="n"/>
      <c r="F556" s="16">
        <f>IF($E556="","",DATE(YEAR($E556),MONTH($E556),1))</f>
        <v/>
      </c>
      <c r="G556" s="14" t="n"/>
      <c r="H556" s="14" t="n"/>
      <c r="I556" s="14" t="n"/>
      <c r="J556" s="14" t="n"/>
      <c r="K556" s="17" t="n"/>
      <c r="L556" s="15" t="n"/>
      <c r="M556" s="14" t="n"/>
      <c r="N556" s="17" t="n"/>
      <c r="O556" s="17" t="n"/>
      <c r="P556" s="18" t="n"/>
      <c r="Q556" s="11">
        <f>IF($A556="","",IF($H556="Stock",IF($I556="Buy",-$M556*$N556-$P556,IF($I556="Sell",IF($N556="", $M556*$O556-$P556,($O556-$N556)*$M556-$P556),"")),IF($I556="Sell",($N556-IF($O556="",0,$O556))*$M556*100-$P556,IF($I556="Buy",(IF($O556="",0,$O556)-$N556)*$M556*100-$P556,""))))</f>
        <v/>
      </c>
      <c r="R556" s="11">
        <f>IF($A556="","",IF($C556="Open","",$Q556))</f>
        <v/>
      </c>
      <c r="S556" s="12">
        <f>IF($A556="","",IFS($B556="Covered Call","Covered Call Premium",$B556="Cash Secured Put","Cash Secured Put Premium",$B556="Long Call/Put","Long Call/Put P/L",$B556="Debit Spread","Long Call/Put P/L",$B556="Stock Sale","Stock Sales",TRUE,"Other"))</f>
        <v/>
      </c>
      <c r="T556" s="11">
        <f>IF($A556="","",IF($B556="Cash Secured Put",$K556*$M556*100,IF($B556="Covered Call",$K556*$M556*100,IF($H556="Stock",$M556*$N556,""))))</f>
        <v/>
      </c>
      <c r="U556" s="19">
        <f>IF(OR($A556="",$C556&lt;&gt;"Closed",$D556="",$E556="",$T556=0),"",$R556/$T556*365/MAX(1,$E556-$D556))</f>
        <v/>
      </c>
      <c r="V556" s="14" t="n"/>
      <c r="W556" s="12" t="n"/>
    </row>
    <row r="557">
      <c r="A557" s="12" t="n"/>
      <c r="B557" s="14" t="n"/>
      <c r="C557" s="14" t="n"/>
      <c r="D557" s="15" t="n"/>
      <c r="E557" s="15" t="n"/>
      <c r="F557" s="16">
        <f>IF($E557="","",DATE(YEAR($E557),MONTH($E557),1))</f>
        <v/>
      </c>
      <c r="G557" s="14" t="n"/>
      <c r="H557" s="14" t="n"/>
      <c r="I557" s="14" t="n"/>
      <c r="J557" s="14" t="n"/>
      <c r="K557" s="17" t="n"/>
      <c r="L557" s="15" t="n"/>
      <c r="M557" s="14" t="n"/>
      <c r="N557" s="17" t="n"/>
      <c r="O557" s="17" t="n"/>
      <c r="P557" s="18" t="n"/>
      <c r="Q557" s="11">
        <f>IF($A557="","",IF($H557="Stock",IF($I557="Buy",-$M557*$N557-$P557,IF($I557="Sell",IF($N557="", $M557*$O557-$P557,($O557-$N557)*$M557-$P557),"")),IF($I557="Sell",($N557-IF($O557="",0,$O557))*$M557*100-$P557,IF($I557="Buy",(IF($O557="",0,$O557)-$N557)*$M557*100-$P557,""))))</f>
        <v/>
      </c>
      <c r="R557" s="11">
        <f>IF($A557="","",IF($C557="Open","",$Q557))</f>
        <v/>
      </c>
      <c r="S557" s="12">
        <f>IF($A557="","",IFS($B557="Covered Call","Covered Call Premium",$B557="Cash Secured Put","Cash Secured Put Premium",$B557="Long Call/Put","Long Call/Put P/L",$B557="Debit Spread","Long Call/Put P/L",$B557="Stock Sale","Stock Sales",TRUE,"Other"))</f>
        <v/>
      </c>
      <c r="T557" s="11">
        <f>IF($A557="","",IF($B557="Cash Secured Put",$K557*$M557*100,IF($B557="Covered Call",$K557*$M557*100,IF($H557="Stock",$M557*$N557,""))))</f>
        <v/>
      </c>
      <c r="U557" s="19">
        <f>IF(OR($A557="",$C557&lt;&gt;"Closed",$D557="",$E557="",$T557=0),"",$R557/$T557*365/MAX(1,$E557-$D557))</f>
        <v/>
      </c>
      <c r="V557" s="14" t="n"/>
      <c r="W557" s="12" t="n"/>
    </row>
    <row r="558">
      <c r="A558" s="12" t="n"/>
      <c r="B558" s="14" t="n"/>
      <c r="C558" s="14" t="n"/>
      <c r="D558" s="15" t="n"/>
      <c r="E558" s="15" t="n"/>
      <c r="F558" s="16">
        <f>IF($E558="","",DATE(YEAR($E558),MONTH($E558),1))</f>
        <v/>
      </c>
      <c r="G558" s="14" t="n"/>
      <c r="H558" s="14" t="n"/>
      <c r="I558" s="14" t="n"/>
      <c r="J558" s="14" t="n"/>
      <c r="K558" s="17" t="n"/>
      <c r="L558" s="15" t="n"/>
      <c r="M558" s="14" t="n"/>
      <c r="N558" s="17" t="n"/>
      <c r="O558" s="17" t="n"/>
      <c r="P558" s="18" t="n"/>
      <c r="Q558" s="11">
        <f>IF($A558="","",IF($H558="Stock",IF($I558="Buy",-$M558*$N558-$P558,IF($I558="Sell",IF($N558="", $M558*$O558-$P558,($O558-$N558)*$M558-$P558),"")),IF($I558="Sell",($N558-IF($O558="",0,$O558))*$M558*100-$P558,IF($I558="Buy",(IF($O558="",0,$O558)-$N558)*$M558*100-$P558,""))))</f>
        <v/>
      </c>
      <c r="R558" s="11">
        <f>IF($A558="","",IF($C558="Open","",$Q558))</f>
        <v/>
      </c>
      <c r="S558" s="12">
        <f>IF($A558="","",IFS($B558="Covered Call","Covered Call Premium",$B558="Cash Secured Put","Cash Secured Put Premium",$B558="Long Call/Put","Long Call/Put P/L",$B558="Debit Spread","Long Call/Put P/L",$B558="Stock Sale","Stock Sales",TRUE,"Other"))</f>
        <v/>
      </c>
      <c r="T558" s="11">
        <f>IF($A558="","",IF($B558="Cash Secured Put",$K558*$M558*100,IF($B558="Covered Call",$K558*$M558*100,IF($H558="Stock",$M558*$N558,""))))</f>
        <v/>
      </c>
      <c r="U558" s="19">
        <f>IF(OR($A558="",$C558&lt;&gt;"Closed",$D558="",$E558="",$T558=0),"",$R558/$T558*365/MAX(1,$E558-$D558))</f>
        <v/>
      </c>
      <c r="V558" s="14" t="n"/>
      <c r="W558" s="12" t="n"/>
    </row>
    <row r="559">
      <c r="A559" s="12" t="n"/>
      <c r="B559" s="14" t="n"/>
      <c r="C559" s="14" t="n"/>
      <c r="D559" s="15" t="n"/>
      <c r="E559" s="15" t="n"/>
      <c r="F559" s="16">
        <f>IF($E559="","",DATE(YEAR($E559),MONTH($E559),1))</f>
        <v/>
      </c>
      <c r="G559" s="14" t="n"/>
      <c r="H559" s="14" t="n"/>
      <c r="I559" s="14" t="n"/>
      <c r="J559" s="14" t="n"/>
      <c r="K559" s="17" t="n"/>
      <c r="L559" s="15" t="n"/>
      <c r="M559" s="14" t="n"/>
      <c r="N559" s="17" t="n"/>
      <c r="O559" s="17" t="n"/>
      <c r="P559" s="18" t="n"/>
      <c r="Q559" s="11">
        <f>IF($A559="","",IF($H559="Stock",IF($I559="Buy",-$M559*$N559-$P559,IF($I559="Sell",IF($N559="", $M559*$O559-$P559,($O559-$N559)*$M559-$P559),"")),IF($I559="Sell",($N559-IF($O559="",0,$O559))*$M559*100-$P559,IF($I559="Buy",(IF($O559="",0,$O559)-$N559)*$M559*100-$P559,""))))</f>
        <v/>
      </c>
      <c r="R559" s="11">
        <f>IF($A559="","",IF($C559="Open","",$Q559))</f>
        <v/>
      </c>
      <c r="S559" s="12">
        <f>IF($A559="","",IFS($B559="Covered Call","Covered Call Premium",$B559="Cash Secured Put","Cash Secured Put Premium",$B559="Long Call/Put","Long Call/Put P/L",$B559="Debit Spread","Long Call/Put P/L",$B559="Stock Sale","Stock Sales",TRUE,"Other"))</f>
        <v/>
      </c>
      <c r="T559" s="11">
        <f>IF($A559="","",IF($B559="Cash Secured Put",$K559*$M559*100,IF($B559="Covered Call",$K559*$M559*100,IF($H559="Stock",$M559*$N559,""))))</f>
        <v/>
      </c>
      <c r="U559" s="19">
        <f>IF(OR($A559="",$C559&lt;&gt;"Closed",$D559="",$E559="",$T559=0),"",$R559/$T559*365/MAX(1,$E559-$D559))</f>
        <v/>
      </c>
      <c r="V559" s="14" t="n"/>
      <c r="W559" s="12" t="n"/>
    </row>
    <row r="560">
      <c r="A560" s="12" t="n"/>
      <c r="B560" s="14" t="n"/>
      <c r="C560" s="14" t="n"/>
      <c r="D560" s="15" t="n"/>
      <c r="E560" s="15" t="n"/>
      <c r="F560" s="16">
        <f>IF($E560="","",DATE(YEAR($E560),MONTH($E560),1))</f>
        <v/>
      </c>
      <c r="G560" s="14" t="n"/>
      <c r="H560" s="14" t="n"/>
      <c r="I560" s="14" t="n"/>
      <c r="J560" s="14" t="n"/>
      <c r="K560" s="17" t="n"/>
      <c r="L560" s="15" t="n"/>
      <c r="M560" s="14" t="n"/>
      <c r="N560" s="17" t="n"/>
      <c r="O560" s="17" t="n"/>
      <c r="P560" s="18" t="n"/>
      <c r="Q560" s="11">
        <f>IF($A560="","",IF($H560="Stock",IF($I560="Buy",-$M560*$N560-$P560,IF($I560="Sell",IF($N560="", $M560*$O560-$P560,($O560-$N560)*$M560-$P560),"")),IF($I560="Sell",($N560-IF($O560="",0,$O560))*$M560*100-$P560,IF($I560="Buy",(IF($O560="",0,$O560)-$N560)*$M560*100-$P560,""))))</f>
        <v/>
      </c>
      <c r="R560" s="11">
        <f>IF($A560="","",IF($C560="Open","",$Q560))</f>
        <v/>
      </c>
      <c r="S560" s="12">
        <f>IF($A560="","",IFS($B560="Covered Call","Covered Call Premium",$B560="Cash Secured Put","Cash Secured Put Premium",$B560="Long Call/Put","Long Call/Put P/L",$B560="Debit Spread","Long Call/Put P/L",$B560="Stock Sale","Stock Sales",TRUE,"Other"))</f>
        <v/>
      </c>
      <c r="T560" s="11">
        <f>IF($A560="","",IF($B560="Cash Secured Put",$K560*$M560*100,IF($B560="Covered Call",$K560*$M560*100,IF($H560="Stock",$M560*$N560,""))))</f>
        <v/>
      </c>
      <c r="U560" s="19">
        <f>IF(OR($A560="",$C560&lt;&gt;"Closed",$D560="",$E560="",$T560=0),"",$R560/$T560*365/MAX(1,$E560-$D560))</f>
        <v/>
      </c>
      <c r="V560" s="14" t="n"/>
      <c r="W560" s="12" t="n"/>
    </row>
    <row r="561">
      <c r="A561" s="12" t="n"/>
      <c r="B561" s="14" t="n"/>
      <c r="C561" s="14" t="n"/>
      <c r="D561" s="15" t="n"/>
      <c r="E561" s="15" t="n"/>
      <c r="F561" s="16">
        <f>IF($E561="","",DATE(YEAR($E561),MONTH($E561),1))</f>
        <v/>
      </c>
      <c r="G561" s="14" t="n"/>
      <c r="H561" s="14" t="n"/>
      <c r="I561" s="14" t="n"/>
      <c r="J561" s="14" t="n"/>
      <c r="K561" s="17" t="n"/>
      <c r="L561" s="15" t="n"/>
      <c r="M561" s="14" t="n"/>
      <c r="N561" s="17" t="n"/>
      <c r="O561" s="17" t="n"/>
      <c r="P561" s="18" t="n"/>
      <c r="Q561" s="11">
        <f>IF($A561="","",IF($H561="Stock",IF($I561="Buy",-$M561*$N561-$P561,IF($I561="Sell",IF($N561="", $M561*$O561-$P561,($O561-$N561)*$M561-$P561),"")),IF($I561="Sell",($N561-IF($O561="",0,$O561))*$M561*100-$P561,IF($I561="Buy",(IF($O561="",0,$O561)-$N561)*$M561*100-$P561,""))))</f>
        <v/>
      </c>
      <c r="R561" s="11">
        <f>IF($A561="","",IF($C561="Open","",$Q561))</f>
        <v/>
      </c>
      <c r="S561" s="12">
        <f>IF($A561="","",IFS($B561="Covered Call","Covered Call Premium",$B561="Cash Secured Put","Cash Secured Put Premium",$B561="Long Call/Put","Long Call/Put P/L",$B561="Debit Spread","Long Call/Put P/L",$B561="Stock Sale","Stock Sales",TRUE,"Other"))</f>
        <v/>
      </c>
      <c r="T561" s="11">
        <f>IF($A561="","",IF($B561="Cash Secured Put",$K561*$M561*100,IF($B561="Covered Call",$K561*$M561*100,IF($H561="Stock",$M561*$N561,""))))</f>
        <v/>
      </c>
      <c r="U561" s="19">
        <f>IF(OR($A561="",$C561&lt;&gt;"Closed",$D561="",$E561="",$T561=0),"",$R561/$T561*365/MAX(1,$E561-$D561))</f>
        <v/>
      </c>
      <c r="V561" s="14" t="n"/>
      <c r="W561" s="12" t="n"/>
    </row>
    <row r="562">
      <c r="A562" s="12" t="n"/>
      <c r="B562" s="14" t="n"/>
      <c r="C562" s="14" t="n"/>
      <c r="D562" s="15" t="n"/>
      <c r="E562" s="15" t="n"/>
      <c r="F562" s="16">
        <f>IF($E562="","",DATE(YEAR($E562),MONTH($E562),1))</f>
        <v/>
      </c>
      <c r="G562" s="14" t="n"/>
      <c r="H562" s="14" t="n"/>
      <c r="I562" s="14" t="n"/>
      <c r="J562" s="14" t="n"/>
      <c r="K562" s="17" t="n"/>
      <c r="L562" s="15" t="n"/>
      <c r="M562" s="14" t="n"/>
      <c r="N562" s="17" t="n"/>
      <c r="O562" s="17" t="n"/>
      <c r="P562" s="18" t="n"/>
      <c r="Q562" s="11">
        <f>IF($A562="","",IF($H562="Stock",IF($I562="Buy",-$M562*$N562-$P562,IF($I562="Sell",IF($N562="", $M562*$O562-$P562,($O562-$N562)*$M562-$P562),"")),IF($I562="Sell",($N562-IF($O562="",0,$O562))*$M562*100-$P562,IF($I562="Buy",(IF($O562="",0,$O562)-$N562)*$M562*100-$P562,""))))</f>
        <v/>
      </c>
      <c r="R562" s="11">
        <f>IF($A562="","",IF($C562="Open","",$Q562))</f>
        <v/>
      </c>
      <c r="S562" s="12">
        <f>IF($A562="","",IFS($B562="Covered Call","Covered Call Premium",$B562="Cash Secured Put","Cash Secured Put Premium",$B562="Long Call/Put","Long Call/Put P/L",$B562="Debit Spread","Long Call/Put P/L",$B562="Stock Sale","Stock Sales",TRUE,"Other"))</f>
        <v/>
      </c>
      <c r="T562" s="11">
        <f>IF($A562="","",IF($B562="Cash Secured Put",$K562*$M562*100,IF($B562="Covered Call",$K562*$M562*100,IF($H562="Stock",$M562*$N562,""))))</f>
        <v/>
      </c>
      <c r="U562" s="19">
        <f>IF(OR($A562="",$C562&lt;&gt;"Closed",$D562="",$E562="",$T562=0),"",$R562/$T562*365/MAX(1,$E562-$D562))</f>
        <v/>
      </c>
      <c r="V562" s="14" t="n"/>
      <c r="W562" s="12" t="n"/>
    </row>
    <row r="563">
      <c r="A563" s="12" t="n"/>
      <c r="B563" s="14" t="n"/>
      <c r="C563" s="14" t="n"/>
      <c r="D563" s="15" t="n"/>
      <c r="E563" s="15" t="n"/>
      <c r="F563" s="16">
        <f>IF($E563="","",DATE(YEAR($E563),MONTH($E563),1))</f>
        <v/>
      </c>
      <c r="G563" s="14" t="n"/>
      <c r="H563" s="14" t="n"/>
      <c r="I563" s="14" t="n"/>
      <c r="J563" s="14" t="n"/>
      <c r="K563" s="17" t="n"/>
      <c r="L563" s="15" t="n"/>
      <c r="M563" s="14" t="n"/>
      <c r="N563" s="17" t="n"/>
      <c r="O563" s="17" t="n"/>
      <c r="P563" s="18" t="n"/>
      <c r="Q563" s="11">
        <f>IF($A563="","",IF($H563="Stock",IF($I563="Buy",-$M563*$N563-$P563,IF($I563="Sell",IF($N563="", $M563*$O563-$P563,($O563-$N563)*$M563-$P563),"")),IF($I563="Sell",($N563-IF($O563="",0,$O563))*$M563*100-$P563,IF($I563="Buy",(IF($O563="",0,$O563)-$N563)*$M563*100-$P563,""))))</f>
        <v/>
      </c>
      <c r="R563" s="11">
        <f>IF($A563="","",IF($C563="Open","",$Q563))</f>
        <v/>
      </c>
      <c r="S563" s="12">
        <f>IF($A563="","",IFS($B563="Covered Call","Covered Call Premium",$B563="Cash Secured Put","Cash Secured Put Premium",$B563="Long Call/Put","Long Call/Put P/L",$B563="Debit Spread","Long Call/Put P/L",$B563="Stock Sale","Stock Sales",TRUE,"Other"))</f>
        <v/>
      </c>
      <c r="T563" s="11">
        <f>IF($A563="","",IF($B563="Cash Secured Put",$K563*$M563*100,IF($B563="Covered Call",$K563*$M563*100,IF($H563="Stock",$M563*$N563,""))))</f>
        <v/>
      </c>
      <c r="U563" s="19">
        <f>IF(OR($A563="",$C563&lt;&gt;"Closed",$D563="",$E563="",$T563=0),"",$R563/$T563*365/MAX(1,$E563-$D563))</f>
        <v/>
      </c>
      <c r="V563" s="14" t="n"/>
      <c r="W563" s="12" t="n"/>
    </row>
    <row r="564">
      <c r="A564" s="12" t="n"/>
      <c r="B564" s="14" t="n"/>
      <c r="C564" s="14" t="n"/>
      <c r="D564" s="15" t="n"/>
      <c r="E564" s="15" t="n"/>
      <c r="F564" s="16">
        <f>IF($E564="","",DATE(YEAR($E564),MONTH($E564),1))</f>
        <v/>
      </c>
      <c r="G564" s="14" t="n"/>
      <c r="H564" s="14" t="n"/>
      <c r="I564" s="14" t="n"/>
      <c r="J564" s="14" t="n"/>
      <c r="K564" s="17" t="n"/>
      <c r="L564" s="15" t="n"/>
      <c r="M564" s="14" t="n"/>
      <c r="N564" s="17" t="n"/>
      <c r="O564" s="17" t="n"/>
      <c r="P564" s="18" t="n"/>
      <c r="Q564" s="11">
        <f>IF($A564="","",IF($H564="Stock",IF($I564="Buy",-$M564*$N564-$P564,IF($I564="Sell",IF($N564="", $M564*$O564-$P564,($O564-$N564)*$M564-$P564),"")),IF($I564="Sell",($N564-IF($O564="",0,$O564))*$M564*100-$P564,IF($I564="Buy",(IF($O564="",0,$O564)-$N564)*$M564*100-$P564,""))))</f>
        <v/>
      </c>
      <c r="R564" s="11">
        <f>IF($A564="","",IF($C564="Open","",$Q564))</f>
        <v/>
      </c>
      <c r="S564" s="12">
        <f>IF($A564="","",IFS($B564="Covered Call","Covered Call Premium",$B564="Cash Secured Put","Cash Secured Put Premium",$B564="Long Call/Put","Long Call/Put P/L",$B564="Debit Spread","Long Call/Put P/L",$B564="Stock Sale","Stock Sales",TRUE,"Other"))</f>
        <v/>
      </c>
      <c r="T564" s="11">
        <f>IF($A564="","",IF($B564="Cash Secured Put",$K564*$M564*100,IF($B564="Covered Call",$K564*$M564*100,IF($H564="Stock",$M564*$N564,""))))</f>
        <v/>
      </c>
      <c r="U564" s="19">
        <f>IF(OR($A564="",$C564&lt;&gt;"Closed",$D564="",$E564="",$T564=0),"",$R564/$T564*365/MAX(1,$E564-$D564))</f>
        <v/>
      </c>
      <c r="V564" s="14" t="n"/>
      <c r="W564" s="12" t="n"/>
    </row>
    <row r="565">
      <c r="A565" s="12" t="n"/>
      <c r="B565" s="14" t="n"/>
      <c r="C565" s="14" t="n"/>
      <c r="D565" s="15" t="n"/>
      <c r="E565" s="15" t="n"/>
      <c r="F565" s="16">
        <f>IF($E565="","",DATE(YEAR($E565),MONTH($E565),1))</f>
        <v/>
      </c>
      <c r="G565" s="14" t="n"/>
      <c r="H565" s="14" t="n"/>
      <c r="I565" s="14" t="n"/>
      <c r="J565" s="14" t="n"/>
      <c r="K565" s="17" t="n"/>
      <c r="L565" s="15" t="n"/>
      <c r="M565" s="14" t="n"/>
      <c r="N565" s="17" t="n"/>
      <c r="O565" s="17" t="n"/>
      <c r="P565" s="18" t="n"/>
      <c r="Q565" s="11">
        <f>IF($A565="","",IF($H565="Stock",IF($I565="Buy",-$M565*$N565-$P565,IF($I565="Sell",IF($N565="", $M565*$O565-$P565,($O565-$N565)*$M565-$P565),"")),IF($I565="Sell",($N565-IF($O565="",0,$O565))*$M565*100-$P565,IF($I565="Buy",(IF($O565="",0,$O565)-$N565)*$M565*100-$P565,""))))</f>
        <v/>
      </c>
      <c r="R565" s="11">
        <f>IF($A565="","",IF($C565="Open","",$Q565))</f>
        <v/>
      </c>
      <c r="S565" s="12">
        <f>IF($A565="","",IFS($B565="Covered Call","Covered Call Premium",$B565="Cash Secured Put","Cash Secured Put Premium",$B565="Long Call/Put","Long Call/Put P/L",$B565="Debit Spread","Long Call/Put P/L",$B565="Stock Sale","Stock Sales",TRUE,"Other"))</f>
        <v/>
      </c>
      <c r="T565" s="11">
        <f>IF($A565="","",IF($B565="Cash Secured Put",$K565*$M565*100,IF($B565="Covered Call",$K565*$M565*100,IF($H565="Stock",$M565*$N565,""))))</f>
        <v/>
      </c>
      <c r="U565" s="19">
        <f>IF(OR($A565="",$C565&lt;&gt;"Closed",$D565="",$E565="",$T565=0),"",$R565/$T565*365/MAX(1,$E565-$D565))</f>
        <v/>
      </c>
      <c r="V565" s="14" t="n"/>
      <c r="W565" s="12" t="n"/>
    </row>
    <row r="566">
      <c r="A566" s="12" t="n"/>
      <c r="B566" s="14" t="n"/>
      <c r="C566" s="14" t="n"/>
      <c r="D566" s="15" t="n"/>
      <c r="E566" s="15" t="n"/>
      <c r="F566" s="16">
        <f>IF($E566="","",DATE(YEAR($E566),MONTH($E566),1))</f>
        <v/>
      </c>
      <c r="G566" s="14" t="n"/>
      <c r="H566" s="14" t="n"/>
      <c r="I566" s="14" t="n"/>
      <c r="J566" s="14" t="n"/>
      <c r="K566" s="17" t="n"/>
      <c r="L566" s="15" t="n"/>
      <c r="M566" s="14" t="n"/>
      <c r="N566" s="17" t="n"/>
      <c r="O566" s="17" t="n"/>
      <c r="P566" s="18" t="n"/>
      <c r="Q566" s="11">
        <f>IF($A566="","",IF($H566="Stock",IF($I566="Buy",-$M566*$N566-$P566,IF($I566="Sell",IF($N566="", $M566*$O566-$P566,($O566-$N566)*$M566-$P566),"")),IF($I566="Sell",($N566-IF($O566="",0,$O566))*$M566*100-$P566,IF($I566="Buy",(IF($O566="",0,$O566)-$N566)*$M566*100-$P566,""))))</f>
        <v/>
      </c>
      <c r="R566" s="11">
        <f>IF($A566="","",IF($C566="Open","",$Q566))</f>
        <v/>
      </c>
      <c r="S566" s="12">
        <f>IF($A566="","",IFS($B566="Covered Call","Covered Call Premium",$B566="Cash Secured Put","Cash Secured Put Premium",$B566="Long Call/Put","Long Call/Put P/L",$B566="Debit Spread","Long Call/Put P/L",$B566="Stock Sale","Stock Sales",TRUE,"Other"))</f>
        <v/>
      </c>
      <c r="T566" s="11">
        <f>IF($A566="","",IF($B566="Cash Secured Put",$K566*$M566*100,IF($B566="Covered Call",$K566*$M566*100,IF($H566="Stock",$M566*$N566,""))))</f>
        <v/>
      </c>
      <c r="U566" s="19">
        <f>IF(OR($A566="",$C566&lt;&gt;"Closed",$D566="",$E566="",$T566=0),"",$R566/$T566*365/MAX(1,$E566-$D566))</f>
        <v/>
      </c>
      <c r="V566" s="14" t="n"/>
      <c r="W566" s="12" t="n"/>
    </row>
    <row r="567">
      <c r="A567" s="12" t="n"/>
      <c r="B567" s="14" t="n"/>
      <c r="C567" s="14" t="n"/>
      <c r="D567" s="15" t="n"/>
      <c r="E567" s="15" t="n"/>
      <c r="F567" s="16">
        <f>IF($E567="","",DATE(YEAR($E567),MONTH($E567),1))</f>
        <v/>
      </c>
      <c r="G567" s="14" t="n"/>
      <c r="H567" s="14" t="n"/>
      <c r="I567" s="14" t="n"/>
      <c r="J567" s="14" t="n"/>
      <c r="K567" s="17" t="n"/>
      <c r="L567" s="15" t="n"/>
      <c r="M567" s="14" t="n"/>
      <c r="N567" s="17" t="n"/>
      <c r="O567" s="17" t="n"/>
      <c r="P567" s="18" t="n"/>
      <c r="Q567" s="11">
        <f>IF($A567="","",IF($H567="Stock",IF($I567="Buy",-$M567*$N567-$P567,IF($I567="Sell",IF($N567="", $M567*$O567-$P567,($O567-$N567)*$M567-$P567),"")),IF($I567="Sell",($N567-IF($O567="",0,$O567))*$M567*100-$P567,IF($I567="Buy",(IF($O567="",0,$O567)-$N567)*$M567*100-$P567,""))))</f>
        <v/>
      </c>
      <c r="R567" s="11">
        <f>IF($A567="","",IF($C567="Open","",$Q567))</f>
        <v/>
      </c>
      <c r="S567" s="12">
        <f>IF($A567="","",IFS($B567="Covered Call","Covered Call Premium",$B567="Cash Secured Put","Cash Secured Put Premium",$B567="Long Call/Put","Long Call/Put P/L",$B567="Debit Spread","Long Call/Put P/L",$B567="Stock Sale","Stock Sales",TRUE,"Other"))</f>
        <v/>
      </c>
      <c r="T567" s="11">
        <f>IF($A567="","",IF($B567="Cash Secured Put",$K567*$M567*100,IF($B567="Covered Call",$K567*$M567*100,IF($H567="Stock",$M567*$N567,""))))</f>
        <v/>
      </c>
      <c r="U567" s="19">
        <f>IF(OR($A567="",$C567&lt;&gt;"Closed",$D567="",$E567="",$T567=0),"",$R567/$T567*365/MAX(1,$E567-$D567))</f>
        <v/>
      </c>
      <c r="V567" s="14" t="n"/>
      <c r="W567" s="12" t="n"/>
    </row>
    <row r="568">
      <c r="A568" s="12" t="n"/>
      <c r="B568" s="14" t="n"/>
      <c r="C568" s="14" t="n"/>
      <c r="D568" s="15" t="n"/>
      <c r="E568" s="15" t="n"/>
      <c r="F568" s="16">
        <f>IF($E568="","",DATE(YEAR($E568),MONTH($E568),1))</f>
        <v/>
      </c>
      <c r="G568" s="14" t="n"/>
      <c r="H568" s="14" t="n"/>
      <c r="I568" s="14" t="n"/>
      <c r="J568" s="14" t="n"/>
      <c r="K568" s="17" t="n"/>
      <c r="L568" s="15" t="n"/>
      <c r="M568" s="14" t="n"/>
      <c r="N568" s="17" t="n"/>
      <c r="O568" s="17" t="n"/>
      <c r="P568" s="18" t="n"/>
      <c r="Q568" s="11">
        <f>IF($A568="","",IF($H568="Stock",IF($I568="Buy",-$M568*$N568-$P568,IF($I568="Sell",IF($N568="", $M568*$O568-$P568,($O568-$N568)*$M568-$P568),"")),IF($I568="Sell",($N568-IF($O568="",0,$O568))*$M568*100-$P568,IF($I568="Buy",(IF($O568="",0,$O568)-$N568)*$M568*100-$P568,""))))</f>
        <v/>
      </c>
      <c r="R568" s="11">
        <f>IF($A568="","",IF($C568="Open","",$Q568))</f>
        <v/>
      </c>
      <c r="S568" s="12">
        <f>IF($A568="","",IFS($B568="Covered Call","Covered Call Premium",$B568="Cash Secured Put","Cash Secured Put Premium",$B568="Long Call/Put","Long Call/Put P/L",$B568="Debit Spread","Long Call/Put P/L",$B568="Stock Sale","Stock Sales",TRUE,"Other"))</f>
        <v/>
      </c>
      <c r="T568" s="11">
        <f>IF($A568="","",IF($B568="Cash Secured Put",$K568*$M568*100,IF($B568="Covered Call",$K568*$M568*100,IF($H568="Stock",$M568*$N568,""))))</f>
        <v/>
      </c>
      <c r="U568" s="19">
        <f>IF(OR($A568="",$C568&lt;&gt;"Closed",$D568="",$E568="",$T568=0),"",$R568/$T568*365/MAX(1,$E568-$D568))</f>
        <v/>
      </c>
      <c r="V568" s="14" t="n"/>
      <c r="W568" s="12" t="n"/>
    </row>
    <row r="569">
      <c r="A569" s="12" t="n"/>
      <c r="B569" s="14" t="n"/>
      <c r="C569" s="14" t="n"/>
      <c r="D569" s="15" t="n"/>
      <c r="E569" s="15" t="n"/>
      <c r="F569" s="16">
        <f>IF($E569="","",DATE(YEAR($E569),MONTH($E569),1))</f>
        <v/>
      </c>
      <c r="G569" s="14" t="n"/>
      <c r="H569" s="14" t="n"/>
      <c r="I569" s="14" t="n"/>
      <c r="J569" s="14" t="n"/>
      <c r="K569" s="17" t="n"/>
      <c r="L569" s="15" t="n"/>
      <c r="M569" s="14" t="n"/>
      <c r="N569" s="17" t="n"/>
      <c r="O569" s="17" t="n"/>
      <c r="P569" s="18" t="n"/>
      <c r="Q569" s="11">
        <f>IF($A569="","",IF($H569="Stock",IF($I569="Buy",-$M569*$N569-$P569,IF($I569="Sell",IF($N569="", $M569*$O569-$P569,($O569-$N569)*$M569-$P569),"")),IF($I569="Sell",($N569-IF($O569="",0,$O569))*$M569*100-$P569,IF($I569="Buy",(IF($O569="",0,$O569)-$N569)*$M569*100-$P569,""))))</f>
        <v/>
      </c>
      <c r="R569" s="11">
        <f>IF($A569="","",IF($C569="Open","",$Q569))</f>
        <v/>
      </c>
      <c r="S569" s="12">
        <f>IF($A569="","",IFS($B569="Covered Call","Covered Call Premium",$B569="Cash Secured Put","Cash Secured Put Premium",$B569="Long Call/Put","Long Call/Put P/L",$B569="Debit Spread","Long Call/Put P/L",$B569="Stock Sale","Stock Sales",TRUE,"Other"))</f>
        <v/>
      </c>
      <c r="T569" s="11">
        <f>IF($A569="","",IF($B569="Cash Secured Put",$K569*$M569*100,IF($B569="Covered Call",$K569*$M569*100,IF($H569="Stock",$M569*$N569,""))))</f>
        <v/>
      </c>
      <c r="U569" s="19">
        <f>IF(OR($A569="",$C569&lt;&gt;"Closed",$D569="",$E569="",$T569=0),"",$R569/$T569*365/MAX(1,$E569-$D569))</f>
        <v/>
      </c>
      <c r="V569" s="14" t="n"/>
      <c r="W569" s="12" t="n"/>
    </row>
    <row r="570">
      <c r="A570" s="12" t="n"/>
      <c r="B570" s="14" t="n"/>
      <c r="C570" s="14" t="n"/>
      <c r="D570" s="15" t="n"/>
      <c r="E570" s="15" t="n"/>
      <c r="F570" s="16">
        <f>IF($E570="","",DATE(YEAR($E570),MONTH($E570),1))</f>
        <v/>
      </c>
      <c r="G570" s="14" t="n"/>
      <c r="H570" s="14" t="n"/>
      <c r="I570" s="14" t="n"/>
      <c r="J570" s="14" t="n"/>
      <c r="K570" s="17" t="n"/>
      <c r="L570" s="15" t="n"/>
      <c r="M570" s="14" t="n"/>
      <c r="N570" s="17" t="n"/>
      <c r="O570" s="17" t="n"/>
      <c r="P570" s="18" t="n"/>
      <c r="Q570" s="11">
        <f>IF($A570="","",IF($H570="Stock",IF($I570="Buy",-$M570*$N570-$P570,IF($I570="Sell",IF($N570="", $M570*$O570-$P570,($O570-$N570)*$M570-$P570),"")),IF($I570="Sell",($N570-IF($O570="",0,$O570))*$M570*100-$P570,IF($I570="Buy",(IF($O570="",0,$O570)-$N570)*$M570*100-$P570,""))))</f>
        <v/>
      </c>
      <c r="R570" s="11">
        <f>IF($A570="","",IF($C570="Open","",$Q570))</f>
        <v/>
      </c>
      <c r="S570" s="12">
        <f>IF($A570="","",IFS($B570="Covered Call","Covered Call Premium",$B570="Cash Secured Put","Cash Secured Put Premium",$B570="Long Call/Put","Long Call/Put P/L",$B570="Debit Spread","Long Call/Put P/L",$B570="Stock Sale","Stock Sales",TRUE,"Other"))</f>
        <v/>
      </c>
      <c r="T570" s="11">
        <f>IF($A570="","",IF($B570="Cash Secured Put",$K570*$M570*100,IF($B570="Covered Call",$K570*$M570*100,IF($H570="Stock",$M570*$N570,""))))</f>
        <v/>
      </c>
      <c r="U570" s="19">
        <f>IF(OR($A570="",$C570&lt;&gt;"Closed",$D570="",$E570="",$T570=0),"",$R570/$T570*365/MAX(1,$E570-$D570))</f>
        <v/>
      </c>
      <c r="V570" s="14" t="n"/>
      <c r="W570" s="12" t="n"/>
    </row>
    <row r="571">
      <c r="A571" s="12" t="n"/>
      <c r="B571" s="14" t="n"/>
      <c r="C571" s="14" t="n"/>
      <c r="D571" s="15" t="n"/>
      <c r="E571" s="15" t="n"/>
      <c r="F571" s="16">
        <f>IF($E571="","",DATE(YEAR($E571),MONTH($E571),1))</f>
        <v/>
      </c>
      <c r="G571" s="14" t="n"/>
      <c r="H571" s="14" t="n"/>
      <c r="I571" s="14" t="n"/>
      <c r="J571" s="14" t="n"/>
      <c r="K571" s="17" t="n"/>
      <c r="L571" s="15" t="n"/>
      <c r="M571" s="14" t="n"/>
      <c r="N571" s="17" t="n"/>
      <c r="O571" s="17" t="n"/>
      <c r="P571" s="18" t="n"/>
      <c r="Q571" s="11">
        <f>IF($A571="","",IF($H571="Stock",IF($I571="Buy",-$M571*$N571-$P571,IF($I571="Sell",IF($N571="", $M571*$O571-$P571,($O571-$N571)*$M571-$P571),"")),IF($I571="Sell",($N571-IF($O571="",0,$O571))*$M571*100-$P571,IF($I571="Buy",(IF($O571="",0,$O571)-$N571)*$M571*100-$P571,""))))</f>
        <v/>
      </c>
      <c r="R571" s="11">
        <f>IF($A571="","",IF($C571="Open","",$Q571))</f>
        <v/>
      </c>
      <c r="S571" s="12">
        <f>IF($A571="","",IFS($B571="Covered Call","Covered Call Premium",$B571="Cash Secured Put","Cash Secured Put Premium",$B571="Long Call/Put","Long Call/Put P/L",$B571="Debit Spread","Long Call/Put P/L",$B571="Stock Sale","Stock Sales",TRUE,"Other"))</f>
        <v/>
      </c>
      <c r="T571" s="11">
        <f>IF($A571="","",IF($B571="Cash Secured Put",$K571*$M571*100,IF($B571="Covered Call",$K571*$M571*100,IF($H571="Stock",$M571*$N571,""))))</f>
        <v/>
      </c>
      <c r="U571" s="19">
        <f>IF(OR($A571="",$C571&lt;&gt;"Closed",$D571="",$E571="",$T571=0),"",$R571/$T571*365/MAX(1,$E571-$D571))</f>
        <v/>
      </c>
      <c r="V571" s="14" t="n"/>
      <c r="W571" s="12" t="n"/>
    </row>
    <row r="572">
      <c r="A572" s="12" t="n"/>
      <c r="B572" s="14" t="n"/>
      <c r="C572" s="14" t="n"/>
      <c r="D572" s="15" t="n"/>
      <c r="E572" s="15" t="n"/>
      <c r="F572" s="16">
        <f>IF($E572="","",DATE(YEAR($E572),MONTH($E572),1))</f>
        <v/>
      </c>
      <c r="G572" s="14" t="n"/>
      <c r="H572" s="14" t="n"/>
      <c r="I572" s="14" t="n"/>
      <c r="J572" s="14" t="n"/>
      <c r="K572" s="17" t="n"/>
      <c r="L572" s="15" t="n"/>
      <c r="M572" s="14" t="n"/>
      <c r="N572" s="17" t="n"/>
      <c r="O572" s="17" t="n"/>
      <c r="P572" s="18" t="n"/>
      <c r="Q572" s="11">
        <f>IF($A572="","",IF($H572="Stock",IF($I572="Buy",-$M572*$N572-$P572,IF($I572="Sell",IF($N572="", $M572*$O572-$P572,($O572-$N572)*$M572-$P572),"")),IF($I572="Sell",($N572-IF($O572="",0,$O572))*$M572*100-$P572,IF($I572="Buy",(IF($O572="",0,$O572)-$N572)*$M572*100-$P572,""))))</f>
        <v/>
      </c>
      <c r="R572" s="11">
        <f>IF($A572="","",IF($C572="Open","",$Q572))</f>
        <v/>
      </c>
      <c r="S572" s="12">
        <f>IF($A572="","",IFS($B572="Covered Call","Covered Call Premium",$B572="Cash Secured Put","Cash Secured Put Premium",$B572="Long Call/Put","Long Call/Put P/L",$B572="Debit Spread","Long Call/Put P/L",$B572="Stock Sale","Stock Sales",TRUE,"Other"))</f>
        <v/>
      </c>
      <c r="T572" s="11">
        <f>IF($A572="","",IF($B572="Cash Secured Put",$K572*$M572*100,IF($B572="Covered Call",$K572*$M572*100,IF($H572="Stock",$M572*$N572,""))))</f>
        <v/>
      </c>
      <c r="U572" s="19">
        <f>IF(OR($A572="",$C572&lt;&gt;"Closed",$D572="",$E572="",$T572=0),"",$R572/$T572*365/MAX(1,$E572-$D572))</f>
        <v/>
      </c>
      <c r="V572" s="14" t="n"/>
      <c r="W572" s="12" t="n"/>
    </row>
    <row r="573">
      <c r="A573" s="12" t="n"/>
      <c r="B573" s="14" t="n"/>
      <c r="C573" s="14" t="n"/>
      <c r="D573" s="15" t="n"/>
      <c r="E573" s="15" t="n"/>
      <c r="F573" s="16">
        <f>IF($E573="","",DATE(YEAR($E573),MONTH($E573),1))</f>
        <v/>
      </c>
      <c r="G573" s="14" t="n"/>
      <c r="H573" s="14" t="n"/>
      <c r="I573" s="14" t="n"/>
      <c r="J573" s="14" t="n"/>
      <c r="K573" s="17" t="n"/>
      <c r="L573" s="15" t="n"/>
      <c r="M573" s="14" t="n"/>
      <c r="N573" s="17" t="n"/>
      <c r="O573" s="17" t="n"/>
      <c r="P573" s="18" t="n"/>
      <c r="Q573" s="11">
        <f>IF($A573="","",IF($H573="Stock",IF($I573="Buy",-$M573*$N573-$P573,IF($I573="Sell",IF($N573="", $M573*$O573-$P573,($O573-$N573)*$M573-$P573),"")),IF($I573="Sell",($N573-IF($O573="",0,$O573))*$M573*100-$P573,IF($I573="Buy",(IF($O573="",0,$O573)-$N573)*$M573*100-$P573,""))))</f>
        <v/>
      </c>
      <c r="R573" s="11">
        <f>IF($A573="","",IF($C573="Open","",$Q573))</f>
        <v/>
      </c>
      <c r="S573" s="12">
        <f>IF($A573="","",IFS($B573="Covered Call","Covered Call Premium",$B573="Cash Secured Put","Cash Secured Put Premium",$B573="Long Call/Put","Long Call/Put P/L",$B573="Debit Spread","Long Call/Put P/L",$B573="Stock Sale","Stock Sales",TRUE,"Other"))</f>
        <v/>
      </c>
      <c r="T573" s="11">
        <f>IF($A573="","",IF($B573="Cash Secured Put",$K573*$M573*100,IF($B573="Covered Call",$K573*$M573*100,IF($H573="Stock",$M573*$N573,""))))</f>
        <v/>
      </c>
      <c r="U573" s="19">
        <f>IF(OR($A573="",$C573&lt;&gt;"Closed",$D573="",$E573="",$T573=0),"",$R573/$T573*365/MAX(1,$E573-$D573))</f>
        <v/>
      </c>
      <c r="V573" s="14" t="n"/>
      <c r="W573" s="12" t="n"/>
    </row>
    <row r="574">
      <c r="A574" s="12" t="n"/>
      <c r="B574" s="14" t="n"/>
      <c r="C574" s="14" t="n"/>
      <c r="D574" s="15" t="n"/>
      <c r="E574" s="15" t="n"/>
      <c r="F574" s="16">
        <f>IF($E574="","",DATE(YEAR($E574),MONTH($E574),1))</f>
        <v/>
      </c>
      <c r="G574" s="14" t="n"/>
      <c r="H574" s="14" t="n"/>
      <c r="I574" s="14" t="n"/>
      <c r="J574" s="14" t="n"/>
      <c r="K574" s="17" t="n"/>
      <c r="L574" s="15" t="n"/>
      <c r="M574" s="14" t="n"/>
      <c r="N574" s="17" t="n"/>
      <c r="O574" s="17" t="n"/>
      <c r="P574" s="18" t="n"/>
      <c r="Q574" s="11">
        <f>IF($A574="","",IF($H574="Stock",IF($I574="Buy",-$M574*$N574-$P574,IF($I574="Sell",IF($N574="", $M574*$O574-$P574,($O574-$N574)*$M574-$P574),"")),IF($I574="Sell",($N574-IF($O574="",0,$O574))*$M574*100-$P574,IF($I574="Buy",(IF($O574="",0,$O574)-$N574)*$M574*100-$P574,""))))</f>
        <v/>
      </c>
      <c r="R574" s="11">
        <f>IF($A574="","",IF($C574="Open","",$Q574))</f>
        <v/>
      </c>
      <c r="S574" s="12">
        <f>IF($A574="","",IFS($B574="Covered Call","Covered Call Premium",$B574="Cash Secured Put","Cash Secured Put Premium",$B574="Long Call/Put","Long Call/Put P/L",$B574="Debit Spread","Long Call/Put P/L",$B574="Stock Sale","Stock Sales",TRUE,"Other"))</f>
        <v/>
      </c>
      <c r="T574" s="11">
        <f>IF($A574="","",IF($B574="Cash Secured Put",$K574*$M574*100,IF($B574="Covered Call",$K574*$M574*100,IF($H574="Stock",$M574*$N574,""))))</f>
        <v/>
      </c>
      <c r="U574" s="19">
        <f>IF(OR($A574="",$C574&lt;&gt;"Closed",$D574="",$E574="",$T574=0),"",$R574/$T574*365/MAX(1,$E574-$D574))</f>
        <v/>
      </c>
      <c r="V574" s="14" t="n"/>
      <c r="W574" s="12" t="n"/>
    </row>
    <row r="575">
      <c r="A575" s="12" t="n"/>
      <c r="B575" s="14" t="n"/>
      <c r="C575" s="14" t="n"/>
      <c r="D575" s="15" t="n"/>
      <c r="E575" s="15" t="n"/>
      <c r="F575" s="16">
        <f>IF($E575="","",DATE(YEAR($E575),MONTH($E575),1))</f>
        <v/>
      </c>
      <c r="G575" s="14" t="n"/>
      <c r="H575" s="14" t="n"/>
      <c r="I575" s="14" t="n"/>
      <c r="J575" s="14" t="n"/>
      <c r="K575" s="17" t="n"/>
      <c r="L575" s="15" t="n"/>
      <c r="M575" s="14" t="n"/>
      <c r="N575" s="17" t="n"/>
      <c r="O575" s="17" t="n"/>
      <c r="P575" s="18" t="n"/>
      <c r="Q575" s="11">
        <f>IF($A575="","",IF($H575="Stock",IF($I575="Buy",-$M575*$N575-$P575,IF($I575="Sell",IF($N575="", $M575*$O575-$P575,($O575-$N575)*$M575-$P575),"")),IF($I575="Sell",($N575-IF($O575="",0,$O575))*$M575*100-$P575,IF($I575="Buy",(IF($O575="",0,$O575)-$N575)*$M575*100-$P575,""))))</f>
        <v/>
      </c>
      <c r="R575" s="11">
        <f>IF($A575="","",IF($C575="Open","",$Q575))</f>
        <v/>
      </c>
      <c r="S575" s="12">
        <f>IF($A575="","",IFS($B575="Covered Call","Covered Call Premium",$B575="Cash Secured Put","Cash Secured Put Premium",$B575="Long Call/Put","Long Call/Put P/L",$B575="Debit Spread","Long Call/Put P/L",$B575="Stock Sale","Stock Sales",TRUE,"Other"))</f>
        <v/>
      </c>
      <c r="T575" s="11">
        <f>IF($A575="","",IF($B575="Cash Secured Put",$K575*$M575*100,IF($B575="Covered Call",$K575*$M575*100,IF($H575="Stock",$M575*$N575,""))))</f>
        <v/>
      </c>
      <c r="U575" s="19">
        <f>IF(OR($A575="",$C575&lt;&gt;"Closed",$D575="",$E575="",$T575=0),"",$R575/$T575*365/MAX(1,$E575-$D575))</f>
        <v/>
      </c>
      <c r="V575" s="14" t="n"/>
      <c r="W575" s="12" t="n"/>
    </row>
    <row r="576">
      <c r="A576" s="12" t="n"/>
      <c r="B576" s="14" t="n"/>
      <c r="C576" s="14" t="n"/>
      <c r="D576" s="15" t="n"/>
      <c r="E576" s="15" t="n"/>
      <c r="F576" s="16">
        <f>IF($E576="","",DATE(YEAR($E576),MONTH($E576),1))</f>
        <v/>
      </c>
      <c r="G576" s="14" t="n"/>
      <c r="H576" s="14" t="n"/>
      <c r="I576" s="14" t="n"/>
      <c r="J576" s="14" t="n"/>
      <c r="K576" s="17" t="n"/>
      <c r="L576" s="15" t="n"/>
      <c r="M576" s="14" t="n"/>
      <c r="N576" s="17" t="n"/>
      <c r="O576" s="17" t="n"/>
      <c r="P576" s="18" t="n"/>
      <c r="Q576" s="11">
        <f>IF($A576="","",IF($H576="Stock",IF($I576="Buy",-$M576*$N576-$P576,IF($I576="Sell",IF($N576="", $M576*$O576-$P576,($O576-$N576)*$M576-$P576),"")),IF($I576="Sell",($N576-IF($O576="",0,$O576))*$M576*100-$P576,IF($I576="Buy",(IF($O576="",0,$O576)-$N576)*$M576*100-$P576,""))))</f>
        <v/>
      </c>
      <c r="R576" s="11">
        <f>IF($A576="","",IF($C576="Open","",$Q576))</f>
        <v/>
      </c>
      <c r="S576" s="12">
        <f>IF($A576="","",IFS($B576="Covered Call","Covered Call Premium",$B576="Cash Secured Put","Cash Secured Put Premium",$B576="Long Call/Put","Long Call/Put P/L",$B576="Debit Spread","Long Call/Put P/L",$B576="Stock Sale","Stock Sales",TRUE,"Other"))</f>
        <v/>
      </c>
      <c r="T576" s="11">
        <f>IF($A576="","",IF($B576="Cash Secured Put",$K576*$M576*100,IF($B576="Covered Call",$K576*$M576*100,IF($H576="Stock",$M576*$N576,""))))</f>
        <v/>
      </c>
      <c r="U576" s="19">
        <f>IF(OR($A576="",$C576&lt;&gt;"Closed",$D576="",$E576="",$T576=0),"",$R576/$T576*365/MAX(1,$E576-$D576))</f>
        <v/>
      </c>
      <c r="V576" s="14" t="n"/>
      <c r="W576" s="12" t="n"/>
    </row>
    <row r="577">
      <c r="A577" s="12" t="n"/>
      <c r="B577" s="14" t="n"/>
      <c r="C577" s="14" t="n"/>
      <c r="D577" s="15" t="n"/>
      <c r="E577" s="15" t="n"/>
      <c r="F577" s="16">
        <f>IF($E577="","",DATE(YEAR($E577),MONTH($E577),1))</f>
        <v/>
      </c>
      <c r="G577" s="14" t="n"/>
      <c r="H577" s="14" t="n"/>
      <c r="I577" s="14" t="n"/>
      <c r="J577" s="14" t="n"/>
      <c r="K577" s="17" t="n"/>
      <c r="L577" s="15" t="n"/>
      <c r="M577" s="14" t="n"/>
      <c r="N577" s="17" t="n"/>
      <c r="O577" s="17" t="n"/>
      <c r="P577" s="18" t="n"/>
      <c r="Q577" s="11">
        <f>IF($A577="","",IF($H577="Stock",IF($I577="Buy",-$M577*$N577-$P577,IF($I577="Sell",IF($N577="", $M577*$O577-$P577,($O577-$N577)*$M577-$P577),"")),IF($I577="Sell",($N577-IF($O577="",0,$O577))*$M577*100-$P577,IF($I577="Buy",(IF($O577="",0,$O577)-$N577)*$M577*100-$P577,""))))</f>
        <v/>
      </c>
      <c r="R577" s="11">
        <f>IF($A577="","",IF($C577="Open","",$Q577))</f>
        <v/>
      </c>
      <c r="S577" s="12">
        <f>IF($A577="","",IFS($B577="Covered Call","Covered Call Premium",$B577="Cash Secured Put","Cash Secured Put Premium",$B577="Long Call/Put","Long Call/Put P/L",$B577="Debit Spread","Long Call/Put P/L",$B577="Stock Sale","Stock Sales",TRUE,"Other"))</f>
        <v/>
      </c>
      <c r="T577" s="11">
        <f>IF($A577="","",IF($B577="Cash Secured Put",$K577*$M577*100,IF($B577="Covered Call",$K577*$M577*100,IF($H577="Stock",$M577*$N577,""))))</f>
        <v/>
      </c>
      <c r="U577" s="19">
        <f>IF(OR($A577="",$C577&lt;&gt;"Closed",$D577="",$E577="",$T577=0),"",$R577/$T577*365/MAX(1,$E577-$D577))</f>
        <v/>
      </c>
      <c r="V577" s="14" t="n"/>
      <c r="W577" s="12" t="n"/>
    </row>
    <row r="578">
      <c r="A578" s="12" t="n"/>
      <c r="B578" s="14" t="n"/>
      <c r="C578" s="14" t="n"/>
      <c r="D578" s="15" t="n"/>
      <c r="E578" s="15" t="n"/>
      <c r="F578" s="16">
        <f>IF($E578="","",DATE(YEAR($E578),MONTH($E578),1))</f>
        <v/>
      </c>
      <c r="G578" s="14" t="n"/>
      <c r="H578" s="14" t="n"/>
      <c r="I578" s="14" t="n"/>
      <c r="J578" s="14" t="n"/>
      <c r="K578" s="17" t="n"/>
      <c r="L578" s="15" t="n"/>
      <c r="M578" s="14" t="n"/>
      <c r="N578" s="17" t="n"/>
      <c r="O578" s="17" t="n"/>
      <c r="P578" s="18" t="n"/>
      <c r="Q578" s="11">
        <f>IF($A578="","",IF($H578="Stock",IF($I578="Buy",-$M578*$N578-$P578,IF($I578="Sell",IF($N578="", $M578*$O578-$P578,($O578-$N578)*$M578-$P578),"")),IF($I578="Sell",($N578-IF($O578="",0,$O578))*$M578*100-$P578,IF($I578="Buy",(IF($O578="",0,$O578)-$N578)*$M578*100-$P578,""))))</f>
        <v/>
      </c>
      <c r="R578" s="11">
        <f>IF($A578="","",IF($C578="Open","",$Q578))</f>
        <v/>
      </c>
      <c r="S578" s="12">
        <f>IF($A578="","",IFS($B578="Covered Call","Covered Call Premium",$B578="Cash Secured Put","Cash Secured Put Premium",$B578="Long Call/Put","Long Call/Put P/L",$B578="Debit Spread","Long Call/Put P/L",$B578="Stock Sale","Stock Sales",TRUE,"Other"))</f>
        <v/>
      </c>
      <c r="T578" s="11">
        <f>IF($A578="","",IF($B578="Cash Secured Put",$K578*$M578*100,IF($B578="Covered Call",$K578*$M578*100,IF($H578="Stock",$M578*$N578,""))))</f>
        <v/>
      </c>
      <c r="U578" s="19">
        <f>IF(OR($A578="",$C578&lt;&gt;"Closed",$D578="",$E578="",$T578=0),"",$R578/$T578*365/MAX(1,$E578-$D578))</f>
        <v/>
      </c>
      <c r="V578" s="14" t="n"/>
      <c r="W578" s="12" t="n"/>
    </row>
    <row r="579">
      <c r="A579" s="12" t="n"/>
      <c r="B579" s="14" t="n"/>
      <c r="C579" s="14" t="n"/>
      <c r="D579" s="15" t="n"/>
      <c r="E579" s="15" t="n"/>
      <c r="F579" s="16">
        <f>IF($E579="","",DATE(YEAR($E579),MONTH($E579),1))</f>
        <v/>
      </c>
      <c r="G579" s="14" t="n"/>
      <c r="H579" s="14" t="n"/>
      <c r="I579" s="14" t="n"/>
      <c r="J579" s="14" t="n"/>
      <c r="K579" s="17" t="n"/>
      <c r="L579" s="15" t="n"/>
      <c r="M579" s="14" t="n"/>
      <c r="N579" s="17" t="n"/>
      <c r="O579" s="17" t="n"/>
      <c r="P579" s="18" t="n"/>
      <c r="Q579" s="11">
        <f>IF($A579="","",IF($H579="Stock",IF($I579="Buy",-$M579*$N579-$P579,IF($I579="Sell",IF($N579="", $M579*$O579-$P579,($O579-$N579)*$M579-$P579),"")),IF($I579="Sell",($N579-IF($O579="",0,$O579))*$M579*100-$P579,IF($I579="Buy",(IF($O579="",0,$O579)-$N579)*$M579*100-$P579,""))))</f>
        <v/>
      </c>
      <c r="R579" s="11">
        <f>IF($A579="","",IF($C579="Open","",$Q579))</f>
        <v/>
      </c>
      <c r="S579" s="12">
        <f>IF($A579="","",IFS($B579="Covered Call","Covered Call Premium",$B579="Cash Secured Put","Cash Secured Put Premium",$B579="Long Call/Put","Long Call/Put P/L",$B579="Debit Spread","Long Call/Put P/L",$B579="Stock Sale","Stock Sales",TRUE,"Other"))</f>
        <v/>
      </c>
      <c r="T579" s="11">
        <f>IF($A579="","",IF($B579="Cash Secured Put",$K579*$M579*100,IF($B579="Covered Call",$K579*$M579*100,IF($H579="Stock",$M579*$N579,""))))</f>
        <v/>
      </c>
      <c r="U579" s="19">
        <f>IF(OR($A579="",$C579&lt;&gt;"Closed",$D579="",$E579="",$T579=0),"",$R579/$T579*365/MAX(1,$E579-$D579))</f>
        <v/>
      </c>
      <c r="V579" s="14" t="n"/>
      <c r="W579" s="12" t="n"/>
    </row>
    <row r="580">
      <c r="A580" s="12" t="n"/>
      <c r="B580" s="14" t="n"/>
      <c r="C580" s="14" t="n"/>
      <c r="D580" s="15" t="n"/>
      <c r="E580" s="15" t="n"/>
      <c r="F580" s="16">
        <f>IF($E580="","",DATE(YEAR($E580),MONTH($E580),1))</f>
        <v/>
      </c>
      <c r="G580" s="14" t="n"/>
      <c r="H580" s="14" t="n"/>
      <c r="I580" s="14" t="n"/>
      <c r="J580" s="14" t="n"/>
      <c r="K580" s="17" t="n"/>
      <c r="L580" s="15" t="n"/>
      <c r="M580" s="14" t="n"/>
      <c r="N580" s="17" t="n"/>
      <c r="O580" s="17" t="n"/>
      <c r="P580" s="18" t="n"/>
      <c r="Q580" s="11">
        <f>IF($A580="","",IF($H580="Stock",IF($I580="Buy",-$M580*$N580-$P580,IF($I580="Sell",IF($N580="", $M580*$O580-$P580,($O580-$N580)*$M580-$P580),"")),IF($I580="Sell",($N580-IF($O580="",0,$O580))*$M580*100-$P580,IF($I580="Buy",(IF($O580="",0,$O580)-$N580)*$M580*100-$P580,""))))</f>
        <v/>
      </c>
      <c r="R580" s="11">
        <f>IF($A580="","",IF($C580="Open","",$Q580))</f>
        <v/>
      </c>
      <c r="S580" s="12">
        <f>IF($A580="","",IFS($B580="Covered Call","Covered Call Premium",$B580="Cash Secured Put","Cash Secured Put Premium",$B580="Long Call/Put","Long Call/Put P/L",$B580="Debit Spread","Long Call/Put P/L",$B580="Stock Sale","Stock Sales",TRUE,"Other"))</f>
        <v/>
      </c>
      <c r="T580" s="11">
        <f>IF($A580="","",IF($B580="Cash Secured Put",$K580*$M580*100,IF($B580="Covered Call",$K580*$M580*100,IF($H580="Stock",$M580*$N580,""))))</f>
        <v/>
      </c>
      <c r="U580" s="19">
        <f>IF(OR($A580="",$C580&lt;&gt;"Closed",$D580="",$E580="",$T580=0),"",$R580/$T580*365/MAX(1,$E580-$D580))</f>
        <v/>
      </c>
      <c r="V580" s="14" t="n"/>
      <c r="W580" s="12" t="n"/>
    </row>
    <row r="581">
      <c r="A581" s="12" t="n"/>
      <c r="B581" s="14" t="n"/>
      <c r="C581" s="14" t="n"/>
      <c r="D581" s="15" t="n"/>
      <c r="E581" s="15" t="n"/>
      <c r="F581" s="16">
        <f>IF($E581="","",DATE(YEAR($E581),MONTH($E581),1))</f>
        <v/>
      </c>
      <c r="G581" s="14" t="n"/>
      <c r="H581" s="14" t="n"/>
      <c r="I581" s="14" t="n"/>
      <c r="J581" s="14" t="n"/>
      <c r="K581" s="17" t="n"/>
      <c r="L581" s="15" t="n"/>
      <c r="M581" s="14" t="n"/>
      <c r="N581" s="17" t="n"/>
      <c r="O581" s="17" t="n"/>
      <c r="P581" s="18" t="n"/>
      <c r="Q581" s="11">
        <f>IF($A581="","",IF($H581="Stock",IF($I581="Buy",-$M581*$N581-$P581,IF($I581="Sell",IF($N581="", $M581*$O581-$P581,($O581-$N581)*$M581-$P581),"")),IF($I581="Sell",($N581-IF($O581="",0,$O581))*$M581*100-$P581,IF($I581="Buy",(IF($O581="",0,$O581)-$N581)*$M581*100-$P581,""))))</f>
        <v/>
      </c>
      <c r="R581" s="11">
        <f>IF($A581="","",IF($C581="Open","",$Q581))</f>
        <v/>
      </c>
      <c r="S581" s="12">
        <f>IF($A581="","",IFS($B581="Covered Call","Covered Call Premium",$B581="Cash Secured Put","Cash Secured Put Premium",$B581="Long Call/Put","Long Call/Put P/L",$B581="Debit Spread","Long Call/Put P/L",$B581="Stock Sale","Stock Sales",TRUE,"Other"))</f>
        <v/>
      </c>
      <c r="T581" s="11">
        <f>IF($A581="","",IF($B581="Cash Secured Put",$K581*$M581*100,IF($B581="Covered Call",$K581*$M581*100,IF($H581="Stock",$M581*$N581,""))))</f>
        <v/>
      </c>
      <c r="U581" s="19">
        <f>IF(OR($A581="",$C581&lt;&gt;"Closed",$D581="",$E581="",$T581=0),"",$R581/$T581*365/MAX(1,$E581-$D581))</f>
        <v/>
      </c>
      <c r="V581" s="14" t="n"/>
      <c r="W581" s="12" t="n"/>
    </row>
    <row r="582">
      <c r="A582" s="12" t="n"/>
      <c r="B582" s="14" t="n"/>
      <c r="C582" s="14" t="n"/>
      <c r="D582" s="15" t="n"/>
      <c r="E582" s="15" t="n"/>
      <c r="F582" s="16">
        <f>IF($E582="","",DATE(YEAR($E582),MONTH($E582),1))</f>
        <v/>
      </c>
      <c r="G582" s="14" t="n"/>
      <c r="H582" s="14" t="n"/>
      <c r="I582" s="14" t="n"/>
      <c r="J582" s="14" t="n"/>
      <c r="K582" s="17" t="n"/>
      <c r="L582" s="15" t="n"/>
      <c r="M582" s="14" t="n"/>
      <c r="N582" s="17" t="n"/>
      <c r="O582" s="17" t="n"/>
      <c r="P582" s="18" t="n"/>
      <c r="Q582" s="11">
        <f>IF($A582="","",IF($H582="Stock",IF($I582="Buy",-$M582*$N582-$P582,IF($I582="Sell",IF($N582="", $M582*$O582-$P582,($O582-$N582)*$M582-$P582),"")),IF($I582="Sell",($N582-IF($O582="",0,$O582))*$M582*100-$P582,IF($I582="Buy",(IF($O582="",0,$O582)-$N582)*$M582*100-$P582,""))))</f>
        <v/>
      </c>
      <c r="R582" s="11">
        <f>IF($A582="","",IF($C582="Open","",$Q582))</f>
        <v/>
      </c>
      <c r="S582" s="12">
        <f>IF($A582="","",IFS($B582="Covered Call","Covered Call Premium",$B582="Cash Secured Put","Cash Secured Put Premium",$B582="Long Call/Put","Long Call/Put P/L",$B582="Debit Spread","Long Call/Put P/L",$B582="Stock Sale","Stock Sales",TRUE,"Other"))</f>
        <v/>
      </c>
      <c r="T582" s="11">
        <f>IF($A582="","",IF($B582="Cash Secured Put",$K582*$M582*100,IF($B582="Covered Call",$K582*$M582*100,IF($H582="Stock",$M582*$N582,""))))</f>
        <v/>
      </c>
      <c r="U582" s="19">
        <f>IF(OR($A582="",$C582&lt;&gt;"Closed",$D582="",$E582="",$T582=0),"",$R582/$T582*365/MAX(1,$E582-$D582))</f>
        <v/>
      </c>
      <c r="V582" s="14" t="n"/>
      <c r="W582" s="12" t="n"/>
    </row>
    <row r="583">
      <c r="A583" s="12" t="n"/>
      <c r="B583" s="14" t="n"/>
      <c r="C583" s="14" t="n"/>
      <c r="D583" s="15" t="n"/>
      <c r="E583" s="15" t="n"/>
      <c r="F583" s="16">
        <f>IF($E583="","",DATE(YEAR($E583),MONTH($E583),1))</f>
        <v/>
      </c>
      <c r="G583" s="14" t="n"/>
      <c r="H583" s="14" t="n"/>
      <c r="I583" s="14" t="n"/>
      <c r="J583" s="14" t="n"/>
      <c r="K583" s="17" t="n"/>
      <c r="L583" s="15" t="n"/>
      <c r="M583" s="14" t="n"/>
      <c r="N583" s="17" t="n"/>
      <c r="O583" s="17" t="n"/>
      <c r="P583" s="18" t="n"/>
      <c r="Q583" s="11">
        <f>IF($A583="","",IF($H583="Stock",IF($I583="Buy",-$M583*$N583-$P583,IF($I583="Sell",IF($N583="", $M583*$O583-$P583,($O583-$N583)*$M583-$P583),"")),IF($I583="Sell",($N583-IF($O583="",0,$O583))*$M583*100-$P583,IF($I583="Buy",(IF($O583="",0,$O583)-$N583)*$M583*100-$P583,""))))</f>
        <v/>
      </c>
      <c r="R583" s="11">
        <f>IF($A583="","",IF($C583="Open","",$Q583))</f>
        <v/>
      </c>
      <c r="S583" s="12">
        <f>IF($A583="","",IFS($B583="Covered Call","Covered Call Premium",$B583="Cash Secured Put","Cash Secured Put Premium",$B583="Long Call/Put","Long Call/Put P/L",$B583="Debit Spread","Long Call/Put P/L",$B583="Stock Sale","Stock Sales",TRUE,"Other"))</f>
        <v/>
      </c>
      <c r="T583" s="11">
        <f>IF($A583="","",IF($B583="Cash Secured Put",$K583*$M583*100,IF($B583="Covered Call",$K583*$M583*100,IF($H583="Stock",$M583*$N583,""))))</f>
        <v/>
      </c>
      <c r="U583" s="19">
        <f>IF(OR($A583="",$C583&lt;&gt;"Closed",$D583="",$E583="",$T583=0),"",$R583/$T583*365/MAX(1,$E583-$D583))</f>
        <v/>
      </c>
      <c r="V583" s="14" t="n"/>
      <c r="W583" s="12" t="n"/>
    </row>
    <row r="584">
      <c r="A584" s="12" t="n"/>
      <c r="B584" s="14" t="n"/>
      <c r="C584" s="14" t="n"/>
      <c r="D584" s="15" t="n"/>
      <c r="E584" s="15" t="n"/>
      <c r="F584" s="16">
        <f>IF($E584="","",DATE(YEAR($E584),MONTH($E584),1))</f>
        <v/>
      </c>
      <c r="G584" s="14" t="n"/>
      <c r="H584" s="14" t="n"/>
      <c r="I584" s="14" t="n"/>
      <c r="J584" s="14" t="n"/>
      <c r="K584" s="17" t="n"/>
      <c r="L584" s="15" t="n"/>
      <c r="M584" s="14" t="n"/>
      <c r="N584" s="17" t="n"/>
      <c r="O584" s="17" t="n"/>
      <c r="P584" s="18" t="n"/>
      <c r="Q584" s="11">
        <f>IF($A584="","",IF($H584="Stock",IF($I584="Buy",-$M584*$N584-$P584,IF($I584="Sell",IF($N584="", $M584*$O584-$P584,($O584-$N584)*$M584-$P584),"")),IF($I584="Sell",($N584-IF($O584="",0,$O584))*$M584*100-$P584,IF($I584="Buy",(IF($O584="",0,$O584)-$N584)*$M584*100-$P584,""))))</f>
        <v/>
      </c>
      <c r="R584" s="11">
        <f>IF($A584="","",IF($C584="Open","",$Q584))</f>
        <v/>
      </c>
      <c r="S584" s="12">
        <f>IF($A584="","",IFS($B584="Covered Call","Covered Call Premium",$B584="Cash Secured Put","Cash Secured Put Premium",$B584="Long Call/Put","Long Call/Put P/L",$B584="Debit Spread","Long Call/Put P/L",$B584="Stock Sale","Stock Sales",TRUE,"Other"))</f>
        <v/>
      </c>
      <c r="T584" s="11">
        <f>IF($A584="","",IF($B584="Cash Secured Put",$K584*$M584*100,IF($B584="Covered Call",$K584*$M584*100,IF($H584="Stock",$M584*$N584,""))))</f>
        <v/>
      </c>
      <c r="U584" s="19">
        <f>IF(OR($A584="",$C584&lt;&gt;"Closed",$D584="",$E584="",$T584=0),"",$R584/$T584*365/MAX(1,$E584-$D584))</f>
        <v/>
      </c>
      <c r="V584" s="14" t="n"/>
      <c r="W584" s="12" t="n"/>
    </row>
    <row r="585">
      <c r="A585" s="12" t="n"/>
      <c r="B585" s="14" t="n"/>
      <c r="C585" s="14" t="n"/>
      <c r="D585" s="15" t="n"/>
      <c r="E585" s="15" t="n"/>
      <c r="F585" s="16">
        <f>IF($E585="","",DATE(YEAR($E585),MONTH($E585),1))</f>
        <v/>
      </c>
      <c r="G585" s="14" t="n"/>
      <c r="H585" s="14" t="n"/>
      <c r="I585" s="14" t="n"/>
      <c r="J585" s="14" t="n"/>
      <c r="K585" s="17" t="n"/>
      <c r="L585" s="15" t="n"/>
      <c r="M585" s="14" t="n"/>
      <c r="N585" s="17" t="n"/>
      <c r="O585" s="17" t="n"/>
      <c r="P585" s="18" t="n"/>
      <c r="Q585" s="11">
        <f>IF($A585="","",IF($H585="Stock",IF($I585="Buy",-$M585*$N585-$P585,IF($I585="Sell",IF($N585="", $M585*$O585-$P585,($O585-$N585)*$M585-$P585),"")),IF($I585="Sell",($N585-IF($O585="",0,$O585))*$M585*100-$P585,IF($I585="Buy",(IF($O585="",0,$O585)-$N585)*$M585*100-$P585,""))))</f>
        <v/>
      </c>
      <c r="R585" s="11">
        <f>IF($A585="","",IF($C585="Open","",$Q585))</f>
        <v/>
      </c>
      <c r="S585" s="12">
        <f>IF($A585="","",IFS($B585="Covered Call","Covered Call Premium",$B585="Cash Secured Put","Cash Secured Put Premium",$B585="Long Call/Put","Long Call/Put P/L",$B585="Debit Spread","Long Call/Put P/L",$B585="Stock Sale","Stock Sales",TRUE,"Other"))</f>
        <v/>
      </c>
      <c r="T585" s="11">
        <f>IF($A585="","",IF($B585="Cash Secured Put",$K585*$M585*100,IF($B585="Covered Call",$K585*$M585*100,IF($H585="Stock",$M585*$N585,""))))</f>
        <v/>
      </c>
      <c r="U585" s="19">
        <f>IF(OR($A585="",$C585&lt;&gt;"Closed",$D585="",$E585="",$T585=0),"",$R585/$T585*365/MAX(1,$E585-$D585))</f>
        <v/>
      </c>
      <c r="V585" s="14" t="n"/>
      <c r="W585" s="12" t="n"/>
    </row>
    <row r="586">
      <c r="A586" s="12" t="n"/>
      <c r="B586" s="14" t="n"/>
      <c r="C586" s="14" t="n"/>
      <c r="D586" s="15" t="n"/>
      <c r="E586" s="15" t="n"/>
      <c r="F586" s="16">
        <f>IF($E586="","",DATE(YEAR($E586),MONTH($E586),1))</f>
        <v/>
      </c>
      <c r="G586" s="14" t="n"/>
      <c r="H586" s="14" t="n"/>
      <c r="I586" s="14" t="n"/>
      <c r="J586" s="14" t="n"/>
      <c r="K586" s="17" t="n"/>
      <c r="L586" s="15" t="n"/>
      <c r="M586" s="14" t="n"/>
      <c r="N586" s="17" t="n"/>
      <c r="O586" s="17" t="n"/>
      <c r="P586" s="18" t="n"/>
      <c r="Q586" s="11">
        <f>IF($A586="","",IF($H586="Stock",IF($I586="Buy",-$M586*$N586-$P586,IF($I586="Sell",IF($N586="", $M586*$O586-$P586,($O586-$N586)*$M586-$P586),"")),IF($I586="Sell",($N586-IF($O586="",0,$O586))*$M586*100-$P586,IF($I586="Buy",(IF($O586="",0,$O586)-$N586)*$M586*100-$P586,""))))</f>
        <v/>
      </c>
      <c r="R586" s="11">
        <f>IF($A586="","",IF($C586="Open","",$Q586))</f>
        <v/>
      </c>
      <c r="S586" s="12">
        <f>IF($A586="","",IFS($B586="Covered Call","Covered Call Premium",$B586="Cash Secured Put","Cash Secured Put Premium",$B586="Long Call/Put","Long Call/Put P/L",$B586="Debit Spread","Long Call/Put P/L",$B586="Stock Sale","Stock Sales",TRUE,"Other"))</f>
        <v/>
      </c>
      <c r="T586" s="11">
        <f>IF($A586="","",IF($B586="Cash Secured Put",$K586*$M586*100,IF($B586="Covered Call",$K586*$M586*100,IF($H586="Stock",$M586*$N586,""))))</f>
        <v/>
      </c>
      <c r="U586" s="19">
        <f>IF(OR($A586="",$C586&lt;&gt;"Closed",$D586="",$E586="",$T586=0),"",$R586/$T586*365/MAX(1,$E586-$D586))</f>
        <v/>
      </c>
      <c r="V586" s="14" t="n"/>
      <c r="W586" s="12" t="n"/>
    </row>
    <row r="587">
      <c r="A587" s="12" t="n"/>
      <c r="B587" s="14" t="n"/>
      <c r="C587" s="14" t="n"/>
      <c r="D587" s="15" t="n"/>
      <c r="E587" s="15" t="n"/>
      <c r="F587" s="16">
        <f>IF($E587="","",DATE(YEAR($E587),MONTH($E587),1))</f>
        <v/>
      </c>
      <c r="G587" s="14" t="n"/>
      <c r="H587" s="14" t="n"/>
      <c r="I587" s="14" t="n"/>
      <c r="J587" s="14" t="n"/>
      <c r="K587" s="17" t="n"/>
      <c r="L587" s="15" t="n"/>
      <c r="M587" s="14" t="n"/>
      <c r="N587" s="17" t="n"/>
      <c r="O587" s="17" t="n"/>
      <c r="P587" s="18" t="n"/>
      <c r="Q587" s="11">
        <f>IF($A587="","",IF($H587="Stock",IF($I587="Buy",-$M587*$N587-$P587,IF($I587="Sell",IF($N587="", $M587*$O587-$P587,($O587-$N587)*$M587-$P587),"")),IF($I587="Sell",($N587-IF($O587="",0,$O587))*$M587*100-$P587,IF($I587="Buy",(IF($O587="",0,$O587)-$N587)*$M587*100-$P587,""))))</f>
        <v/>
      </c>
      <c r="R587" s="11">
        <f>IF($A587="","",IF($C587="Open","",$Q587))</f>
        <v/>
      </c>
      <c r="S587" s="12">
        <f>IF($A587="","",IFS($B587="Covered Call","Covered Call Premium",$B587="Cash Secured Put","Cash Secured Put Premium",$B587="Long Call/Put","Long Call/Put P/L",$B587="Debit Spread","Long Call/Put P/L",$B587="Stock Sale","Stock Sales",TRUE,"Other"))</f>
        <v/>
      </c>
      <c r="T587" s="11">
        <f>IF($A587="","",IF($B587="Cash Secured Put",$K587*$M587*100,IF($B587="Covered Call",$K587*$M587*100,IF($H587="Stock",$M587*$N587,""))))</f>
        <v/>
      </c>
      <c r="U587" s="19">
        <f>IF(OR($A587="",$C587&lt;&gt;"Closed",$D587="",$E587="",$T587=0),"",$R587/$T587*365/MAX(1,$E587-$D587))</f>
        <v/>
      </c>
      <c r="V587" s="14" t="n"/>
      <c r="W587" s="12" t="n"/>
    </row>
    <row r="588">
      <c r="A588" s="12" t="n"/>
      <c r="B588" s="14" t="n"/>
      <c r="C588" s="14" t="n"/>
      <c r="D588" s="15" t="n"/>
      <c r="E588" s="15" t="n"/>
      <c r="F588" s="16">
        <f>IF($E588="","",DATE(YEAR($E588),MONTH($E588),1))</f>
        <v/>
      </c>
      <c r="G588" s="14" t="n"/>
      <c r="H588" s="14" t="n"/>
      <c r="I588" s="14" t="n"/>
      <c r="J588" s="14" t="n"/>
      <c r="K588" s="17" t="n"/>
      <c r="L588" s="15" t="n"/>
      <c r="M588" s="14" t="n"/>
      <c r="N588" s="17" t="n"/>
      <c r="O588" s="17" t="n"/>
      <c r="P588" s="18" t="n"/>
      <c r="Q588" s="11">
        <f>IF($A588="","",IF($H588="Stock",IF($I588="Buy",-$M588*$N588-$P588,IF($I588="Sell",IF($N588="", $M588*$O588-$P588,($O588-$N588)*$M588-$P588),"")),IF($I588="Sell",($N588-IF($O588="",0,$O588))*$M588*100-$P588,IF($I588="Buy",(IF($O588="",0,$O588)-$N588)*$M588*100-$P588,""))))</f>
        <v/>
      </c>
      <c r="R588" s="11">
        <f>IF($A588="","",IF($C588="Open","",$Q588))</f>
        <v/>
      </c>
      <c r="S588" s="12">
        <f>IF($A588="","",IFS($B588="Covered Call","Covered Call Premium",$B588="Cash Secured Put","Cash Secured Put Premium",$B588="Long Call/Put","Long Call/Put P/L",$B588="Debit Spread","Long Call/Put P/L",$B588="Stock Sale","Stock Sales",TRUE,"Other"))</f>
        <v/>
      </c>
      <c r="T588" s="11">
        <f>IF($A588="","",IF($B588="Cash Secured Put",$K588*$M588*100,IF($B588="Covered Call",$K588*$M588*100,IF($H588="Stock",$M588*$N588,""))))</f>
        <v/>
      </c>
      <c r="U588" s="19">
        <f>IF(OR($A588="",$C588&lt;&gt;"Closed",$D588="",$E588="",$T588=0),"",$R588/$T588*365/MAX(1,$E588-$D588))</f>
        <v/>
      </c>
      <c r="V588" s="14" t="n"/>
      <c r="W588" s="12" t="n"/>
    </row>
    <row r="589">
      <c r="A589" s="12" t="n"/>
      <c r="B589" s="14" t="n"/>
      <c r="C589" s="14" t="n"/>
      <c r="D589" s="15" t="n"/>
      <c r="E589" s="15" t="n"/>
      <c r="F589" s="16">
        <f>IF($E589="","",DATE(YEAR($E589),MONTH($E589),1))</f>
        <v/>
      </c>
      <c r="G589" s="14" t="n"/>
      <c r="H589" s="14" t="n"/>
      <c r="I589" s="14" t="n"/>
      <c r="J589" s="14" t="n"/>
      <c r="K589" s="17" t="n"/>
      <c r="L589" s="15" t="n"/>
      <c r="M589" s="14" t="n"/>
      <c r="N589" s="17" t="n"/>
      <c r="O589" s="17" t="n"/>
      <c r="P589" s="18" t="n"/>
      <c r="Q589" s="11">
        <f>IF($A589="","",IF($H589="Stock",IF($I589="Buy",-$M589*$N589-$P589,IF($I589="Sell",IF($N589="", $M589*$O589-$P589,($O589-$N589)*$M589-$P589),"")),IF($I589="Sell",($N589-IF($O589="",0,$O589))*$M589*100-$P589,IF($I589="Buy",(IF($O589="",0,$O589)-$N589)*$M589*100-$P589,""))))</f>
        <v/>
      </c>
      <c r="R589" s="11">
        <f>IF($A589="","",IF($C589="Open","",$Q589))</f>
        <v/>
      </c>
      <c r="S589" s="12">
        <f>IF($A589="","",IFS($B589="Covered Call","Covered Call Premium",$B589="Cash Secured Put","Cash Secured Put Premium",$B589="Long Call/Put","Long Call/Put P/L",$B589="Debit Spread","Long Call/Put P/L",$B589="Stock Sale","Stock Sales",TRUE,"Other"))</f>
        <v/>
      </c>
      <c r="T589" s="11">
        <f>IF($A589="","",IF($B589="Cash Secured Put",$K589*$M589*100,IF($B589="Covered Call",$K589*$M589*100,IF($H589="Stock",$M589*$N589,""))))</f>
        <v/>
      </c>
      <c r="U589" s="19">
        <f>IF(OR($A589="",$C589&lt;&gt;"Closed",$D589="",$E589="",$T589=0),"",$R589/$T589*365/MAX(1,$E589-$D589))</f>
        <v/>
      </c>
      <c r="V589" s="14" t="n"/>
      <c r="W589" s="12" t="n"/>
    </row>
    <row r="590">
      <c r="A590" s="12" t="n"/>
      <c r="B590" s="14" t="n"/>
      <c r="C590" s="14" t="n"/>
      <c r="D590" s="15" t="n"/>
      <c r="E590" s="15" t="n"/>
      <c r="F590" s="16">
        <f>IF($E590="","",DATE(YEAR($E590),MONTH($E590),1))</f>
        <v/>
      </c>
      <c r="G590" s="14" t="n"/>
      <c r="H590" s="14" t="n"/>
      <c r="I590" s="14" t="n"/>
      <c r="J590" s="14" t="n"/>
      <c r="K590" s="17" t="n"/>
      <c r="L590" s="15" t="n"/>
      <c r="M590" s="14" t="n"/>
      <c r="N590" s="17" t="n"/>
      <c r="O590" s="17" t="n"/>
      <c r="P590" s="18" t="n"/>
      <c r="Q590" s="11">
        <f>IF($A590="","",IF($H590="Stock",IF($I590="Buy",-$M590*$N590-$P590,IF($I590="Sell",IF($N590="", $M590*$O590-$P590,($O590-$N590)*$M590-$P590),"")),IF($I590="Sell",($N590-IF($O590="",0,$O590))*$M590*100-$P590,IF($I590="Buy",(IF($O590="",0,$O590)-$N590)*$M590*100-$P590,""))))</f>
        <v/>
      </c>
      <c r="R590" s="11">
        <f>IF($A590="","",IF($C590="Open","",$Q590))</f>
        <v/>
      </c>
      <c r="S590" s="12">
        <f>IF($A590="","",IFS($B590="Covered Call","Covered Call Premium",$B590="Cash Secured Put","Cash Secured Put Premium",$B590="Long Call/Put","Long Call/Put P/L",$B590="Debit Spread","Long Call/Put P/L",$B590="Stock Sale","Stock Sales",TRUE,"Other"))</f>
        <v/>
      </c>
      <c r="T590" s="11">
        <f>IF($A590="","",IF($B590="Cash Secured Put",$K590*$M590*100,IF($B590="Covered Call",$K590*$M590*100,IF($H590="Stock",$M590*$N590,""))))</f>
        <v/>
      </c>
      <c r="U590" s="19">
        <f>IF(OR($A590="",$C590&lt;&gt;"Closed",$D590="",$E590="",$T590=0),"",$R590/$T590*365/MAX(1,$E590-$D590))</f>
        <v/>
      </c>
      <c r="V590" s="14" t="n"/>
      <c r="W590" s="12" t="n"/>
    </row>
    <row r="591">
      <c r="A591" s="12" t="n"/>
      <c r="B591" s="14" t="n"/>
      <c r="C591" s="14" t="n"/>
      <c r="D591" s="15" t="n"/>
      <c r="E591" s="15" t="n"/>
      <c r="F591" s="16">
        <f>IF($E591="","",DATE(YEAR($E591),MONTH($E591),1))</f>
        <v/>
      </c>
      <c r="G591" s="14" t="n"/>
      <c r="H591" s="14" t="n"/>
      <c r="I591" s="14" t="n"/>
      <c r="J591" s="14" t="n"/>
      <c r="K591" s="17" t="n"/>
      <c r="L591" s="15" t="n"/>
      <c r="M591" s="14" t="n"/>
      <c r="N591" s="17" t="n"/>
      <c r="O591" s="17" t="n"/>
      <c r="P591" s="18" t="n"/>
      <c r="Q591" s="11">
        <f>IF($A591="","",IF($H591="Stock",IF($I591="Buy",-$M591*$N591-$P591,IF($I591="Sell",IF($N591="", $M591*$O591-$P591,($O591-$N591)*$M591-$P591),"")),IF($I591="Sell",($N591-IF($O591="",0,$O591))*$M591*100-$P591,IF($I591="Buy",(IF($O591="",0,$O591)-$N591)*$M591*100-$P591,""))))</f>
        <v/>
      </c>
      <c r="R591" s="11">
        <f>IF($A591="","",IF($C591="Open","",$Q591))</f>
        <v/>
      </c>
      <c r="S591" s="12">
        <f>IF($A591="","",IFS($B591="Covered Call","Covered Call Premium",$B591="Cash Secured Put","Cash Secured Put Premium",$B591="Long Call/Put","Long Call/Put P/L",$B591="Debit Spread","Long Call/Put P/L",$B591="Stock Sale","Stock Sales",TRUE,"Other"))</f>
        <v/>
      </c>
      <c r="T591" s="11">
        <f>IF($A591="","",IF($B591="Cash Secured Put",$K591*$M591*100,IF($B591="Covered Call",$K591*$M591*100,IF($H591="Stock",$M591*$N591,""))))</f>
        <v/>
      </c>
      <c r="U591" s="19">
        <f>IF(OR($A591="",$C591&lt;&gt;"Closed",$D591="",$E591="",$T591=0),"",$R591/$T591*365/MAX(1,$E591-$D591))</f>
        <v/>
      </c>
      <c r="V591" s="14" t="n"/>
      <c r="W591" s="12" t="n"/>
    </row>
    <row r="592">
      <c r="A592" s="12" t="n"/>
      <c r="B592" s="14" t="n"/>
      <c r="C592" s="14" t="n"/>
      <c r="D592" s="15" t="n"/>
      <c r="E592" s="15" t="n"/>
      <c r="F592" s="16">
        <f>IF($E592="","",DATE(YEAR($E592),MONTH($E592),1))</f>
        <v/>
      </c>
      <c r="G592" s="14" t="n"/>
      <c r="H592" s="14" t="n"/>
      <c r="I592" s="14" t="n"/>
      <c r="J592" s="14" t="n"/>
      <c r="K592" s="17" t="n"/>
      <c r="L592" s="15" t="n"/>
      <c r="M592" s="14" t="n"/>
      <c r="N592" s="17" t="n"/>
      <c r="O592" s="17" t="n"/>
      <c r="P592" s="18" t="n"/>
      <c r="Q592" s="11">
        <f>IF($A592="","",IF($H592="Stock",IF($I592="Buy",-$M592*$N592-$P592,IF($I592="Sell",IF($N592="", $M592*$O592-$P592,($O592-$N592)*$M592-$P592),"")),IF($I592="Sell",($N592-IF($O592="",0,$O592))*$M592*100-$P592,IF($I592="Buy",(IF($O592="",0,$O592)-$N592)*$M592*100-$P592,""))))</f>
        <v/>
      </c>
      <c r="R592" s="11">
        <f>IF($A592="","",IF($C592="Open","",$Q592))</f>
        <v/>
      </c>
      <c r="S592" s="12">
        <f>IF($A592="","",IFS($B592="Covered Call","Covered Call Premium",$B592="Cash Secured Put","Cash Secured Put Premium",$B592="Long Call/Put","Long Call/Put P/L",$B592="Debit Spread","Long Call/Put P/L",$B592="Stock Sale","Stock Sales",TRUE,"Other"))</f>
        <v/>
      </c>
      <c r="T592" s="11">
        <f>IF($A592="","",IF($B592="Cash Secured Put",$K592*$M592*100,IF($B592="Covered Call",$K592*$M592*100,IF($H592="Stock",$M592*$N592,""))))</f>
        <v/>
      </c>
      <c r="U592" s="19">
        <f>IF(OR($A592="",$C592&lt;&gt;"Closed",$D592="",$E592="",$T592=0),"",$R592/$T592*365/MAX(1,$E592-$D592))</f>
        <v/>
      </c>
      <c r="V592" s="14" t="n"/>
      <c r="W592" s="12" t="n"/>
    </row>
    <row r="593">
      <c r="A593" s="12" t="n"/>
      <c r="B593" s="14" t="n"/>
      <c r="C593" s="14" t="n"/>
      <c r="D593" s="15" t="n"/>
      <c r="E593" s="15" t="n"/>
      <c r="F593" s="16">
        <f>IF($E593="","",DATE(YEAR($E593),MONTH($E593),1))</f>
        <v/>
      </c>
      <c r="G593" s="14" t="n"/>
      <c r="H593" s="14" t="n"/>
      <c r="I593" s="14" t="n"/>
      <c r="J593" s="14" t="n"/>
      <c r="K593" s="17" t="n"/>
      <c r="L593" s="15" t="n"/>
      <c r="M593" s="14" t="n"/>
      <c r="N593" s="17" t="n"/>
      <c r="O593" s="17" t="n"/>
      <c r="P593" s="18" t="n"/>
      <c r="Q593" s="11">
        <f>IF($A593="","",IF($H593="Stock",IF($I593="Buy",-$M593*$N593-$P593,IF($I593="Sell",IF($N593="", $M593*$O593-$P593,($O593-$N593)*$M593-$P593),"")),IF($I593="Sell",($N593-IF($O593="",0,$O593))*$M593*100-$P593,IF($I593="Buy",(IF($O593="",0,$O593)-$N593)*$M593*100-$P593,""))))</f>
        <v/>
      </c>
      <c r="R593" s="11">
        <f>IF($A593="","",IF($C593="Open","",$Q593))</f>
        <v/>
      </c>
      <c r="S593" s="12">
        <f>IF($A593="","",IFS($B593="Covered Call","Covered Call Premium",$B593="Cash Secured Put","Cash Secured Put Premium",$B593="Long Call/Put","Long Call/Put P/L",$B593="Debit Spread","Long Call/Put P/L",$B593="Stock Sale","Stock Sales",TRUE,"Other"))</f>
        <v/>
      </c>
      <c r="T593" s="11">
        <f>IF($A593="","",IF($B593="Cash Secured Put",$K593*$M593*100,IF($B593="Covered Call",$K593*$M593*100,IF($H593="Stock",$M593*$N593,""))))</f>
        <v/>
      </c>
      <c r="U593" s="19">
        <f>IF(OR($A593="",$C593&lt;&gt;"Closed",$D593="",$E593="",$T593=0),"",$R593/$T593*365/MAX(1,$E593-$D593))</f>
        <v/>
      </c>
      <c r="V593" s="14" t="n"/>
      <c r="W593" s="12" t="n"/>
    </row>
    <row r="594">
      <c r="A594" s="12" t="n"/>
      <c r="B594" s="14" t="n"/>
      <c r="C594" s="14" t="n"/>
      <c r="D594" s="15" t="n"/>
      <c r="E594" s="15" t="n"/>
      <c r="F594" s="16">
        <f>IF($E594="","",DATE(YEAR($E594),MONTH($E594),1))</f>
        <v/>
      </c>
      <c r="G594" s="14" t="n"/>
      <c r="H594" s="14" t="n"/>
      <c r="I594" s="14" t="n"/>
      <c r="J594" s="14" t="n"/>
      <c r="K594" s="17" t="n"/>
      <c r="L594" s="15" t="n"/>
      <c r="M594" s="14" t="n"/>
      <c r="N594" s="17" t="n"/>
      <c r="O594" s="17" t="n"/>
      <c r="P594" s="18" t="n"/>
      <c r="Q594" s="11">
        <f>IF($A594="","",IF($H594="Stock",IF($I594="Buy",-$M594*$N594-$P594,IF($I594="Sell",IF($N594="", $M594*$O594-$P594,($O594-$N594)*$M594-$P594),"")),IF($I594="Sell",($N594-IF($O594="",0,$O594))*$M594*100-$P594,IF($I594="Buy",(IF($O594="",0,$O594)-$N594)*$M594*100-$P594,""))))</f>
        <v/>
      </c>
      <c r="R594" s="11">
        <f>IF($A594="","",IF($C594="Open","",$Q594))</f>
        <v/>
      </c>
      <c r="S594" s="12">
        <f>IF($A594="","",IFS($B594="Covered Call","Covered Call Premium",$B594="Cash Secured Put","Cash Secured Put Premium",$B594="Long Call/Put","Long Call/Put P/L",$B594="Debit Spread","Long Call/Put P/L",$B594="Stock Sale","Stock Sales",TRUE,"Other"))</f>
        <v/>
      </c>
      <c r="T594" s="11">
        <f>IF($A594="","",IF($B594="Cash Secured Put",$K594*$M594*100,IF($B594="Covered Call",$K594*$M594*100,IF($H594="Stock",$M594*$N594,""))))</f>
        <v/>
      </c>
      <c r="U594" s="19">
        <f>IF(OR($A594="",$C594&lt;&gt;"Closed",$D594="",$E594="",$T594=0),"",$R594/$T594*365/MAX(1,$E594-$D594))</f>
        <v/>
      </c>
      <c r="V594" s="14" t="n"/>
      <c r="W594" s="12" t="n"/>
    </row>
    <row r="595">
      <c r="A595" s="12" t="n"/>
      <c r="B595" s="14" t="n"/>
      <c r="C595" s="14" t="n"/>
      <c r="D595" s="15" t="n"/>
      <c r="E595" s="15" t="n"/>
      <c r="F595" s="16">
        <f>IF($E595="","",DATE(YEAR($E595),MONTH($E595),1))</f>
        <v/>
      </c>
      <c r="G595" s="14" t="n"/>
      <c r="H595" s="14" t="n"/>
      <c r="I595" s="14" t="n"/>
      <c r="J595" s="14" t="n"/>
      <c r="K595" s="17" t="n"/>
      <c r="L595" s="15" t="n"/>
      <c r="M595" s="14" t="n"/>
      <c r="N595" s="17" t="n"/>
      <c r="O595" s="17" t="n"/>
      <c r="P595" s="18" t="n"/>
      <c r="Q595" s="11">
        <f>IF($A595="","",IF($H595="Stock",IF($I595="Buy",-$M595*$N595-$P595,IF($I595="Sell",IF($N595="", $M595*$O595-$P595,($O595-$N595)*$M595-$P595),"")),IF($I595="Sell",($N595-IF($O595="",0,$O595))*$M595*100-$P595,IF($I595="Buy",(IF($O595="",0,$O595)-$N595)*$M595*100-$P595,""))))</f>
        <v/>
      </c>
      <c r="R595" s="11">
        <f>IF($A595="","",IF($C595="Open","",$Q595))</f>
        <v/>
      </c>
      <c r="S595" s="12">
        <f>IF($A595="","",IFS($B595="Covered Call","Covered Call Premium",$B595="Cash Secured Put","Cash Secured Put Premium",$B595="Long Call/Put","Long Call/Put P/L",$B595="Debit Spread","Long Call/Put P/L",$B595="Stock Sale","Stock Sales",TRUE,"Other"))</f>
        <v/>
      </c>
      <c r="T595" s="11">
        <f>IF($A595="","",IF($B595="Cash Secured Put",$K595*$M595*100,IF($B595="Covered Call",$K595*$M595*100,IF($H595="Stock",$M595*$N595,""))))</f>
        <v/>
      </c>
      <c r="U595" s="19">
        <f>IF(OR($A595="",$C595&lt;&gt;"Closed",$D595="",$E595="",$T595=0),"",$R595/$T595*365/MAX(1,$E595-$D595))</f>
        <v/>
      </c>
      <c r="V595" s="14" t="n"/>
      <c r="W595" s="12" t="n"/>
    </row>
    <row r="596">
      <c r="A596" s="12" t="n"/>
      <c r="B596" s="14" t="n"/>
      <c r="C596" s="14" t="n"/>
      <c r="D596" s="15" t="n"/>
      <c r="E596" s="15" t="n"/>
      <c r="F596" s="16">
        <f>IF($E596="","",DATE(YEAR($E596),MONTH($E596),1))</f>
        <v/>
      </c>
      <c r="G596" s="14" t="n"/>
      <c r="H596" s="14" t="n"/>
      <c r="I596" s="14" t="n"/>
      <c r="J596" s="14" t="n"/>
      <c r="K596" s="17" t="n"/>
      <c r="L596" s="15" t="n"/>
      <c r="M596" s="14" t="n"/>
      <c r="N596" s="17" t="n"/>
      <c r="O596" s="17" t="n"/>
      <c r="P596" s="18" t="n"/>
      <c r="Q596" s="11">
        <f>IF($A596="","",IF($H596="Stock",IF($I596="Buy",-$M596*$N596-$P596,IF($I596="Sell",IF($N596="", $M596*$O596-$P596,($O596-$N596)*$M596-$P596),"")),IF($I596="Sell",($N596-IF($O596="",0,$O596))*$M596*100-$P596,IF($I596="Buy",(IF($O596="",0,$O596)-$N596)*$M596*100-$P596,""))))</f>
        <v/>
      </c>
      <c r="R596" s="11">
        <f>IF($A596="","",IF($C596="Open","",$Q596))</f>
        <v/>
      </c>
      <c r="S596" s="12">
        <f>IF($A596="","",IFS($B596="Covered Call","Covered Call Premium",$B596="Cash Secured Put","Cash Secured Put Premium",$B596="Long Call/Put","Long Call/Put P/L",$B596="Debit Spread","Long Call/Put P/L",$B596="Stock Sale","Stock Sales",TRUE,"Other"))</f>
        <v/>
      </c>
      <c r="T596" s="11">
        <f>IF($A596="","",IF($B596="Cash Secured Put",$K596*$M596*100,IF($B596="Covered Call",$K596*$M596*100,IF($H596="Stock",$M596*$N596,""))))</f>
        <v/>
      </c>
      <c r="U596" s="19">
        <f>IF(OR($A596="",$C596&lt;&gt;"Closed",$D596="",$E596="",$T596=0),"",$R596/$T596*365/MAX(1,$E596-$D596))</f>
        <v/>
      </c>
      <c r="V596" s="14" t="n"/>
      <c r="W596" s="12" t="n"/>
    </row>
    <row r="597">
      <c r="A597" s="12" t="n"/>
      <c r="B597" s="14" t="n"/>
      <c r="C597" s="14" t="n"/>
      <c r="D597" s="15" t="n"/>
      <c r="E597" s="15" t="n"/>
      <c r="F597" s="16">
        <f>IF($E597="","",DATE(YEAR($E597),MONTH($E597),1))</f>
        <v/>
      </c>
      <c r="G597" s="14" t="n"/>
      <c r="H597" s="14" t="n"/>
      <c r="I597" s="14" t="n"/>
      <c r="J597" s="14" t="n"/>
      <c r="K597" s="17" t="n"/>
      <c r="L597" s="15" t="n"/>
      <c r="M597" s="14" t="n"/>
      <c r="N597" s="17" t="n"/>
      <c r="O597" s="17" t="n"/>
      <c r="P597" s="18" t="n"/>
      <c r="Q597" s="11">
        <f>IF($A597="","",IF($H597="Stock",IF($I597="Buy",-$M597*$N597-$P597,IF($I597="Sell",IF($N597="", $M597*$O597-$P597,($O597-$N597)*$M597-$P597),"")),IF($I597="Sell",($N597-IF($O597="",0,$O597))*$M597*100-$P597,IF($I597="Buy",(IF($O597="",0,$O597)-$N597)*$M597*100-$P597,""))))</f>
        <v/>
      </c>
      <c r="R597" s="11">
        <f>IF($A597="","",IF($C597="Open","",$Q597))</f>
        <v/>
      </c>
      <c r="S597" s="12">
        <f>IF($A597="","",IFS($B597="Covered Call","Covered Call Premium",$B597="Cash Secured Put","Cash Secured Put Premium",$B597="Long Call/Put","Long Call/Put P/L",$B597="Debit Spread","Long Call/Put P/L",$B597="Stock Sale","Stock Sales",TRUE,"Other"))</f>
        <v/>
      </c>
      <c r="T597" s="11">
        <f>IF($A597="","",IF($B597="Cash Secured Put",$K597*$M597*100,IF($B597="Covered Call",$K597*$M597*100,IF($H597="Stock",$M597*$N597,""))))</f>
        <v/>
      </c>
      <c r="U597" s="19">
        <f>IF(OR($A597="",$C597&lt;&gt;"Closed",$D597="",$E597="",$T597=0),"",$R597/$T597*365/MAX(1,$E597-$D597))</f>
        <v/>
      </c>
      <c r="V597" s="14" t="n"/>
      <c r="W597" s="12" t="n"/>
    </row>
    <row r="598">
      <c r="A598" s="12" t="n"/>
      <c r="B598" s="14" t="n"/>
      <c r="C598" s="14" t="n"/>
      <c r="D598" s="15" t="n"/>
      <c r="E598" s="15" t="n"/>
      <c r="F598" s="16">
        <f>IF($E598="","",DATE(YEAR($E598),MONTH($E598),1))</f>
        <v/>
      </c>
      <c r="G598" s="14" t="n"/>
      <c r="H598" s="14" t="n"/>
      <c r="I598" s="14" t="n"/>
      <c r="J598" s="14" t="n"/>
      <c r="K598" s="17" t="n"/>
      <c r="L598" s="15" t="n"/>
      <c r="M598" s="14" t="n"/>
      <c r="N598" s="17" t="n"/>
      <c r="O598" s="17" t="n"/>
      <c r="P598" s="18" t="n"/>
      <c r="Q598" s="11">
        <f>IF($A598="","",IF($H598="Stock",IF($I598="Buy",-$M598*$N598-$P598,IF($I598="Sell",IF($N598="", $M598*$O598-$P598,($O598-$N598)*$M598-$P598),"")),IF($I598="Sell",($N598-IF($O598="",0,$O598))*$M598*100-$P598,IF($I598="Buy",(IF($O598="",0,$O598)-$N598)*$M598*100-$P598,""))))</f>
        <v/>
      </c>
      <c r="R598" s="11">
        <f>IF($A598="","",IF($C598="Open","",$Q598))</f>
        <v/>
      </c>
      <c r="S598" s="12">
        <f>IF($A598="","",IFS($B598="Covered Call","Covered Call Premium",$B598="Cash Secured Put","Cash Secured Put Premium",$B598="Long Call/Put","Long Call/Put P/L",$B598="Debit Spread","Long Call/Put P/L",$B598="Stock Sale","Stock Sales",TRUE,"Other"))</f>
        <v/>
      </c>
      <c r="T598" s="11">
        <f>IF($A598="","",IF($B598="Cash Secured Put",$K598*$M598*100,IF($B598="Covered Call",$K598*$M598*100,IF($H598="Stock",$M598*$N598,""))))</f>
        <v/>
      </c>
      <c r="U598" s="19">
        <f>IF(OR($A598="",$C598&lt;&gt;"Closed",$D598="",$E598="",$T598=0),"",$R598/$T598*365/MAX(1,$E598-$D598))</f>
        <v/>
      </c>
      <c r="V598" s="14" t="n"/>
      <c r="W598" s="12" t="n"/>
    </row>
    <row r="599">
      <c r="A599" s="12" t="n"/>
      <c r="B599" s="14" t="n"/>
      <c r="C599" s="14" t="n"/>
      <c r="D599" s="15" t="n"/>
      <c r="E599" s="15" t="n"/>
      <c r="F599" s="16">
        <f>IF($E599="","",DATE(YEAR($E599),MONTH($E599),1))</f>
        <v/>
      </c>
      <c r="G599" s="14" t="n"/>
      <c r="H599" s="14" t="n"/>
      <c r="I599" s="14" t="n"/>
      <c r="J599" s="14" t="n"/>
      <c r="K599" s="17" t="n"/>
      <c r="L599" s="15" t="n"/>
      <c r="M599" s="14" t="n"/>
      <c r="N599" s="17" t="n"/>
      <c r="O599" s="17" t="n"/>
      <c r="P599" s="18" t="n"/>
      <c r="Q599" s="11">
        <f>IF($A599="","",IF($H599="Stock",IF($I599="Buy",-$M599*$N599-$P599,IF($I599="Sell",IF($N599="", $M599*$O599-$P599,($O599-$N599)*$M599-$P599),"")),IF($I599="Sell",($N599-IF($O599="",0,$O599))*$M599*100-$P599,IF($I599="Buy",(IF($O599="",0,$O599)-$N599)*$M599*100-$P599,""))))</f>
        <v/>
      </c>
      <c r="R599" s="11">
        <f>IF($A599="","",IF($C599="Open","",$Q599))</f>
        <v/>
      </c>
      <c r="S599" s="12">
        <f>IF($A599="","",IFS($B599="Covered Call","Covered Call Premium",$B599="Cash Secured Put","Cash Secured Put Premium",$B599="Long Call/Put","Long Call/Put P/L",$B599="Debit Spread","Long Call/Put P/L",$B599="Stock Sale","Stock Sales",TRUE,"Other"))</f>
        <v/>
      </c>
      <c r="T599" s="11">
        <f>IF($A599="","",IF($B599="Cash Secured Put",$K599*$M599*100,IF($B599="Covered Call",$K599*$M599*100,IF($H599="Stock",$M599*$N599,""))))</f>
        <v/>
      </c>
      <c r="U599" s="19">
        <f>IF(OR($A599="",$C599&lt;&gt;"Closed",$D599="",$E599="",$T599=0),"",$R599/$T599*365/MAX(1,$E599-$D599))</f>
        <v/>
      </c>
      <c r="V599" s="14" t="n"/>
      <c r="W599" s="12" t="n"/>
    </row>
    <row r="600">
      <c r="A600" s="12" t="n"/>
      <c r="B600" s="14" t="n"/>
      <c r="C600" s="14" t="n"/>
      <c r="D600" s="15" t="n"/>
      <c r="E600" s="15" t="n"/>
      <c r="F600" s="16">
        <f>IF($E600="","",DATE(YEAR($E600),MONTH($E600),1))</f>
        <v/>
      </c>
      <c r="G600" s="14" t="n"/>
      <c r="H600" s="14" t="n"/>
      <c r="I600" s="14" t="n"/>
      <c r="J600" s="14" t="n"/>
      <c r="K600" s="17" t="n"/>
      <c r="L600" s="15" t="n"/>
      <c r="M600" s="14" t="n"/>
      <c r="N600" s="17" t="n"/>
      <c r="O600" s="17" t="n"/>
      <c r="P600" s="18" t="n"/>
      <c r="Q600" s="11">
        <f>IF($A600="","",IF($H600="Stock",IF($I600="Buy",-$M600*$N600-$P600,IF($I600="Sell",IF($N600="", $M600*$O600-$P600,($O600-$N600)*$M600-$P600),"")),IF($I600="Sell",($N600-IF($O600="",0,$O600))*$M600*100-$P600,IF($I600="Buy",(IF($O600="",0,$O600)-$N600)*$M600*100-$P600,""))))</f>
        <v/>
      </c>
      <c r="R600" s="11">
        <f>IF($A600="","",IF($C600="Open","",$Q600))</f>
        <v/>
      </c>
      <c r="S600" s="12">
        <f>IF($A600="","",IFS($B600="Covered Call","Covered Call Premium",$B600="Cash Secured Put","Cash Secured Put Premium",$B600="Long Call/Put","Long Call/Put P/L",$B600="Debit Spread","Long Call/Put P/L",$B600="Stock Sale","Stock Sales",TRUE,"Other"))</f>
        <v/>
      </c>
      <c r="T600" s="11">
        <f>IF($A600="","",IF($B600="Cash Secured Put",$K600*$M600*100,IF($B600="Covered Call",$K600*$M600*100,IF($H600="Stock",$M600*$N600,""))))</f>
        <v/>
      </c>
      <c r="U600" s="19">
        <f>IF(OR($A600="",$C600&lt;&gt;"Closed",$D600="",$E600="",$T600=0),"",$R600/$T600*365/MAX(1,$E600-$D600))</f>
        <v/>
      </c>
      <c r="V600" s="14" t="n"/>
      <c r="W600" s="12" t="n"/>
    </row>
    <row r="601">
      <c r="A601" s="12" t="n"/>
      <c r="B601" s="14" t="n"/>
      <c r="C601" s="14" t="n"/>
      <c r="D601" s="15" t="n"/>
      <c r="E601" s="15" t="n"/>
      <c r="F601" s="16">
        <f>IF($E601="","",DATE(YEAR($E601),MONTH($E601),1))</f>
        <v/>
      </c>
      <c r="G601" s="14" t="n"/>
      <c r="H601" s="14" t="n"/>
      <c r="I601" s="14" t="n"/>
      <c r="J601" s="14" t="n"/>
      <c r="K601" s="17" t="n"/>
      <c r="L601" s="15" t="n"/>
      <c r="M601" s="14" t="n"/>
      <c r="N601" s="17" t="n"/>
      <c r="O601" s="17" t="n"/>
      <c r="P601" s="18" t="n"/>
      <c r="Q601" s="11">
        <f>IF($A601="","",IF($H601="Stock",IF($I601="Buy",-$M601*$N601-$P601,IF($I601="Sell",IF($N601="", $M601*$O601-$P601,($O601-$N601)*$M601-$P601),"")),IF($I601="Sell",($N601-IF($O601="",0,$O601))*$M601*100-$P601,IF($I601="Buy",(IF($O601="",0,$O601)-$N601)*$M601*100-$P601,""))))</f>
        <v/>
      </c>
      <c r="R601" s="11">
        <f>IF($A601="","",IF($C601="Open","",$Q601))</f>
        <v/>
      </c>
      <c r="S601" s="12">
        <f>IF($A601="","",IFS($B601="Covered Call","Covered Call Premium",$B601="Cash Secured Put","Cash Secured Put Premium",$B601="Long Call/Put","Long Call/Put P/L",$B601="Debit Spread","Long Call/Put P/L",$B601="Stock Sale","Stock Sales",TRUE,"Other"))</f>
        <v/>
      </c>
      <c r="T601" s="11">
        <f>IF($A601="","",IF($B601="Cash Secured Put",$K601*$M601*100,IF($B601="Covered Call",$K601*$M601*100,IF($H601="Stock",$M601*$N601,""))))</f>
        <v/>
      </c>
      <c r="U601" s="19">
        <f>IF(OR($A601="",$C601&lt;&gt;"Closed",$D601="",$E601="",$T601=0),"",$R601/$T601*365/MAX(1,$E601-$D601))</f>
        <v/>
      </c>
      <c r="V601" s="14" t="n"/>
      <c r="W601" s="12" t="n"/>
    </row>
    <row r="602">
      <c r="A602" s="12" t="n"/>
      <c r="B602" s="14" t="n"/>
      <c r="C602" s="14" t="n"/>
      <c r="D602" s="15" t="n"/>
      <c r="E602" s="15" t="n"/>
      <c r="F602" s="16">
        <f>IF($E602="","",DATE(YEAR($E602),MONTH($E602),1))</f>
        <v/>
      </c>
      <c r="G602" s="14" t="n"/>
      <c r="H602" s="14" t="n"/>
      <c r="I602" s="14" t="n"/>
      <c r="J602" s="14" t="n"/>
      <c r="K602" s="17" t="n"/>
      <c r="L602" s="15" t="n"/>
      <c r="M602" s="14" t="n"/>
      <c r="N602" s="17" t="n"/>
      <c r="O602" s="17" t="n"/>
      <c r="P602" s="18" t="n"/>
      <c r="Q602" s="11">
        <f>IF($A602="","",IF($H602="Stock",IF($I602="Buy",-$M602*$N602-$P602,IF($I602="Sell",IF($N602="", $M602*$O602-$P602,($O602-$N602)*$M602-$P602),"")),IF($I602="Sell",($N602-IF($O602="",0,$O602))*$M602*100-$P602,IF($I602="Buy",(IF($O602="",0,$O602)-$N602)*$M602*100-$P602,""))))</f>
        <v/>
      </c>
      <c r="R602" s="11">
        <f>IF($A602="","",IF($C602="Open","",$Q602))</f>
        <v/>
      </c>
      <c r="S602" s="12">
        <f>IF($A602="","",IFS($B602="Covered Call","Covered Call Premium",$B602="Cash Secured Put","Cash Secured Put Premium",$B602="Long Call/Put","Long Call/Put P/L",$B602="Debit Spread","Long Call/Put P/L",$B602="Stock Sale","Stock Sales",TRUE,"Other"))</f>
        <v/>
      </c>
      <c r="T602" s="11">
        <f>IF($A602="","",IF($B602="Cash Secured Put",$K602*$M602*100,IF($B602="Covered Call",$K602*$M602*100,IF($H602="Stock",$M602*$N602,""))))</f>
        <v/>
      </c>
      <c r="U602" s="19">
        <f>IF(OR($A602="",$C602&lt;&gt;"Closed",$D602="",$E602="",$T602=0),"",$R602/$T602*365/MAX(1,$E602-$D602))</f>
        <v/>
      </c>
      <c r="V602" s="14" t="n"/>
      <c r="W602" s="12" t="n"/>
    </row>
    <row r="603">
      <c r="A603" s="12" t="n"/>
      <c r="B603" s="14" t="n"/>
      <c r="C603" s="14" t="n"/>
      <c r="D603" s="15" t="n"/>
      <c r="E603" s="15" t="n"/>
      <c r="F603" s="16">
        <f>IF($E603="","",DATE(YEAR($E603),MONTH($E603),1))</f>
        <v/>
      </c>
      <c r="G603" s="14" t="n"/>
      <c r="H603" s="14" t="n"/>
      <c r="I603" s="14" t="n"/>
      <c r="J603" s="14" t="n"/>
      <c r="K603" s="17" t="n"/>
      <c r="L603" s="15" t="n"/>
      <c r="M603" s="14" t="n"/>
      <c r="N603" s="17" t="n"/>
      <c r="O603" s="17" t="n"/>
      <c r="P603" s="18" t="n"/>
      <c r="Q603" s="11">
        <f>IF($A603="","",IF($H603="Stock",IF($I603="Buy",-$M603*$N603-$P603,IF($I603="Sell",IF($N603="", $M603*$O603-$P603,($O603-$N603)*$M603-$P603),"")),IF($I603="Sell",($N603-IF($O603="",0,$O603))*$M603*100-$P603,IF($I603="Buy",(IF($O603="",0,$O603)-$N603)*$M603*100-$P603,""))))</f>
        <v/>
      </c>
      <c r="R603" s="11">
        <f>IF($A603="","",IF($C603="Open","",$Q603))</f>
        <v/>
      </c>
      <c r="S603" s="12">
        <f>IF($A603="","",IFS($B603="Covered Call","Covered Call Premium",$B603="Cash Secured Put","Cash Secured Put Premium",$B603="Long Call/Put","Long Call/Put P/L",$B603="Debit Spread","Long Call/Put P/L",$B603="Stock Sale","Stock Sales",TRUE,"Other"))</f>
        <v/>
      </c>
      <c r="T603" s="11">
        <f>IF($A603="","",IF($B603="Cash Secured Put",$K603*$M603*100,IF($B603="Covered Call",$K603*$M603*100,IF($H603="Stock",$M603*$N603,""))))</f>
        <v/>
      </c>
      <c r="U603" s="19">
        <f>IF(OR($A603="",$C603&lt;&gt;"Closed",$D603="",$E603="",$T603=0),"",$R603/$T603*365/MAX(1,$E603-$D603))</f>
        <v/>
      </c>
      <c r="V603" s="14" t="n"/>
      <c r="W603" s="12" t="n"/>
    </row>
    <row r="604">
      <c r="A604" s="12" t="n"/>
      <c r="B604" s="14" t="n"/>
      <c r="C604" s="14" t="n"/>
      <c r="D604" s="15" t="n"/>
      <c r="E604" s="15" t="n"/>
      <c r="F604" s="16">
        <f>IF($E604="","",DATE(YEAR($E604),MONTH($E604),1))</f>
        <v/>
      </c>
      <c r="G604" s="14" t="n"/>
      <c r="H604" s="14" t="n"/>
      <c r="I604" s="14" t="n"/>
      <c r="J604" s="14" t="n"/>
      <c r="K604" s="17" t="n"/>
      <c r="L604" s="15" t="n"/>
      <c r="M604" s="14" t="n"/>
      <c r="N604" s="17" t="n"/>
      <c r="O604" s="17" t="n"/>
      <c r="P604" s="18" t="n"/>
      <c r="Q604" s="11">
        <f>IF($A604="","",IF($H604="Stock",IF($I604="Buy",-$M604*$N604-$P604,IF($I604="Sell",IF($N604="", $M604*$O604-$P604,($O604-$N604)*$M604-$P604),"")),IF($I604="Sell",($N604-IF($O604="",0,$O604))*$M604*100-$P604,IF($I604="Buy",(IF($O604="",0,$O604)-$N604)*$M604*100-$P604,""))))</f>
        <v/>
      </c>
      <c r="R604" s="11">
        <f>IF($A604="","",IF($C604="Open","",$Q604))</f>
        <v/>
      </c>
      <c r="S604" s="12">
        <f>IF($A604="","",IFS($B604="Covered Call","Covered Call Premium",$B604="Cash Secured Put","Cash Secured Put Premium",$B604="Long Call/Put","Long Call/Put P/L",$B604="Debit Spread","Long Call/Put P/L",$B604="Stock Sale","Stock Sales",TRUE,"Other"))</f>
        <v/>
      </c>
      <c r="T604" s="11">
        <f>IF($A604="","",IF($B604="Cash Secured Put",$K604*$M604*100,IF($B604="Covered Call",$K604*$M604*100,IF($H604="Stock",$M604*$N604,""))))</f>
        <v/>
      </c>
      <c r="U604" s="19">
        <f>IF(OR($A604="",$C604&lt;&gt;"Closed",$D604="",$E604="",$T604=0),"",$R604/$T604*365/MAX(1,$E604-$D604))</f>
        <v/>
      </c>
      <c r="V604" s="14" t="n"/>
      <c r="W604" s="12" t="n"/>
    </row>
    <row r="605">
      <c r="A605" s="12" t="n"/>
      <c r="B605" s="14" t="n"/>
      <c r="C605" s="14" t="n"/>
      <c r="D605" s="15" t="n"/>
      <c r="E605" s="15" t="n"/>
      <c r="F605" s="16">
        <f>IF($E605="","",DATE(YEAR($E605),MONTH($E605),1))</f>
        <v/>
      </c>
      <c r="G605" s="14" t="n"/>
      <c r="H605" s="14" t="n"/>
      <c r="I605" s="14" t="n"/>
      <c r="J605" s="14" t="n"/>
      <c r="K605" s="17" t="n"/>
      <c r="L605" s="15" t="n"/>
      <c r="M605" s="14" t="n"/>
      <c r="N605" s="17" t="n"/>
      <c r="O605" s="17" t="n"/>
      <c r="P605" s="18" t="n"/>
      <c r="Q605" s="11">
        <f>IF($A605="","",IF($H605="Stock",IF($I605="Buy",-$M605*$N605-$P605,IF($I605="Sell",IF($N605="", $M605*$O605-$P605,($O605-$N605)*$M605-$P605),"")),IF($I605="Sell",($N605-IF($O605="",0,$O605))*$M605*100-$P605,IF($I605="Buy",(IF($O605="",0,$O605)-$N605)*$M605*100-$P605,""))))</f>
        <v/>
      </c>
      <c r="R605" s="11">
        <f>IF($A605="","",IF($C605="Open","",$Q605))</f>
        <v/>
      </c>
      <c r="S605" s="12">
        <f>IF($A605="","",IFS($B605="Covered Call","Covered Call Premium",$B605="Cash Secured Put","Cash Secured Put Premium",$B605="Long Call/Put","Long Call/Put P/L",$B605="Debit Spread","Long Call/Put P/L",$B605="Stock Sale","Stock Sales",TRUE,"Other"))</f>
        <v/>
      </c>
      <c r="T605" s="11">
        <f>IF($A605="","",IF($B605="Cash Secured Put",$K605*$M605*100,IF($B605="Covered Call",$K605*$M605*100,IF($H605="Stock",$M605*$N605,""))))</f>
        <v/>
      </c>
      <c r="U605" s="19">
        <f>IF(OR($A605="",$C605&lt;&gt;"Closed",$D605="",$E605="",$T605=0),"",$R605/$T605*365/MAX(1,$E605-$D605))</f>
        <v/>
      </c>
      <c r="V605" s="14" t="n"/>
      <c r="W605" s="12" t="n"/>
    </row>
    <row r="606">
      <c r="A606" s="12" t="n"/>
      <c r="B606" s="14" t="n"/>
      <c r="C606" s="14" t="n"/>
      <c r="D606" s="15" t="n"/>
      <c r="E606" s="15" t="n"/>
      <c r="F606" s="16">
        <f>IF($E606="","",DATE(YEAR($E606),MONTH($E606),1))</f>
        <v/>
      </c>
      <c r="G606" s="14" t="n"/>
      <c r="H606" s="14" t="n"/>
      <c r="I606" s="14" t="n"/>
      <c r="J606" s="14" t="n"/>
      <c r="K606" s="17" t="n"/>
      <c r="L606" s="15" t="n"/>
      <c r="M606" s="14" t="n"/>
      <c r="N606" s="17" t="n"/>
      <c r="O606" s="17" t="n"/>
      <c r="P606" s="18" t="n"/>
      <c r="Q606" s="11">
        <f>IF($A606="","",IF($H606="Stock",IF($I606="Buy",-$M606*$N606-$P606,IF($I606="Sell",IF($N606="", $M606*$O606-$P606,($O606-$N606)*$M606-$P606),"")),IF($I606="Sell",($N606-IF($O606="",0,$O606))*$M606*100-$P606,IF($I606="Buy",(IF($O606="",0,$O606)-$N606)*$M606*100-$P606,""))))</f>
        <v/>
      </c>
      <c r="R606" s="11">
        <f>IF($A606="","",IF($C606="Open","",$Q606))</f>
        <v/>
      </c>
      <c r="S606" s="12">
        <f>IF($A606="","",IFS($B606="Covered Call","Covered Call Premium",$B606="Cash Secured Put","Cash Secured Put Premium",$B606="Long Call/Put","Long Call/Put P/L",$B606="Debit Spread","Long Call/Put P/L",$B606="Stock Sale","Stock Sales",TRUE,"Other"))</f>
        <v/>
      </c>
      <c r="T606" s="11">
        <f>IF($A606="","",IF($B606="Cash Secured Put",$K606*$M606*100,IF($B606="Covered Call",$K606*$M606*100,IF($H606="Stock",$M606*$N606,""))))</f>
        <v/>
      </c>
      <c r="U606" s="19">
        <f>IF(OR($A606="",$C606&lt;&gt;"Closed",$D606="",$E606="",$T606=0),"",$R606/$T606*365/MAX(1,$E606-$D606))</f>
        <v/>
      </c>
      <c r="V606" s="14" t="n"/>
      <c r="W606" s="12" t="n"/>
    </row>
    <row r="607">
      <c r="A607" s="12" t="n"/>
      <c r="B607" s="14" t="n"/>
      <c r="C607" s="14" t="n"/>
      <c r="D607" s="15" t="n"/>
      <c r="E607" s="15" t="n"/>
      <c r="F607" s="16">
        <f>IF($E607="","",DATE(YEAR($E607),MONTH($E607),1))</f>
        <v/>
      </c>
      <c r="G607" s="14" t="n"/>
      <c r="H607" s="14" t="n"/>
      <c r="I607" s="14" t="n"/>
      <c r="J607" s="14" t="n"/>
      <c r="K607" s="17" t="n"/>
      <c r="L607" s="15" t="n"/>
      <c r="M607" s="14" t="n"/>
      <c r="N607" s="17" t="n"/>
      <c r="O607" s="17" t="n"/>
      <c r="P607" s="18" t="n"/>
      <c r="Q607" s="11">
        <f>IF($A607="","",IF($H607="Stock",IF($I607="Buy",-$M607*$N607-$P607,IF($I607="Sell",IF($N607="", $M607*$O607-$P607,($O607-$N607)*$M607-$P607),"")),IF($I607="Sell",($N607-IF($O607="",0,$O607))*$M607*100-$P607,IF($I607="Buy",(IF($O607="",0,$O607)-$N607)*$M607*100-$P607,""))))</f>
        <v/>
      </c>
      <c r="R607" s="11">
        <f>IF($A607="","",IF($C607="Open","",$Q607))</f>
        <v/>
      </c>
      <c r="S607" s="12">
        <f>IF($A607="","",IFS($B607="Covered Call","Covered Call Premium",$B607="Cash Secured Put","Cash Secured Put Premium",$B607="Long Call/Put","Long Call/Put P/L",$B607="Debit Spread","Long Call/Put P/L",$B607="Stock Sale","Stock Sales",TRUE,"Other"))</f>
        <v/>
      </c>
      <c r="T607" s="11">
        <f>IF($A607="","",IF($B607="Cash Secured Put",$K607*$M607*100,IF($B607="Covered Call",$K607*$M607*100,IF($H607="Stock",$M607*$N607,""))))</f>
        <v/>
      </c>
      <c r="U607" s="19">
        <f>IF(OR($A607="",$C607&lt;&gt;"Closed",$D607="",$E607="",$T607=0),"",$R607/$T607*365/MAX(1,$E607-$D607))</f>
        <v/>
      </c>
      <c r="V607" s="14" t="n"/>
      <c r="W607" s="12" t="n"/>
    </row>
    <row r="608">
      <c r="A608" s="12" t="n"/>
      <c r="B608" s="14" t="n"/>
      <c r="C608" s="14" t="n"/>
      <c r="D608" s="15" t="n"/>
      <c r="E608" s="15" t="n"/>
      <c r="F608" s="16">
        <f>IF($E608="","",DATE(YEAR($E608),MONTH($E608),1))</f>
        <v/>
      </c>
      <c r="G608" s="14" t="n"/>
      <c r="H608" s="14" t="n"/>
      <c r="I608" s="14" t="n"/>
      <c r="J608" s="14" t="n"/>
      <c r="K608" s="17" t="n"/>
      <c r="L608" s="15" t="n"/>
      <c r="M608" s="14" t="n"/>
      <c r="N608" s="17" t="n"/>
      <c r="O608" s="17" t="n"/>
      <c r="P608" s="18" t="n"/>
      <c r="Q608" s="11">
        <f>IF($A608="","",IF($H608="Stock",IF($I608="Buy",-$M608*$N608-$P608,IF($I608="Sell",IF($N608="", $M608*$O608-$P608,($O608-$N608)*$M608-$P608),"")),IF($I608="Sell",($N608-IF($O608="",0,$O608))*$M608*100-$P608,IF($I608="Buy",(IF($O608="",0,$O608)-$N608)*$M608*100-$P608,""))))</f>
        <v/>
      </c>
      <c r="R608" s="11">
        <f>IF($A608="","",IF($C608="Open","",$Q608))</f>
        <v/>
      </c>
      <c r="S608" s="12">
        <f>IF($A608="","",IFS($B608="Covered Call","Covered Call Premium",$B608="Cash Secured Put","Cash Secured Put Premium",$B608="Long Call/Put","Long Call/Put P/L",$B608="Debit Spread","Long Call/Put P/L",$B608="Stock Sale","Stock Sales",TRUE,"Other"))</f>
        <v/>
      </c>
      <c r="T608" s="11">
        <f>IF($A608="","",IF($B608="Cash Secured Put",$K608*$M608*100,IF($B608="Covered Call",$K608*$M608*100,IF($H608="Stock",$M608*$N608,""))))</f>
        <v/>
      </c>
      <c r="U608" s="19">
        <f>IF(OR($A608="",$C608&lt;&gt;"Closed",$D608="",$E608="",$T608=0),"",$R608/$T608*365/MAX(1,$E608-$D608))</f>
        <v/>
      </c>
      <c r="V608" s="14" t="n"/>
      <c r="W608" s="12" t="n"/>
    </row>
    <row r="609">
      <c r="A609" s="12" t="n"/>
      <c r="B609" s="14" t="n"/>
      <c r="C609" s="14" t="n"/>
      <c r="D609" s="15" t="n"/>
      <c r="E609" s="15" t="n"/>
      <c r="F609" s="16">
        <f>IF($E609="","",DATE(YEAR($E609),MONTH($E609),1))</f>
        <v/>
      </c>
      <c r="G609" s="14" t="n"/>
      <c r="H609" s="14" t="n"/>
      <c r="I609" s="14" t="n"/>
      <c r="J609" s="14" t="n"/>
      <c r="K609" s="17" t="n"/>
      <c r="L609" s="15" t="n"/>
      <c r="M609" s="14" t="n"/>
      <c r="N609" s="17" t="n"/>
      <c r="O609" s="17" t="n"/>
      <c r="P609" s="18" t="n"/>
      <c r="Q609" s="11">
        <f>IF($A609="","",IF($H609="Stock",IF($I609="Buy",-$M609*$N609-$P609,IF($I609="Sell",IF($N609="", $M609*$O609-$P609,($O609-$N609)*$M609-$P609),"")),IF($I609="Sell",($N609-IF($O609="",0,$O609))*$M609*100-$P609,IF($I609="Buy",(IF($O609="",0,$O609)-$N609)*$M609*100-$P609,""))))</f>
        <v/>
      </c>
      <c r="R609" s="11">
        <f>IF($A609="","",IF($C609="Open","",$Q609))</f>
        <v/>
      </c>
      <c r="S609" s="12">
        <f>IF($A609="","",IFS($B609="Covered Call","Covered Call Premium",$B609="Cash Secured Put","Cash Secured Put Premium",$B609="Long Call/Put","Long Call/Put P/L",$B609="Debit Spread","Long Call/Put P/L",$B609="Stock Sale","Stock Sales",TRUE,"Other"))</f>
        <v/>
      </c>
      <c r="T609" s="11">
        <f>IF($A609="","",IF($B609="Cash Secured Put",$K609*$M609*100,IF($B609="Covered Call",$K609*$M609*100,IF($H609="Stock",$M609*$N609,""))))</f>
        <v/>
      </c>
      <c r="U609" s="19">
        <f>IF(OR($A609="",$C609&lt;&gt;"Closed",$D609="",$E609="",$T609=0),"",$R609/$T609*365/MAX(1,$E609-$D609))</f>
        <v/>
      </c>
      <c r="V609" s="14" t="n"/>
      <c r="W609" s="12" t="n"/>
    </row>
    <row r="610">
      <c r="A610" s="12" t="n"/>
      <c r="B610" s="14" t="n"/>
      <c r="C610" s="14" t="n"/>
      <c r="D610" s="15" t="n"/>
      <c r="E610" s="15" t="n"/>
      <c r="F610" s="16">
        <f>IF($E610="","",DATE(YEAR($E610),MONTH($E610),1))</f>
        <v/>
      </c>
      <c r="G610" s="14" t="n"/>
      <c r="H610" s="14" t="n"/>
      <c r="I610" s="14" t="n"/>
      <c r="J610" s="14" t="n"/>
      <c r="K610" s="17" t="n"/>
      <c r="L610" s="15" t="n"/>
      <c r="M610" s="14" t="n"/>
      <c r="N610" s="17" t="n"/>
      <c r="O610" s="17" t="n"/>
      <c r="P610" s="18" t="n"/>
      <c r="Q610" s="11">
        <f>IF($A610="","",IF($H610="Stock",IF($I610="Buy",-$M610*$N610-$P610,IF($I610="Sell",IF($N610="", $M610*$O610-$P610,($O610-$N610)*$M610-$P610),"")),IF($I610="Sell",($N610-IF($O610="",0,$O610))*$M610*100-$P610,IF($I610="Buy",(IF($O610="",0,$O610)-$N610)*$M610*100-$P610,""))))</f>
        <v/>
      </c>
      <c r="R610" s="11">
        <f>IF($A610="","",IF($C610="Open","",$Q610))</f>
        <v/>
      </c>
      <c r="S610" s="12">
        <f>IF($A610="","",IFS($B610="Covered Call","Covered Call Premium",$B610="Cash Secured Put","Cash Secured Put Premium",$B610="Long Call/Put","Long Call/Put P/L",$B610="Debit Spread","Long Call/Put P/L",$B610="Stock Sale","Stock Sales",TRUE,"Other"))</f>
        <v/>
      </c>
      <c r="T610" s="11">
        <f>IF($A610="","",IF($B610="Cash Secured Put",$K610*$M610*100,IF($B610="Covered Call",$K610*$M610*100,IF($H610="Stock",$M610*$N610,""))))</f>
        <v/>
      </c>
      <c r="U610" s="19">
        <f>IF(OR($A610="",$C610&lt;&gt;"Closed",$D610="",$E610="",$T610=0),"",$R610/$T610*365/MAX(1,$E610-$D610))</f>
        <v/>
      </c>
      <c r="V610" s="14" t="n"/>
      <c r="W610" s="12" t="n"/>
    </row>
    <row r="611">
      <c r="A611" s="12" t="n"/>
      <c r="B611" s="14" t="n"/>
      <c r="C611" s="14" t="n"/>
      <c r="D611" s="15" t="n"/>
      <c r="E611" s="15" t="n"/>
      <c r="F611" s="16">
        <f>IF($E611="","",DATE(YEAR($E611),MONTH($E611),1))</f>
        <v/>
      </c>
      <c r="G611" s="14" t="n"/>
      <c r="H611" s="14" t="n"/>
      <c r="I611" s="14" t="n"/>
      <c r="J611" s="14" t="n"/>
      <c r="K611" s="17" t="n"/>
      <c r="L611" s="15" t="n"/>
      <c r="M611" s="14" t="n"/>
      <c r="N611" s="17" t="n"/>
      <c r="O611" s="17" t="n"/>
      <c r="P611" s="18" t="n"/>
      <c r="Q611" s="11">
        <f>IF($A611="","",IF($H611="Stock",IF($I611="Buy",-$M611*$N611-$P611,IF($I611="Sell",IF($N611="", $M611*$O611-$P611,($O611-$N611)*$M611-$P611),"")),IF($I611="Sell",($N611-IF($O611="",0,$O611))*$M611*100-$P611,IF($I611="Buy",(IF($O611="",0,$O611)-$N611)*$M611*100-$P611,""))))</f>
        <v/>
      </c>
      <c r="R611" s="11">
        <f>IF($A611="","",IF($C611="Open","",$Q611))</f>
        <v/>
      </c>
      <c r="S611" s="12">
        <f>IF($A611="","",IFS($B611="Covered Call","Covered Call Premium",$B611="Cash Secured Put","Cash Secured Put Premium",$B611="Long Call/Put","Long Call/Put P/L",$B611="Debit Spread","Long Call/Put P/L",$B611="Stock Sale","Stock Sales",TRUE,"Other"))</f>
        <v/>
      </c>
      <c r="T611" s="11">
        <f>IF($A611="","",IF($B611="Cash Secured Put",$K611*$M611*100,IF($B611="Covered Call",$K611*$M611*100,IF($H611="Stock",$M611*$N611,""))))</f>
        <v/>
      </c>
      <c r="U611" s="19">
        <f>IF(OR($A611="",$C611&lt;&gt;"Closed",$D611="",$E611="",$T611=0),"",$R611/$T611*365/MAX(1,$E611-$D611))</f>
        <v/>
      </c>
      <c r="V611" s="14" t="n"/>
      <c r="W611" s="12" t="n"/>
    </row>
    <row r="612">
      <c r="A612" s="12" t="n"/>
      <c r="B612" s="14" t="n"/>
      <c r="C612" s="14" t="n"/>
      <c r="D612" s="15" t="n"/>
      <c r="E612" s="15" t="n"/>
      <c r="F612" s="16">
        <f>IF($E612="","",DATE(YEAR($E612),MONTH($E612),1))</f>
        <v/>
      </c>
      <c r="G612" s="14" t="n"/>
      <c r="H612" s="14" t="n"/>
      <c r="I612" s="14" t="n"/>
      <c r="J612" s="14" t="n"/>
      <c r="K612" s="17" t="n"/>
      <c r="L612" s="15" t="n"/>
      <c r="M612" s="14" t="n"/>
      <c r="N612" s="17" t="n"/>
      <c r="O612" s="17" t="n"/>
      <c r="P612" s="18" t="n"/>
      <c r="Q612" s="11">
        <f>IF($A612="","",IF($H612="Stock",IF($I612="Buy",-$M612*$N612-$P612,IF($I612="Sell",IF($N612="", $M612*$O612-$P612,($O612-$N612)*$M612-$P612),"")),IF($I612="Sell",($N612-IF($O612="",0,$O612))*$M612*100-$P612,IF($I612="Buy",(IF($O612="",0,$O612)-$N612)*$M612*100-$P612,""))))</f>
        <v/>
      </c>
      <c r="R612" s="11">
        <f>IF($A612="","",IF($C612="Open","",$Q612))</f>
        <v/>
      </c>
      <c r="S612" s="12">
        <f>IF($A612="","",IFS($B612="Covered Call","Covered Call Premium",$B612="Cash Secured Put","Cash Secured Put Premium",$B612="Long Call/Put","Long Call/Put P/L",$B612="Debit Spread","Long Call/Put P/L",$B612="Stock Sale","Stock Sales",TRUE,"Other"))</f>
        <v/>
      </c>
      <c r="T612" s="11">
        <f>IF($A612="","",IF($B612="Cash Secured Put",$K612*$M612*100,IF($B612="Covered Call",$K612*$M612*100,IF($H612="Stock",$M612*$N612,""))))</f>
        <v/>
      </c>
      <c r="U612" s="19">
        <f>IF(OR($A612="",$C612&lt;&gt;"Closed",$D612="",$E612="",$T612=0),"",$R612/$T612*365/MAX(1,$E612-$D612))</f>
        <v/>
      </c>
      <c r="V612" s="14" t="n"/>
      <c r="W612" s="12" t="n"/>
    </row>
    <row r="613">
      <c r="A613" s="12" t="n"/>
      <c r="B613" s="14" t="n"/>
      <c r="C613" s="14" t="n"/>
      <c r="D613" s="15" t="n"/>
      <c r="E613" s="15" t="n"/>
      <c r="F613" s="16">
        <f>IF($E613="","",DATE(YEAR($E613),MONTH($E613),1))</f>
        <v/>
      </c>
      <c r="G613" s="14" t="n"/>
      <c r="H613" s="14" t="n"/>
      <c r="I613" s="14" t="n"/>
      <c r="J613" s="14" t="n"/>
      <c r="K613" s="17" t="n"/>
      <c r="L613" s="15" t="n"/>
      <c r="M613" s="14" t="n"/>
      <c r="N613" s="17" t="n"/>
      <c r="O613" s="17" t="n"/>
      <c r="P613" s="18" t="n"/>
      <c r="Q613" s="11">
        <f>IF($A613="","",IF($H613="Stock",IF($I613="Buy",-$M613*$N613-$P613,IF($I613="Sell",IF($N613="", $M613*$O613-$P613,($O613-$N613)*$M613-$P613),"")),IF($I613="Sell",($N613-IF($O613="",0,$O613))*$M613*100-$P613,IF($I613="Buy",(IF($O613="",0,$O613)-$N613)*$M613*100-$P613,""))))</f>
        <v/>
      </c>
      <c r="R613" s="11">
        <f>IF($A613="","",IF($C613="Open","",$Q613))</f>
        <v/>
      </c>
      <c r="S613" s="12">
        <f>IF($A613="","",IFS($B613="Covered Call","Covered Call Premium",$B613="Cash Secured Put","Cash Secured Put Premium",$B613="Long Call/Put","Long Call/Put P/L",$B613="Debit Spread","Long Call/Put P/L",$B613="Stock Sale","Stock Sales",TRUE,"Other"))</f>
        <v/>
      </c>
      <c r="T613" s="11">
        <f>IF($A613="","",IF($B613="Cash Secured Put",$K613*$M613*100,IF($B613="Covered Call",$K613*$M613*100,IF($H613="Stock",$M613*$N613,""))))</f>
        <v/>
      </c>
      <c r="U613" s="19">
        <f>IF(OR($A613="",$C613&lt;&gt;"Closed",$D613="",$E613="",$T613=0),"",$R613/$T613*365/MAX(1,$E613-$D613))</f>
        <v/>
      </c>
      <c r="V613" s="14" t="n"/>
      <c r="W613" s="12" t="n"/>
    </row>
    <row r="614">
      <c r="A614" s="12" t="n"/>
      <c r="B614" s="14" t="n"/>
      <c r="C614" s="14" t="n"/>
      <c r="D614" s="15" t="n"/>
      <c r="E614" s="15" t="n"/>
      <c r="F614" s="16">
        <f>IF($E614="","",DATE(YEAR($E614),MONTH($E614),1))</f>
        <v/>
      </c>
      <c r="G614" s="14" t="n"/>
      <c r="H614" s="14" t="n"/>
      <c r="I614" s="14" t="n"/>
      <c r="J614" s="14" t="n"/>
      <c r="K614" s="17" t="n"/>
      <c r="L614" s="15" t="n"/>
      <c r="M614" s="14" t="n"/>
      <c r="N614" s="17" t="n"/>
      <c r="O614" s="17" t="n"/>
      <c r="P614" s="18" t="n"/>
      <c r="Q614" s="11">
        <f>IF($A614="","",IF($H614="Stock",IF($I614="Buy",-$M614*$N614-$P614,IF($I614="Sell",IF($N614="", $M614*$O614-$P614,($O614-$N614)*$M614-$P614),"")),IF($I614="Sell",($N614-IF($O614="",0,$O614))*$M614*100-$P614,IF($I614="Buy",(IF($O614="",0,$O614)-$N614)*$M614*100-$P614,""))))</f>
        <v/>
      </c>
      <c r="R614" s="11">
        <f>IF($A614="","",IF($C614="Open","",$Q614))</f>
        <v/>
      </c>
      <c r="S614" s="12">
        <f>IF($A614="","",IFS($B614="Covered Call","Covered Call Premium",$B614="Cash Secured Put","Cash Secured Put Premium",$B614="Long Call/Put","Long Call/Put P/L",$B614="Debit Spread","Long Call/Put P/L",$B614="Stock Sale","Stock Sales",TRUE,"Other"))</f>
        <v/>
      </c>
      <c r="T614" s="11">
        <f>IF($A614="","",IF($B614="Cash Secured Put",$K614*$M614*100,IF($B614="Covered Call",$K614*$M614*100,IF($H614="Stock",$M614*$N614,""))))</f>
        <v/>
      </c>
      <c r="U614" s="19">
        <f>IF(OR($A614="",$C614&lt;&gt;"Closed",$D614="",$E614="",$T614=0),"",$R614/$T614*365/MAX(1,$E614-$D614))</f>
        <v/>
      </c>
      <c r="V614" s="14" t="n"/>
      <c r="W614" s="12" t="n"/>
    </row>
    <row r="615">
      <c r="A615" s="12" t="n"/>
      <c r="B615" s="14" t="n"/>
      <c r="C615" s="14" t="n"/>
      <c r="D615" s="15" t="n"/>
      <c r="E615" s="15" t="n"/>
      <c r="F615" s="16">
        <f>IF($E615="","",DATE(YEAR($E615),MONTH($E615),1))</f>
        <v/>
      </c>
      <c r="G615" s="14" t="n"/>
      <c r="H615" s="14" t="n"/>
      <c r="I615" s="14" t="n"/>
      <c r="J615" s="14" t="n"/>
      <c r="K615" s="17" t="n"/>
      <c r="L615" s="15" t="n"/>
      <c r="M615" s="14" t="n"/>
      <c r="N615" s="17" t="n"/>
      <c r="O615" s="17" t="n"/>
      <c r="P615" s="18" t="n"/>
      <c r="Q615" s="11">
        <f>IF($A615="","",IF($H615="Stock",IF($I615="Buy",-$M615*$N615-$P615,IF($I615="Sell",IF($N615="", $M615*$O615-$P615,($O615-$N615)*$M615-$P615),"")),IF($I615="Sell",($N615-IF($O615="",0,$O615))*$M615*100-$P615,IF($I615="Buy",(IF($O615="",0,$O615)-$N615)*$M615*100-$P615,""))))</f>
        <v/>
      </c>
      <c r="R615" s="11">
        <f>IF($A615="","",IF($C615="Open","",$Q615))</f>
        <v/>
      </c>
      <c r="S615" s="12">
        <f>IF($A615="","",IFS($B615="Covered Call","Covered Call Premium",$B615="Cash Secured Put","Cash Secured Put Premium",$B615="Long Call/Put","Long Call/Put P/L",$B615="Debit Spread","Long Call/Put P/L",$B615="Stock Sale","Stock Sales",TRUE,"Other"))</f>
        <v/>
      </c>
      <c r="T615" s="11">
        <f>IF($A615="","",IF($B615="Cash Secured Put",$K615*$M615*100,IF($B615="Covered Call",$K615*$M615*100,IF($H615="Stock",$M615*$N615,""))))</f>
        <v/>
      </c>
      <c r="U615" s="19">
        <f>IF(OR($A615="",$C615&lt;&gt;"Closed",$D615="",$E615="",$T615=0),"",$R615/$T615*365/MAX(1,$E615-$D615))</f>
        <v/>
      </c>
      <c r="V615" s="14" t="n"/>
      <c r="W615" s="12" t="n"/>
    </row>
    <row r="616">
      <c r="A616" s="12" t="n"/>
      <c r="B616" s="14" t="n"/>
      <c r="C616" s="14" t="n"/>
      <c r="D616" s="15" t="n"/>
      <c r="E616" s="15" t="n"/>
      <c r="F616" s="16">
        <f>IF($E616="","",DATE(YEAR($E616),MONTH($E616),1))</f>
        <v/>
      </c>
      <c r="G616" s="14" t="n"/>
      <c r="H616" s="14" t="n"/>
      <c r="I616" s="14" t="n"/>
      <c r="J616" s="14" t="n"/>
      <c r="K616" s="17" t="n"/>
      <c r="L616" s="15" t="n"/>
      <c r="M616" s="14" t="n"/>
      <c r="N616" s="17" t="n"/>
      <c r="O616" s="17" t="n"/>
      <c r="P616" s="18" t="n"/>
      <c r="Q616" s="11">
        <f>IF($A616="","",IF($H616="Stock",IF($I616="Buy",-$M616*$N616-$P616,IF($I616="Sell",IF($N616="", $M616*$O616-$P616,($O616-$N616)*$M616-$P616),"")),IF($I616="Sell",($N616-IF($O616="",0,$O616))*$M616*100-$P616,IF($I616="Buy",(IF($O616="",0,$O616)-$N616)*$M616*100-$P616,""))))</f>
        <v/>
      </c>
      <c r="R616" s="11">
        <f>IF($A616="","",IF($C616="Open","",$Q616))</f>
        <v/>
      </c>
      <c r="S616" s="12">
        <f>IF($A616="","",IFS($B616="Covered Call","Covered Call Premium",$B616="Cash Secured Put","Cash Secured Put Premium",$B616="Long Call/Put","Long Call/Put P/L",$B616="Debit Spread","Long Call/Put P/L",$B616="Stock Sale","Stock Sales",TRUE,"Other"))</f>
        <v/>
      </c>
      <c r="T616" s="11">
        <f>IF($A616="","",IF($B616="Cash Secured Put",$K616*$M616*100,IF($B616="Covered Call",$K616*$M616*100,IF($H616="Stock",$M616*$N616,""))))</f>
        <v/>
      </c>
      <c r="U616" s="19">
        <f>IF(OR($A616="",$C616&lt;&gt;"Closed",$D616="",$E616="",$T616=0),"",$R616/$T616*365/MAX(1,$E616-$D616))</f>
        <v/>
      </c>
      <c r="V616" s="14" t="n"/>
      <c r="W616" s="12" t="n"/>
    </row>
    <row r="617">
      <c r="A617" s="12" t="n"/>
      <c r="B617" s="14" t="n"/>
      <c r="C617" s="14" t="n"/>
      <c r="D617" s="15" t="n"/>
      <c r="E617" s="15" t="n"/>
      <c r="F617" s="16">
        <f>IF($E617="","",DATE(YEAR($E617),MONTH($E617),1))</f>
        <v/>
      </c>
      <c r="G617" s="14" t="n"/>
      <c r="H617" s="14" t="n"/>
      <c r="I617" s="14" t="n"/>
      <c r="J617" s="14" t="n"/>
      <c r="K617" s="17" t="n"/>
      <c r="L617" s="15" t="n"/>
      <c r="M617" s="14" t="n"/>
      <c r="N617" s="17" t="n"/>
      <c r="O617" s="17" t="n"/>
      <c r="P617" s="18" t="n"/>
      <c r="Q617" s="11">
        <f>IF($A617="","",IF($H617="Stock",IF($I617="Buy",-$M617*$N617-$P617,IF($I617="Sell",IF($N617="", $M617*$O617-$P617,($O617-$N617)*$M617-$P617),"")),IF($I617="Sell",($N617-IF($O617="",0,$O617))*$M617*100-$P617,IF($I617="Buy",(IF($O617="",0,$O617)-$N617)*$M617*100-$P617,""))))</f>
        <v/>
      </c>
      <c r="R617" s="11">
        <f>IF($A617="","",IF($C617="Open","",$Q617))</f>
        <v/>
      </c>
      <c r="S617" s="12">
        <f>IF($A617="","",IFS($B617="Covered Call","Covered Call Premium",$B617="Cash Secured Put","Cash Secured Put Premium",$B617="Long Call/Put","Long Call/Put P/L",$B617="Debit Spread","Long Call/Put P/L",$B617="Stock Sale","Stock Sales",TRUE,"Other"))</f>
        <v/>
      </c>
      <c r="T617" s="11">
        <f>IF($A617="","",IF($B617="Cash Secured Put",$K617*$M617*100,IF($B617="Covered Call",$K617*$M617*100,IF($H617="Stock",$M617*$N617,""))))</f>
        <v/>
      </c>
      <c r="U617" s="19">
        <f>IF(OR($A617="",$C617&lt;&gt;"Closed",$D617="",$E617="",$T617=0),"",$R617/$T617*365/MAX(1,$E617-$D617))</f>
        <v/>
      </c>
      <c r="V617" s="14" t="n"/>
      <c r="W617" s="12" t="n"/>
    </row>
    <row r="618">
      <c r="A618" s="12" t="n"/>
      <c r="B618" s="14" t="n"/>
      <c r="C618" s="14" t="n"/>
      <c r="D618" s="15" t="n"/>
      <c r="E618" s="15" t="n"/>
      <c r="F618" s="16">
        <f>IF($E618="","",DATE(YEAR($E618),MONTH($E618),1))</f>
        <v/>
      </c>
      <c r="G618" s="14" t="n"/>
      <c r="H618" s="14" t="n"/>
      <c r="I618" s="14" t="n"/>
      <c r="J618" s="14" t="n"/>
      <c r="K618" s="17" t="n"/>
      <c r="L618" s="15" t="n"/>
      <c r="M618" s="14" t="n"/>
      <c r="N618" s="17" t="n"/>
      <c r="O618" s="17" t="n"/>
      <c r="P618" s="18" t="n"/>
      <c r="Q618" s="11">
        <f>IF($A618="","",IF($H618="Stock",IF($I618="Buy",-$M618*$N618-$P618,IF($I618="Sell",IF($N618="", $M618*$O618-$P618,($O618-$N618)*$M618-$P618),"")),IF($I618="Sell",($N618-IF($O618="",0,$O618))*$M618*100-$P618,IF($I618="Buy",(IF($O618="",0,$O618)-$N618)*$M618*100-$P618,""))))</f>
        <v/>
      </c>
      <c r="R618" s="11">
        <f>IF($A618="","",IF($C618="Open","",$Q618))</f>
        <v/>
      </c>
      <c r="S618" s="12">
        <f>IF($A618="","",IFS($B618="Covered Call","Covered Call Premium",$B618="Cash Secured Put","Cash Secured Put Premium",$B618="Long Call/Put","Long Call/Put P/L",$B618="Debit Spread","Long Call/Put P/L",$B618="Stock Sale","Stock Sales",TRUE,"Other"))</f>
        <v/>
      </c>
      <c r="T618" s="11">
        <f>IF($A618="","",IF($B618="Cash Secured Put",$K618*$M618*100,IF($B618="Covered Call",$K618*$M618*100,IF($H618="Stock",$M618*$N618,""))))</f>
        <v/>
      </c>
      <c r="U618" s="19">
        <f>IF(OR($A618="",$C618&lt;&gt;"Closed",$D618="",$E618="",$T618=0),"",$R618/$T618*365/MAX(1,$E618-$D618))</f>
        <v/>
      </c>
      <c r="V618" s="14" t="n"/>
      <c r="W618" s="12" t="n"/>
    </row>
    <row r="619">
      <c r="A619" s="12" t="n"/>
      <c r="B619" s="14" t="n"/>
      <c r="C619" s="14" t="n"/>
      <c r="D619" s="15" t="n"/>
      <c r="E619" s="15" t="n"/>
      <c r="F619" s="16">
        <f>IF($E619="","",DATE(YEAR($E619),MONTH($E619),1))</f>
        <v/>
      </c>
      <c r="G619" s="14" t="n"/>
      <c r="H619" s="14" t="n"/>
      <c r="I619" s="14" t="n"/>
      <c r="J619" s="14" t="n"/>
      <c r="K619" s="17" t="n"/>
      <c r="L619" s="15" t="n"/>
      <c r="M619" s="14" t="n"/>
      <c r="N619" s="17" t="n"/>
      <c r="O619" s="17" t="n"/>
      <c r="P619" s="18" t="n"/>
      <c r="Q619" s="11">
        <f>IF($A619="","",IF($H619="Stock",IF($I619="Buy",-$M619*$N619-$P619,IF($I619="Sell",IF($N619="", $M619*$O619-$P619,($O619-$N619)*$M619-$P619),"")),IF($I619="Sell",($N619-IF($O619="",0,$O619))*$M619*100-$P619,IF($I619="Buy",(IF($O619="",0,$O619)-$N619)*$M619*100-$P619,""))))</f>
        <v/>
      </c>
      <c r="R619" s="11">
        <f>IF($A619="","",IF($C619="Open","",$Q619))</f>
        <v/>
      </c>
      <c r="S619" s="12">
        <f>IF($A619="","",IFS($B619="Covered Call","Covered Call Premium",$B619="Cash Secured Put","Cash Secured Put Premium",$B619="Long Call/Put","Long Call/Put P/L",$B619="Debit Spread","Long Call/Put P/L",$B619="Stock Sale","Stock Sales",TRUE,"Other"))</f>
        <v/>
      </c>
      <c r="T619" s="11">
        <f>IF($A619="","",IF($B619="Cash Secured Put",$K619*$M619*100,IF($B619="Covered Call",$K619*$M619*100,IF($H619="Stock",$M619*$N619,""))))</f>
        <v/>
      </c>
      <c r="U619" s="19">
        <f>IF(OR($A619="",$C619&lt;&gt;"Closed",$D619="",$E619="",$T619=0),"",$R619/$T619*365/MAX(1,$E619-$D619))</f>
        <v/>
      </c>
      <c r="V619" s="14" t="n"/>
      <c r="W619" s="12" t="n"/>
    </row>
    <row r="620">
      <c r="A620" s="12" t="n"/>
      <c r="B620" s="14" t="n"/>
      <c r="C620" s="14" t="n"/>
      <c r="D620" s="15" t="n"/>
      <c r="E620" s="15" t="n"/>
      <c r="F620" s="16">
        <f>IF($E620="","",DATE(YEAR($E620),MONTH($E620),1))</f>
        <v/>
      </c>
      <c r="G620" s="14" t="n"/>
      <c r="H620" s="14" t="n"/>
      <c r="I620" s="14" t="n"/>
      <c r="J620" s="14" t="n"/>
      <c r="K620" s="17" t="n"/>
      <c r="L620" s="15" t="n"/>
      <c r="M620" s="14" t="n"/>
      <c r="N620" s="17" t="n"/>
      <c r="O620" s="17" t="n"/>
      <c r="P620" s="18" t="n"/>
      <c r="Q620" s="11">
        <f>IF($A620="","",IF($H620="Stock",IF($I620="Buy",-$M620*$N620-$P620,IF($I620="Sell",IF($N620="", $M620*$O620-$P620,($O620-$N620)*$M620-$P620),"")),IF($I620="Sell",($N620-IF($O620="",0,$O620))*$M620*100-$P620,IF($I620="Buy",(IF($O620="",0,$O620)-$N620)*$M620*100-$P620,""))))</f>
        <v/>
      </c>
      <c r="R620" s="11">
        <f>IF($A620="","",IF($C620="Open","",$Q620))</f>
        <v/>
      </c>
      <c r="S620" s="12">
        <f>IF($A620="","",IFS($B620="Covered Call","Covered Call Premium",$B620="Cash Secured Put","Cash Secured Put Premium",$B620="Long Call/Put","Long Call/Put P/L",$B620="Debit Spread","Long Call/Put P/L",$B620="Stock Sale","Stock Sales",TRUE,"Other"))</f>
        <v/>
      </c>
      <c r="T620" s="11">
        <f>IF($A620="","",IF($B620="Cash Secured Put",$K620*$M620*100,IF($B620="Covered Call",$K620*$M620*100,IF($H620="Stock",$M620*$N620,""))))</f>
        <v/>
      </c>
      <c r="U620" s="19">
        <f>IF(OR($A620="",$C620&lt;&gt;"Closed",$D620="",$E620="",$T620=0),"",$R620/$T620*365/MAX(1,$E620-$D620))</f>
        <v/>
      </c>
      <c r="V620" s="14" t="n"/>
      <c r="W620" s="12" t="n"/>
    </row>
    <row r="621">
      <c r="A621" s="12" t="n"/>
      <c r="B621" s="14" t="n"/>
      <c r="C621" s="14" t="n"/>
      <c r="D621" s="15" t="n"/>
      <c r="E621" s="15" t="n"/>
      <c r="F621" s="16">
        <f>IF($E621="","",DATE(YEAR($E621),MONTH($E621),1))</f>
        <v/>
      </c>
      <c r="G621" s="14" t="n"/>
      <c r="H621" s="14" t="n"/>
      <c r="I621" s="14" t="n"/>
      <c r="J621" s="14" t="n"/>
      <c r="K621" s="17" t="n"/>
      <c r="L621" s="15" t="n"/>
      <c r="M621" s="14" t="n"/>
      <c r="N621" s="17" t="n"/>
      <c r="O621" s="17" t="n"/>
      <c r="P621" s="18" t="n"/>
      <c r="Q621" s="11">
        <f>IF($A621="","",IF($H621="Stock",IF($I621="Buy",-$M621*$N621-$P621,IF($I621="Sell",IF($N621="", $M621*$O621-$P621,($O621-$N621)*$M621-$P621),"")),IF($I621="Sell",($N621-IF($O621="",0,$O621))*$M621*100-$P621,IF($I621="Buy",(IF($O621="",0,$O621)-$N621)*$M621*100-$P621,""))))</f>
        <v/>
      </c>
      <c r="R621" s="11">
        <f>IF($A621="","",IF($C621="Open","",$Q621))</f>
        <v/>
      </c>
      <c r="S621" s="12">
        <f>IF($A621="","",IFS($B621="Covered Call","Covered Call Premium",$B621="Cash Secured Put","Cash Secured Put Premium",$B621="Long Call/Put","Long Call/Put P/L",$B621="Debit Spread","Long Call/Put P/L",$B621="Stock Sale","Stock Sales",TRUE,"Other"))</f>
        <v/>
      </c>
      <c r="T621" s="11">
        <f>IF($A621="","",IF($B621="Cash Secured Put",$K621*$M621*100,IF($B621="Covered Call",$K621*$M621*100,IF($H621="Stock",$M621*$N621,""))))</f>
        <v/>
      </c>
      <c r="U621" s="19">
        <f>IF(OR($A621="",$C621&lt;&gt;"Closed",$D621="",$E621="",$T621=0),"",$R621/$T621*365/MAX(1,$E621-$D621))</f>
        <v/>
      </c>
      <c r="V621" s="14" t="n"/>
      <c r="W621" s="12" t="n"/>
    </row>
    <row r="622">
      <c r="A622" s="12" t="n"/>
      <c r="B622" s="14" t="n"/>
      <c r="C622" s="14" t="n"/>
      <c r="D622" s="15" t="n"/>
      <c r="E622" s="15" t="n"/>
      <c r="F622" s="16">
        <f>IF($E622="","",DATE(YEAR($E622),MONTH($E622),1))</f>
        <v/>
      </c>
      <c r="G622" s="14" t="n"/>
      <c r="H622" s="14" t="n"/>
      <c r="I622" s="14" t="n"/>
      <c r="J622" s="14" t="n"/>
      <c r="K622" s="17" t="n"/>
      <c r="L622" s="15" t="n"/>
      <c r="M622" s="14" t="n"/>
      <c r="N622" s="17" t="n"/>
      <c r="O622" s="17" t="n"/>
      <c r="P622" s="18" t="n"/>
      <c r="Q622" s="11">
        <f>IF($A622="","",IF($H622="Stock",IF($I622="Buy",-$M622*$N622-$P622,IF($I622="Sell",IF($N622="", $M622*$O622-$P622,($O622-$N622)*$M622-$P622),"")),IF($I622="Sell",($N622-IF($O622="",0,$O622))*$M622*100-$P622,IF($I622="Buy",(IF($O622="",0,$O622)-$N622)*$M622*100-$P622,""))))</f>
        <v/>
      </c>
      <c r="R622" s="11">
        <f>IF($A622="","",IF($C622="Open","",$Q622))</f>
        <v/>
      </c>
      <c r="S622" s="12">
        <f>IF($A622="","",IFS($B622="Covered Call","Covered Call Premium",$B622="Cash Secured Put","Cash Secured Put Premium",$B622="Long Call/Put","Long Call/Put P/L",$B622="Debit Spread","Long Call/Put P/L",$B622="Stock Sale","Stock Sales",TRUE,"Other"))</f>
        <v/>
      </c>
      <c r="T622" s="11">
        <f>IF($A622="","",IF($B622="Cash Secured Put",$K622*$M622*100,IF($B622="Covered Call",$K622*$M622*100,IF($H622="Stock",$M622*$N622,""))))</f>
        <v/>
      </c>
      <c r="U622" s="19">
        <f>IF(OR($A622="",$C622&lt;&gt;"Closed",$D622="",$E622="",$T622=0),"",$R622/$T622*365/MAX(1,$E622-$D622))</f>
        <v/>
      </c>
      <c r="V622" s="14" t="n"/>
      <c r="W622" s="12" t="n"/>
    </row>
    <row r="623">
      <c r="A623" s="12" t="n"/>
      <c r="B623" s="14" t="n"/>
      <c r="C623" s="14" t="n"/>
      <c r="D623" s="15" t="n"/>
      <c r="E623" s="15" t="n"/>
      <c r="F623" s="16">
        <f>IF($E623="","",DATE(YEAR($E623),MONTH($E623),1))</f>
        <v/>
      </c>
      <c r="G623" s="14" t="n"/>
      <c r="H623" s="14" t="n"/>
      <c r="I623" s="14" t="n"/>
      <c r="J623" s="14" t="n"/>
      <c r="K623" s="17" t="n"/>
      <c r="L623" s="15" t="n"/>
      <c r="M623" s="14" t="n"/>
      <c r="N623" s="17" t="n"/>
      <c r="O623" s="17" t="n"/>
      <c r="P623" s="18" t="n"/>
      <c r="Q623" s="11">
        <f>IF($A623="","",IF($H623="Stock",IF($I623="Buy",-$M623*$N623-$P623,IF($I623="Sell",IF($N623="", $M623*$O623-$P623,($O623-$N623)*$M623-$P623),"")),IF($I623="Sell",($N623-IF($O623="",0,$O623))*$M623*100-$P623,IF($I623="Buy",(IF($O623="",0,$O623)-$N623)*$M623*100-$P623,""))))</f>
        <v/>
      </c>
      <c r="R623" s="11">
        <f>IF($A623="","",IF($C623="Open","",$Q623))</f>
        <v/>
      </c>
      <c r="S623" s="12">
        <f>IF($A623="","",IFS($B623="Covered Call","Covered Call Premium",$B623="Cash Secured Put","Cash Secured Put Premium",$B623="Long Call/Put","Long Call/Put P/L",$B623="Debit Spread","Long Call/Put P/L",$B623="Stock Sale","Stock Sales",TRUE,"Other"))</f>
        <v/>
      </c>
      <c r="T623" s="11">
        <f>IF($A623="","",IF($B623="Cash Secured Put",$K623*$M623*100,IF($B623="Covered Call",$K623*$M623*100,IF($H623="Stock",$M623*$N623,""))))</f>
        <v/>
      </c>
      <c r="U623" s="19">
        <f>IF(OR($A623="",$C623&lt;&gt;"Closed",$D623="",$E623="",$T623=0),"",$R623/$T623*365/MAX(1,$E623-$D623))</f>
        <v/>
      </c>
      <c r="V623" s="14" t="n"/>
      <c r="W623" s="12" t="n"/>
    </row>
    <row r="624">
      <c r="A624" s="12" t="n"/>
      <c r="B624" s="14" t="n"/>
      <c r="C624" s="14" t="n"/>
      <c r="D624" s="15" t="n"/>
      <c r="E624" s="15" t="n"/>
      <c r="F624" s="16">
        <f>IF($E624="","",DATE(YEAR($E624),MONTH($E624),1))</f>
        <v/>
      </c>
      <c r="G624" s="14" t="n"/>
      <c r="H624" s="14" t="n"/>
      <c r="I624" s="14" t="n"/>
      <c r="J624" s="14" t="n"/>
      <c r="K624" s="17" t="n"/>
      <c r="L624" s="15" t="n"/>
      <c r="M624" s="14" t="n"/>
      <c r="N624" s="17" t="n"/>
      <c r="O624" s="17" t="n"/>
      <c r="P624" s="18" t="n"/>
      <c r="Q624" s="11">
        <f>IF($A624="","",IF($H624="Stock",IF($I624="Buy",-$M624*$N624-$P624,IF($I624="Sell",IF($N624="", $M624*$O624-$P624,($O624-$N624)*$M624-$P624),"")),IF($I624="Sell",($N624-IF($O624="",0,$O624))*$M624*100-$P624,IF($I624="Buy",(IF($O624="",0,$O624)-$N624)*$M624*100-$P624,""))))</f>
        <v/>
      </c>
      <c r="R624" s="11">
        <f>IF($A624="","",IF($C624="Open","",$Q624))</f>
        <v/>
      </c>
      <c r="S624" s="12">
        <f>IF($A624="","",IFS($B624="Covered Call","Covered Call Premium",$B624="Cash Secured Put","Cash Secured Put Premium",$B624="Long Call/Put","Long Call/Put P/L",$B624="Debit Spread","Long Call/Put P/L",$B624="Stock Sale","Stock Sales",TRUE,"Other"))</f>
        <v/>
      </c>
      <c r="T624" s="11">
        <f>IF($A624="","",IF($B624="Cash Secured Put",$K624*$M624*100,IF($B624="Covered Call",$K624*$M624*100,IF($H624="Stock",$M624*$N624,""))))</f>
        <v/>
      </c>
      <c r="U624" s="19">
        <f>IF(OR($A624="",$C624&lt;&gt;"Closed",$D624="",$E624="",$T624=0),"",$R624/$T624*365/MAX(1,$E624-$D624))</f>
        <v/>
      </c>
      <c r="V624" s="14" t="n"/>
      <c r="W624" s="12" t="n"/>
    </row>
    <row r="625">
      <c r="A625" s="12" t="n"/>
      <c r="B625" s="14" t="n"/>
      <c r="C625" s="14" t="n"/>
      <c r="D625" s="15" t="n"/>
      <c r="E625" s="15" t="n"/>
      <c r="F625" s="16">
        <f>IF($E625="","",DATE(YEAR($E625),MONTH($E625),1))</f>
        <v/>
      </c>
      <c r="G625" s="14" t="n"/>
      <c r="H625" s="14" t="n"/>
      <c r="I625" s="14" t="n"/>
      <c r="J625" s="14" t="n"/>
      <c r="K625" s="17" t="n"/>
      <c r="L625" s="15" t="n"/>
      <c r="M625" s="14" t="n"/>
      <c r="N625" s="17" t="n"/>
      <c r="O625" s="17" t="n"/>
      <c r="P625" s="18" t="n"/>
      <c r="Q625" s="11">
        <f>IF($A625="","",IF($H625="Stock",IF($I625="Buy",-$M625*$N625-$P625,IF($I625="Sell",IF($N625="", $M625*$O625-$P625,($O625-$N625)*$M625-$P625),"")),IF($I625="Sell",($N625-IF($O625="",0,$O625))*$M625*100-$P625,IF($I625="Buy",(IF($O625="",0,$O625)-$N625)*$M625*100-$P625,""))))</f>
        <v/>
      </c>
      <c r="R625" s="11">
        <f>IF($A625="","",IF($C625="Open","",$Q625))</f>
        <v/>
      </c>
      <c r="S625" s="12">
        <f>IF($A625="","",IFS($B625="Covered Call","Covered Call Premium",$B625="Cash Secured Put","Cash Secured Put Premium",$B625="Long Call/Put","Long Call/Put P/L",$B625="Debit Spread","Long Call/Put P/L",$B625="Stock Sale","Stock Sales",TRUE,"Other"))</f>
        <v/>
      </c>
      <c r="T625" s="11">
        <f>IF($A625="","",IF($B625="Cash Secured Put",$K625*$M625*100,IF($B625="Covered Call",$K625*$M625*100,IF($H625="Stock",$M625*$N625,""))))</f>
        <v/>
      </c>
      <c r="U625" s="19">
        <f>IF(OR($A625="",$C625&lt;&gt;"Closed",$D625="",$E625="",$T625=0),"",$R625/$T625*365/MAX(1,$E625-$D625))</f>
        <v/>
      </c>
      <c r="V625" s="14" t="n"/>
      <c r="W625" s="12" t="n"/>
    </row>
    <row r="626">
      <c r="A626" s="12" t="n"/>
      <c r="B626" s="14" t="n"/>
      <c r="C626" s="14" t="n"/>
      <c r="D626" s="15" t="n"/>
      <c r="E626" s="15" t="n"/>
      <c r="F626" s="16">
        <f>IF($E626="","",DATE(YEAR($E626),MONTH($E626),1))</f>
        <v/>
      </c>
      <c r="G626" s="14" t="n"/>
      <c r="H626" s="14" t="n"/>
      <c r="I626" s="14" t="n"/>
      <c r="J626" s="14" t="n"/>
      <c r="K626" s="17" t="n"/>
      <c r="L626" s="15" t="n"/>
      <c r="M626" s="14" t="n"/>
      <c r="N626" s="17" t="n"/>
      <c r="O626" s="17" t="n"/>
      <c r="P626" s="18" t="n"/>
      <c r="Q626" s="11">
        <f>IF($A626="","",IF($H626="Stock",IF($I626="Buy",-$M626*$N626-$P626,IF($I626="Sell",IF($N626="", $M626*$O626-$P626,($O626-$N626)*$M626-$P626),"")),IF($I626="Sell",($N626-IF($O626="",0,$O626))*$M626*100-$P626,IF($I626="Buy",(IF($O626="",0,$O626)-$N626)*$M626*100-$P626,""))))</f>
        <v/>
      </c>
      <c r="R626" s="11">
        <f>IF($A626="","",IF($C626="Open","",$Q626))</f>
        <v/>
      </c>
      <c r="S626" s="12">
        <f>IF($A626="","",IFS($B626="Covered Call","Covered Call Premium",$B626="Cash Secured Put","Cash Secured Put Premium",$B626="Long Call/Put","Long Call/Put P/L",$B626="Debit Spread","Long Call/Put P/L",$B626="Stock Sale","Stock Sales",TRUE,"Other"))</f>
        <v/>
      </c>
      <c r="T626" s="11">
        <f>IF($A626="","",IF($B626="Cash Secured Put",$K626*$M626*100,IF($B626="Covered Call",$K626*$M626*100,IF($H626="Stock",$M626*$N626,""))))</f>
        <v/>
      </c>
      <c r="U626" s="19">
        <f>IF(OR($A626="",$C626&lt;&gt;"Closed",$D626="",$E626="",$T626=0),"",$R626/$T626*365/MAX(1,$E626-$D626))</f>
        <v/>
      </c>
      <c r="V626" s="14" t="n"/>
      <c r="W626" s="12" t="n"/>
    </row>
    <row r="627">
      <c r="A627" s="12" t="n"/>
      <c r="B627" s="14" t="n"/>
      <c r="C627" s="14" t="n"/>
      <c r="D627" s="15" t="n"/>
      <c r="E627" s="15" t="n"/>
      <c r="F627" s="16">
        <f>IF($E627="","",DATE(YEAR($E627),MONTH($E627),1))</f>
        <v/>
      </c>
      <c r="G627" s="14" t="n"/>
      <c r="H627" s="14" t="n"/>
      <c r="I627" s="14" t="n"/>
      <c r="J627" s="14" t="n"/>
      <c r="K627" s="17" t="n"/>
      <c r="L627" s="15" t="n"/>
      <c r="M627" s="14" t="n"/>
      <c r="N627" s="17" t="n"/>
      <c r="O627" s="17" t="n"/>
      <c r="P627" s="18" t="n"/>
      <c r="Q627" s="11">
        <f>IF($A627="","",IF($H627="Stock",IF($I627="Buy",-$M627*$N627-$P627,IF($I627="Sell",IF($N627="", $M627*$O627-$P627,($O627-$N627)*$M627-$P627),"")),IF($I627="Sell",($N627-IF($O627="",0,$O627))*$M627*100-$P627,IF($I627="Buy",(IF($O627="",0,$O627)-$N627)*$M627*100-$P627,""))))</f>
        <v/>
      </c>
      <c r="R627" s="11">
        <f>IF($A627="","",IF($C627="Open","",$Q627))</f>
        <v/>
      </c>
      <c r="S627" s="12">
        <f>IF($A627="","",IFS($B627="Covered Call","Covered Call Premium",$B627="Cash Secured Put","Cash Secured Put Premium",$B627="Long Call/Put","Long Call/Put P/L",$B627="Debit Spread","Long Call/Put P/L",$B627="Stock Sale","Stock Sales",TRUE,"Other"))</f>
        <v/>
      </c>
      <c r="T627" s="11">
        <f>IF($A627="","",IF($B627="Cash Secured Put",$K627*$M627*100,IF($B627="Covered Call",$K627*$M627*100,IF($H627="Stock",$M627*$N627,""))))</f>
        <v/>
      </c>
      <c r="U627" s="19">
        <f>IF(OR($A627="",$C627&lt;&gt;"Closed",$D627="",$E627="",$T627=0),"",$R627/$T627*365/MAX(1,$E627-$D627))</f>
        <v/>
      </c>
      <c r="V627" s="14" t="n"/>
      <c r="W627" s="12" t="n"/>
    </row>
    <row r="628">
      <c r="A628" s="12" t="n"/>
      <c r="B628" s="14" t="n"/>
      <c r="C628" s="14" t="n"/>
      <c r="D628" s="15" t="n"/>
      <c r="E628" s="15" t="n"/>
      <c r="F628" s="16">
        <f>IF($E628="","",DATE(YEAR($E628),MONTH($E628),1))</f>
        <v/>
      </c>
      <c r="G628" s="14" t="n"/>
      <c r="H628" s="14" t="n"/>
      <c r="I628" s="14" t="n"/>
      <c r="J628" s="14" t="n"/>
      <c r="K628" s="17" t="n"/>
      <c r="L628" s="15" t="n"/>
      <c r="M628" s="14" t="n"/>
      <c r="N628" s="17" t="n"/>
      <c r="O628" s="17" t="n"/>
      <c r="P628" s="18" t="n"/>
      <c r="Q628" s="11">
        <f>IF($A628="","",IF($H628="Stock",IF($I628="Buy",-$M628*$N628-$P628,IF($I628="Sell",IF($N628="", $M628*$O628-$P628,($O628-$N628)*$M628-$P628),"")),IF($I628="Sell",($N628-IF($O628="",0,$O628))*$M628*100-$P628,IF($I628="Buy",(IF($O628="",0,$O628)-$N628)*$M628*100-$P628,""))))</f>
        <v/>
      </c>
      <c r="R628" s="11">
        <f>IF($A628="","",IF($C628="Open","",$Q628))</f>
        <v/>
      </c>
      <c r="S628" s="12">
        <f>IF($A628="","",IFS($B628="Covered Call","Covered Call Premium",$B628="Cash Secured Put","Cash Secured Put Premium",$B628="Long Call/Put","Long Call/Put P/L",$B628="Debit Spread","Long Call/Put P/L",$B628="Stock Sale","Stock Sales",TRUE,"Other"))</f>
        <v/>
      </c>
      <c r="T628" s="11">
        <f>IF($A628="","",IF($B628="Cash Secured Put",$K628*$M628*100,IF($B628="Covered Call",$K628*$M628*100,IF($H628="Stock",$M628*$N628,""))))</f>
        <v/>
      </c>
      <c r="U628" s="19">
        <f>IF(OR($A628="",$C628&lt;&gt;"Closed",$D628="",$E628="",$T628=0),"",$R628/$T628*365/MAX(1,$E628-$D628))</f>
        <v/>
      </c>
      <c r="V628" s="14" t="n"/>
      <c r="W628" s="12" t="n"/>
    </row>
    <row r="629">
      <c r="A629" s="12" t="n"/>
      <c r="B629" s="14" t="n"/>
      <c r="C629" s="14" t="n"/>
      <c r="D629" s="15" t="n"/>
      <c r="E629" s="15" t="n"/>
      <c r="F629" s="16">
        <f>IF($E629="","",DATE(YEAR($E629),MONTH($E629),1))</f>
        <v/>
      </c>
      <c r="G629" s="14" t="n"/>
      <c r="H629" s="14" t="n"/>
      <c r="I629" s="14" t="n"/>
      <c r="J629" s="14" t="n"/>
      <c r="K629" s="17" t="n"/>
      <c r="L629" s="15" t="n"/>
      <c r="M629" s="14" t="n"/>
      <c r="N629" s="17" t="n"/>
      <c r="O629" s="17" t="n"/>
      <c r="P629" s="18" t="n"/>
      <c r="Q629" s="11">
        <f>IF($A629="","",IF($H629="Stock",IF($I629="Buy",-$M629*$N629-$P629,IF($I629="Sell",IF($N629="", $M629*$O629-$P629,($O629-$N629)*$M629-$P629),"")),IF($I629="Sell",($N629-IF($O629="",0,$O629))*$M629*100-$P629,IF($I629="Buy",(IF($O629="",0,$O629)-$N629)*$M629*100-$P629,""))))</f>
        <v/>
      </c>
      <c r="R629" s="11">
        <f>IF($A629="","",IF($C629="Open","",$Q629))</f>
        <v/>
      </c>
      <c r="S629" s="12">
        <f>IF($A629="","",IFS($B629="Covered Call","Covered Call Premium",$B629="Cash Secured Put","Cash Secured Put Premium",$B629="Long Call/Put","Long Call/Put P/L",$B629="Debit Spread","Long Call/Put P/L",$B629="Stock Sale","Stock Sales",TRUE,"Other"))</f>
        <v/>
      </c>
      <c r="T629" s="11">
        <f>IF($A629="","",IF($B629="Cash Secured Put",$K629*$M629*100,IF($B629="Covered Call",$K629*$M629*100,IF($H629="Stock",$M629*$N629,""))))</f>
        <v/>
      </c>
      <c r="U629" s="19">
        <f>IF(OR($A629="",$C629&lt;&gt;"Closed",$D629="",$E629="",$T629=0),"",$R629/$T629*365/MAX(1,$E629-$D629))</f>
        <v/>
      </c>
      <c r="V629" s="14" t="n"/>
      <c r="W629" s="12" t="n"/>
    </row>
    <row r="630">
      <c r="A630" s="12" t="n"/>
      <c r="B630" s="14" t="n"/>
      <c r="C630" s="14" t="n"/>
      <c r="D630" s="15" t="n"/>
      <c r="E630" s="15" t="n"/>
      <c r="F630" s="16">
        <f>IF($E630="","",DATE(YEAR($E630),MONTH($E630),1))</f>
        <v/>
      </c>
      <c r="G630" s="14" t="n"/>
      <c r="H630" s="14" t="n"/>
      <c r="I630" s="14" t="n"/>
      <c r="J630" s="14" t="n"/>
      <c r="K630" s="17" t="n"/>
      <c r="L630" s="15" t="n"/>
      <c r="M630" s="14" t="n"/>
      <c r="N630" s="17" t="n"/>
      <c r="O630" s="17" t="n"/>
      <c r="P630" s="18" t="n"/>
      <c r="Q630" s="11">
        <f>IF($A630="","",IF($H630="Stock",IF($I630="Buy",-$M630*$N630-$P630,IF($I630="Sell",IF($N630="", $M630*$O630-$P630,($O630-$N630)*$M630-$P630),"")),IF($I630="Sell",($N630-IF($O630="",0,$O630))*$M630*100-$P630,IF($I630="Buy",(IF($O630="",0,$O630)-$N630)*$M630*100-$P630,""))))</f>
        <v/>
      </c>
      <c r="R630" s="11">
        <f>IF($A630="","",IF($C630="Open","",$Q630))</f>
        <v/>
      </c>
      <c r="S630" s="12">
        <f>IF($A630="","",IFS($B630="Covered Call","Covered Call Premium",$B630="Cash Secured Put","Cash Secured Put Premium",$B630="Long Call/Put","Long Call/Put P/L",$B630="Debit Spread","Long Call/Put P/L",$B630="Stock Sale","Stock Sales",TRUE,"Other"))</f>
        <v/>
      </c>
      <c r="T630" s="11">
        <f>IF($A630="","",IF($B630="Cash Secured Put",$K630*$M630*100,IF($B630="Covered Call",$K630*$M630*100,IF($H630="Stock",$M630*$N630,""))))</f>
        <v/>
      </c>
      <c r="U630" s="19">
        <f>IF(OR($A630="",$C630&lt;&gt;"Closed",$D630="",$E630="",$T630=0),"",$R630/$T630*365/MAX(1,$E630-$D630))</f>
        <v/>
      </c>
      <c r="V630" s="14" t="n"/>
      <c r="W630" s="12" t="n"/>
    </row>
    <row r="631">
      <c r="A631" s="12" t="n"/>
      <c r="B631" s="14" t="n"/>
      <c r="C631" s="14" t="n"/>
      <c r="D631" s="15" t="n"/>
      <c r="E631" s="15" t="n"/>
      <c r="F631" s="16">
        <f>IF($E631="","",DATE(YEAR($E631),MONTH($E631),1))</f>
        <v/>
      </c>
      <c r="G631" s="14" t="n"/>
      <c r="H631" s="14" t="n"/>
      <c r="I631" s="14" t="n"/>
      <c r="J631" s="14" t="n"/>
      <c r="K631" s="17" t="n"/>
      <c r="L631" s="15" t="n"/>
      <c r="M631" s="14" t="n"/>
      <c r="N631" s="17" t="n"/>
      <c r="O631" s="17" t="n"/>
      <c r="P631" s="18" t="n"/>
      <c r="Q631" s="11">
        <f>IF($A631="","",IF($H631="Stock",IF($I631="Buy",-$M631*$N631-$P631,IF($I631="Sell",IF($N631="", $M631*$O631-$P631,($O631-$N631)*$M631-$P631),"")),IF($I631="Sell",($N631-IF($O631="",0,$O631))*$M631*100-$P631,IF($I631="Buy",(IF($O631="",0,$O631)-$N631)*$M631*100-$P631,""))))</f>
        <v/>
      </c>
      <c r="R631" s="11">
        <f>IF($A631="","",IF($C631="Open","",$Q631))</f>
        <v/>
      </c>
      <c r="S631" s="12">
        <f>IF($A631="","",IFS($B631="Covered Call","Covered Call Premium",$B631="Cash Secured Put","Cash Secured Put Premium",$B631="Long Call/Put","Long Call/Put P/L",$B631="Debit Spread","Long Call/Put P/L",$B631="Stock Sale","Stock Sales",TRUE,"Other"))</f>
        <v/>
      </c>
      <c r="T631" s="11">
        <f>IF($A631="","",IF($B631="Cash Secured Put",$K631*$M631*100,IF($B631="Covered Call",$K631*$M631*100,IF($H631="Stock",$M631*$N631,""))))</f>
        <v/>
      </c>
      <c r="U631" s="19">
        <f>IF(OR($A631="",$C631&lt;&gt;"Closed",$D631="",$E631="",$T631=0),"",$R631/$T631*365/MAX(1,$E631-$D631))</f>
        <v/>
      </c>
      <c r="V631" s="14" t="n"/>
      <c r="W631" s="12" t="n"/>
    </row>
    <row r="632">
      <c r="A632" s="12" t="n"/>
      <c r="B632" s="14" t="n"/>
      <c r="C632" s="14" t="n"/>
      <c r="D632" s="15" t="n"/>
      <c r="E632" s="15" t="n"/>
      <c r="F632" s="16">
        <f>IF($E632="","",DATE(YEAR($E632),MONTH($E632),1))</f>
        <v/>
      </c>
      <c r="G632" s="14" t="n"/>
      <c r="H632" s="14" t="n"/>
      <c r="I632" s="14" t="n"/>
      <c r="J632" s="14" t="n"/>
      <c r="K632" s="17" t="n"/>
      <c r="L632" s="15" t="n"/>
      <c r="M632" s="14" t="n"/>
      <c r="N632" s="17" t="n"/>
      <c r="O632" s="17" t="n"/>
      <c r="P632" s="18" t="n"/>
      <c r="Q632" s="11">
        <f>IF($A632="","",IF($H632="Stock",IF($I632="Buy",-$M632*$N632-$P632,IF($I632="Sell",IF($N632="", $M632*$O632-$P632,($O632-$N632)*$M632-$P632),"")),IF($I632="Sell",($N632-IF($O632="",0,$O632))*$M632*100-$P632,IF($I632="Buy",(IF($O632="",0,$O632)-$N632)*$M632*100-$P632,""))))</f>
        <v/>
      </c>
      <c r="R632" s="11">
        <f>IF($A632="","",IF($C632="Open","",$Q632))</f>
        <v/>
      </c>
      <c r="S632" s="12">
        <f>IF($A632="","",IFS($B632="Covered Call","Covered Call Premium",$B632="Cash Secured Put","Cash Secured Put Premium",$B632="Long Call/Put","Long Call/Put P/L",$B632="Debit Spread","Long Call/Put P/L",$B632="Stock Sale","Stock Sales",TRUE,"Other"))</f>
        <v/>
      </c>
      <c r="T632" s="11">
        <f>IF($A632="","",IF($B632="Cash Secured Put",$K632*$M632*100,IF($B632="Covered Call",$K632*$M632*100,IF($H632="Stock",$M632*$N632,""))))</f>
        <v/>
      </c>
      <c r="U632" s="19">
        <f>IF(OR($A632="",$C632&lt;&gt;"Closed",$D632="",$E632="",$T632=0),"",$R632/$T632*365/MAX(1,$E632-$D632))</f>
        <v/>
      </c>
      <c r="V632" s="14" t="n"/>
      <c r="W632" s="12" t="n"/>
    </row>
    <row r="633">
      <c r="A633" s="12" t="n"/>
      <c r="B633" s="14" t="n"/>
      <c r="C633" s="14" t="n"/>
      <c r="D633" s="15" t="n"/>
      <c r="E633" s="15" t="n"/>
      <c r="F633" s="16">
        <f>IF($E633="","",DATE(YEAR($E633),MONTH($E633),1))</f>
        <v/>
      </c>
      <c r="G633" s="14" t="n"/>
      <c r="H633" s="14" t="n"/>
      <c r="I633" s="14" t="n"/>
      <c r="J633" s="14" t="n"/>
      <c r="K633" s="17" t="n"/>
      <c r="L633" s="15" t="n"/>
      <c r="M633" s="14" t="n"/>
      <c r="N633" s="17" t="n"/>
      <c r="O633" s="17" t="n"/>
      <c r="P633" s="18" t="n"/>
      <c r="Q633" s="11">
        <f>IF($A633="","",IF($H633="Stock",IF($I633="Buy",-$M633*$N633-$P633,IF($I633="Sell",IF($N633="", $M633*$O633-$P633,($O633-$N633)*$M633-$P633),"")),IF($I633="Sell",($N633-IF($O633="",0,$O633))*$M633*100-$P633,IF($I633="Buy",(IF($O633="",0,$O633)-$N633)*$M633*100-$P633,""))))</f>
        <v/>
      </c>
      <c r="R633" s="11">
        <f>IF($A633="","",IF($C633="Open","",$Q633))</f>
        <v/>
      </c>
      <c r="S633" s="12">
        <f>IF($A633="","",IFS($B633="Covered Call","Covered Call Premium",$B633="Cash Secured Put","Cash Secured Put Premium",$B633="Long Call/Put","Long Call/Put P/L",$B633="Debit Spread","Long Call/Put P/L",$B633="Stock Sale","Stock Sales",TRUE,"Other"))</f>
        <v/>
      </c>
      <c r="T633" s="11">
        <f>IF($A633="","",IF($B633="Cash Secured Put",$K633*$M633*100,IF($B633="Covered Call",$K633*$M633*100,IF($H633="Stock",$M633*$N633,""))))</f>
        <v/>
      </c>
      <c r="U633" s="19">
        <f>IF(OR($A633="",$C633&lt;&gt;"Closed",$D633="",$E633="",$T633=0),"",$R633/$T633*365/MAX(1,$E633-$D633))</f>
        <v/>
      </c>
      <c r="V633" s="14" t="n"/>
      <c r="W633" s="12" t="n"/>
    </row>
    <row r="634">
      <c r="A634" s="12" t="n"/>
      <c r="B634" s="14" t="n"/>
      <c r="C634" s="14" t="n"/>
      <c r="D634" s="15" t="n"/>
      <c r="E634" s="15" t="n"/>
      <c r="F634" s="16">
        <f>IF($E634="","",DATE(YEAR($E634),MONTH($E634),1))</f>
        <v/>
      </c>
      <c r="G634" s="14" t="n"/>
      <c r="H634" s="14" t="n"/>
      <c r="I634" s="14" t="n"/>
      <c r="J634" s="14" t="n"/>
      <c r="K634" s="17" t="n"/>
      <c r="L634" s="15" t="n"/>
      <c r="M634" s="14" t="n"/>
      <c r="N634" s="17" t="n"/>
      <c r="O634" s="17" t="n"/>
      <c r="P634" s="18" t="n"/>
      <c r="Q634" s="11">
        <f>IF($A634="","",IF($H634="Stock",IF($I634="Buy",-$M634*$N634-$P634,IF($I634="Sell",IF($N634="", $M634*$O634-$P634,($O634-$N634)*$M634-$P634),"")),IF($I634="Sell",($N634-IF($O634="",0,$O634))*$M634*100-$P634,IF($I634="Buy",(IF($O634="",0,$O634)-$N634)*$M634*100-$P634,""))))</f>
        <v/>
      </c>
      <c r="R634" s="11">
        <f>IF($A634="","",IF($C634="Open","",$Q634))</f>
        <v/>
      </c>
      <c r="S634" s="12">
        <f>IF($A634="","",IFS($B634="Covered Call","Covered Call Premium",$B634="Cash Secured Put","Cash Secured Put Premium",$B634="Long Call/Put","Long Call/Put P/L",$B634="Debit Spread","Long Call/Put P/L",$B634="Stock Sale","Stock Sales",TRUE,"Other"))</f>
        <v/>
      </c>
      <c r="T634" s="11">
        <f>IF($A634="","",IF($B634="Cash Secured Put",$K634*$M634*100,IF($B634="Covered Call",$K634*$M634*100,IF($H634="Stock",$M634*$N634,""))))</f>
        <v/>
      </c>
      <c r="U634" s="19">
        <f>IF(OR($A634="",$C634&lt;&gt;"Closed",$D634="",$E634="",$T634=0),"",$R634/$T634*365/MAX(1,$E634-$D634))</f>
        <v/>
      </c>
      <c r="V634" s="14" t="n"/>
      <c r="W634" s="12" t="n"/>
    </row>
    <row r="635">
      <c r="A635" s="12" t="n"/>
      <c r="B635" s="14" t="n"/>
      <c r="C635" s="14" t="n"/>
      <c r="D635" s="15" t="n"/>
      <c r="E635" s="15" t="n"/>
      <c r="F635" s="16">
        <f>IF($E635="","",DATE(YEAR($E635),MONTH($E635),1))</f>
        <v/>
      </c>
      <c r="G635" s="14" t="n"/>
      <c r="H635" s="14" t="n"/>
      <c r="I635" s="14" t="n"/>
      <c r="J635" s="14" t="n"/>
      <c r="K635" s="17" t="n"/>
      <c r="L635" s="15" t="n"/>
      <c r="M635" s="14" t="n"/>
      <c r="N635" s="17" t="n"/>
      <c r="O635" s="17" t="n"/>
      <c r="P635" s="18" t="n"/>
      <c r="Q635" s="11">
        <f>IF($A635="","",IF($H635="Stock",IF($I635="Buy",-$M635*$N635-$P635,IF($I635="Sell",IF($N635="", $M635*$O635-$P635,($O635-$N635)*$M635-$P635),"")),IF($I635="Sell",($N635-IF($O635="",0,$O635))*$M635*100-$P635,IF($I635="Buy",(IF($O635="",0,$O635)-$N635)*$M635*100-$P635,""))))</f>
        <v/>
      </c>
      <c r="R635" s="11">
        <f>IF($A635="","",IF($C635="Open","",$Q635))</f>
        <v/>
      </c>
      <c r="S635" s="12">
        <f>IF($A635="","",IFS($B635="Covered Call","Covered Call Premium",$B635="Cash Secured Put","Cash Secured Put Premium",$B635="Long Call/Put","Long Call/Put P/L",$B635="Debit Spread","Long Call/Put P/L",$B635="Stock Sale","Stock Sales",TRUE,"Other"))</f>
        <v/>
      </c>
      <c r="T635" s="11">
        <f>IF($A635="","",IF($B635="Cash Secured Put",$K635*$M635*100,IF($B635="Covered Call",$K635*$M635*100,IF($H635="Stock",$M635*$N635,""))))</f>
        <v/>
      </c>
      <c r="U635" s="19">
        <f>IF(OR($A635="",$C635&lt;&gt;"Closed",$D635="",$E635="",$T635=0),"",$R635/$T635*365/MAX(1,$E635-$D635))</f>
        <v/>
      </c>
      <c r="V635" s="14" t="n"/>
      <c r="W635" s="12" t="n"/>
    </row>
    <row r="636">
      <c r="A636" s="12" t="n"/>
      <c r="B636" s="14" t="n"/>
      <c r="C636" s="14" t="n"/>
      <c r="D636" s="15" t="n"/>
      <c r="E636" s="15" t="n"/>
      <c r="F636" s="16">
        <f>IF($E636="","",DATE(YEAR($E636),MONTH($E636),1))</f>
        <v/>
      </c>
      <c r="G636" s="14" t="n"/>
      <c r="H636" s="14" t="n"/>
      <c r="I636" s="14" t="n"/>
      <c r="J636" s="14" t="n"/>
      <c r="K636" s="17" t="n"/>
      <c r="L636" s="15" t="n"/>
      <c r="M636" s="14" t="n"/>
      <c r="N636" s="17" t="n"/>
      <c r="O636" s="17" t="n"/>
      <c r="P636" s="18" t="n"/>
      <c r="Q636" s="11">
        <f>IF($A636="","",IF($H636="Stock",IF($I636="Buy",-$M636*$N636-$P636,IF($I636="Sell",IF($N636="", $M636*$O636-$P636,($O636-$N636)*$M636-$P636),"")),IF($I636="Sell",($N636-IF($O636="",0,$O636))*$M636*100-$P636,IF($I636="Buy",(IF($O636="",0,$O636)-$N636)*$M636*100-$P636,""))))</f>
        <v/>
      </c>
      <c r="R636" s="11">
        <f>IF($A636="","",IF($C636="Open","",$Q636))</f>
        <v/>
      </c>
      <c r="S636" s="12">
        <f>IF($A636="","",IFS($B636="Covered Call","Covered Call Premium",$B636="Cash Secured Put","Cash Secured Put Premium",$B636="Long Call/Put","Long Call/Put P/L",$B636="Debit Spread","Long Call/Put P/L",$B636="Stock Sale","Stock Sales",TRUE,"Other"))</f>
        <v/>
      </c>
      <c r="T636" s="11">
        <f>IF($A636="","",IF($B636="Cash Secured Put",$K636*$M636*100,IF($B636="Covered Call",$K636*$M636*100,IF($H636="Stock",$M636*$N636,""))))</f>
        <v/>
      </c>
      <c r="U636" s="19">
        <f>IF(OR($A636="",$C636&lt;&gt;"Closed",$D636="",$E636="",$T636=0),"",$R636/$T636*365/MAX(1,$E636-$D636))</f>
        <v/>
      </c>
      <c r="V636" s="14" t="n"/>
      <c r="W636" s="12" t="n"/>
    </row>
    <row r="637">
      <c r="A637" s="12" t="n"/>
      <c r="B637" s="14" t="n"/>
      <c r="C637" s="14" t="n"/>
      <c r="D637" s="15" t="n"/>
      <c r="E637" s="15" t="n"/>
      <c r="F637" s="16">
        <f>IF($E637="","",DATE(YEAR($E637),MONTH($E637),1))</f>
        <v/>
      </c>
      <c r="G637" s="14" t="n"/>
      <c r="H637" s="14" t="n"/>
      <c r="I637" s="14" t="n"/>
      <c r="J637" s="14" t="n"/>
      <c r="K637" s="17" t="n"/>
      <c r="L637" s="15" t="n"/>
      <c r="M637" s="14" t="n"/>
      <c r="N637" s="17" t="n"/>
      <c r="O637" s="17" t="n"/>
      <c r="P637" s="18" t="n"/>
      <c r="Q637" s="11">
        <f>IF($A637="","",IF($H637="Stock",IF($I637="Buy",-$M637*$N637-$P637,IF($I637="Sell",IF($N637="", $M637*$O637-$P637,($O637-$N637)*$M637-$P637),"")),IF($I637="Sell",($N637-IF($O637="",0,$O637))*$M637*100-$P637,IF($I637="Buy",(IF($O637="",0,$O637)-$N637)*$M637*100-$P637,""))))</f>
        <v/>
      </c>
      <c r="R637" s="11">
        <f>IF($A637="","",IF($C637="Open","",$Q637))</f>
        <v/>
      </c>
      <c r="S637" s="12">
        <f>IF($A637="","",IFS($B637="Covered Call","Covered Call Premium",$B637="Cash Secured Put","Cash Secured Put Premium",$B637="Long Call/Put","Long Call/Put P/L",$B637="Debit Spread","Long Call/Put P/L",$B637="Stock Sale","Stock Sales",TRUE,"Other"))</f>
        <v/>
      </c>
      <c r="T637" s="11">
        <f>IF($A637="","",IF($B637="Cash Secured Put",$K637*$M637*100,IF($B637="Covered Call",$K637*$M637*100,IF($H637="Stock",$M637*$N637,""))))</f>
        <v/>
      </c>
      <c r="U637" s="19">
        <f>IF(OR($A637="",$C637&lt;&gt;"Closed",$D637="",$E637="",$T637=0),"",$R637/$T637*365/MAX(1,$E637-$D637))</f>
        <v/>
      </c>
      <c r="V637" s="14" t="n"/>
      <c r="W637" s="12" t="n"/>
    </row>
    <row r="638">
      <c r="A638" s="12" t="n"/>
      <c r="B638" s="14" t="n"/>
      <c r="C638" s="14" t="n"/>
      <c r="D638" s="15" t="n"/>
      <c r="E638" s="15" t="n"/>
      <c r="F638" s="16">
        <f>IF($E638="","",DATE(YEAR($E638),MONTH($E638),1))</f>
        <v/>
      </c>
      <c r="G638" s="14" t="n"/>
      <c r="H638" s="14" t="n"/>
      <c r="I638" s="14" t="n"/>
      <c r="J638" s="14" t="n"/>
      <c r="K638" s="17" t="n"/>
      <c r="L638" s="15" t="n"/>
      <c r="M638" s="14" t="n"/>
      <c r="N638" s="17" t="n"/>
      <c r="O638" s="17" t="n"/>
      <c r="P638" s="18" t="n"/>
      <c r="Q638" s="11">
        <f>IF($A638="","",IF($H638="Stock",IF($I638="Buy",-$M638*$N638-$P638,IF($I638="Sell",IF($N638="", $M638*$O638-$P638,($O638-$N638)*$M638-$P638),"")),IF($I638="Sell",($N638-IF($O638="",0,$O638))*$M638*100-$P638,IF($I638="Buy",(IF($O638="",0,$O638)-$N638)*$M638*100-$P638,""))))</f>
        <v/>
      </c>
      <c r="R638" s="11">
        <f>IF($A638="","",IF($C638="Open","",$Q638))</f>
        <v/>
      </c>
      <c r="S638" s="12">
        <f>IF($A638="","",IFS($B638="Covered Call","Covered Call Premium",$B638="Cash Secured Put","Cash Secured Put Premium",$B638="Long Call/Put","Long Call/Put P/L",$B638="Debit Spread","Long Call/Put P/L",$B638="Stock Sale","Stock Sales",TRUE,"Other"))</f>
        <v/>
      </c>
      <c r="T638" s="11">
        <f>IF($A638="","",IF($B638="Cash Secured Put",$K638*$M638*100,IF($B638="Covered Call",$K638*$M638*100,IF($H638="Stock",$M638*$N638,""))))</f>
        <v/>
      </c>
      <c r="U638" s="19">
        <f>IF(OR($A638="",$C638&lt;&gt;"Closed",$D638="",$E638="",$T638=0),"",$R638/$T638*365/MAX(1,$E638-$D638))</f>
        <v/>
      </c>
      <c r="V638" s="14" t="n"/>
      <c r="W638" s="12" t="n"/>
    </row>
    <row r="639">
      <c r="A639" s="12" t="n"/>
      <c r="B639" s="14" t="n"/>
      <c r="C639" s="14" t="n"/>
      <c r="D639" s="15" t="n"/>
      <c r="E639" s="15" t="n"/>
      <c r="F639" s="16">
        <f>IF($E639="","",DATE(YEAR($E639),MONTH($E639),1))</f>
        <v/>
      </c>
      <c r="G639" s="14" t="n"/>
      <c r="H639" s="14" t="n"/>
      <c r="I639" s="14" t="n"/>
      <c r="J639" s="14" t="n"/>
      <c r="K639" s="17" t="n"/>
      <c r="L639" s="15" t="n"/>
      <c r="M639" s="14" t="n"/>
      <c r="N639" s="17" t="n"/>
      <c r="O639" s="17" t="n"/>
      <c r="P639" s="18" t="n"/>
      <c r="Q639" s="11">
        <f>IF($A639="","",IF($H639="Stock",IF($I639="Buy",-$M639*$N639-$P639,IF($I639="Sell",IF($N639="", $M639*$O639-$P639,($O639-$N639)*$M639-$P639),"")),IF($I639="Sell",($N639-IF($O639="",0,$O639))*$M639*100-$P639,IF($I639="Buy",(IF($O639="",0,$O639)-$N639)*$M639*100-$P639,""))))</f>
        <v/>
      </c>
      <c r="R639" s="11">
        <f>IF($A639="","",IF($C639="Open","",$Q639))</f>
        <v/>
      </c>
      <c r="S639" s="12">
        <f>IF($A639="","",IFS($B639="Covered Call","Covered Call Premium",$B639="Cash Secured Put","Cash Secured Put Premium",$B639="Long Call/Put","Long Call/Put P/L",$B639="Debit Spread","Long Call/Put P/L",$B639="Stock Sale","Stock Sales",TRUE,"Other"))</f>
        <v/>
      </c>
      <c r="T639" s="11">
        <f>IF($A639="","",IF($B639="Cash Secured Put",$K639*$M639*100,IF($B639="Covered Call",$K639*$M639*100,IF($H639="Stock",$M639*$N639,""))))</f>
        <v/>
      </c>
      <c r="U639" s="19">
        <f>IF(OR($A639="",$C639&lt;&gt;"Closed",$D639="",$E639="",$T639=0),"",$R639/$T639*365/MAX(1,$E639-$D639))</f>
        <v/>
      </c>
      <c r="V639" s="14" t="n"/>
      <c r="W639" s="12" t="n"/>
    </row>
    <row r="640">
      <c r="A640" s="12" t="n"/>
      <c r="B640" s="14" t="n"/>
      <c r="C640" s="14" t="n"/>
      <c r="D640" s="15" t="n"/>
      <c r="E640" s="15" t="n"/>
      <c r="F640" s="16">
        <f>IF($E640="","",DATE(YEAR($E640),MONTH($E640),1))</f>
        <v/>
      </c>
      <c r="G640" s="14" t="n"/>
      <c r="H640" s="14" t="n"/>
      <c r="I640" s="14" t="n"/>
      <c r="J640" s="14" t="n"/>
      <c r="K640" s="17" t="n"/>
      <c r="L640" s="15" t="n"/>
      <c r="M640" s="14" t="n"/>
      <c r="N640" s="17" t="n"/>
      <c r="O640" s="17" t="n"/>
      <c r="P640" s="18" t="n"/>
      <c r="Q640" s="11">
        <f>IF($A640="","",IF($H640="Stock",IF($I640="Buy",-$M640*$N640-$P640,IF($I640="Sell",IF($N640="", $M640*$O640-$P640,($O640-$N640)*$M640-$P640),"")),IF($I640="Sell",($N640-IF($O640="",0,$O640))*$M640*100-$P640,IF($I640="Buy",(IF($O640="",0,$O640)-$N640)*$M640*100-$P640,""))))</f>
        <v/>
      </c>
      <c r="R640" s="11">
        <f>IF($A640="","",IF($C640="Open","",$Q640))</f>
        <v/>
      </c>
      <c r="S640" s="12">
        <f>IF($A640="","",IFS($B640="Covered Call","Covered Call Premium",$B640="Cash Secured Put","Cash Secured Put Premium",$B640="Long Call/Put","Long Call/Put P/L",$B640="Debit Spread","Long Call/Put P/L",$B640="Stock Sale","Stock Sales",TRUE,"Other"))</f>
        <v/>
      </c>
      <c r="T640" s="11">
        <f>IF($A640="","",IF($B640="Cash Secured Put",$K640*$M640*100,IF($B640="Covered Call",$K640*$M640*100,IF($H640="Stock",$M640*$N640,""))))</f>
        <v/>
      </c>
      <c r="U640" s="19">
        <f>IF(OR($A640="",$C640&lt;&gt;"Closed",$D640="",$E640="",$T640=0),"",$R640/$T640*365/MAX(1,$E640-$D640))</f>
        <v/>
      </c>
      <c r="V640" s="14" t="n"/>
      <c r="W640" s="12" t="n"/>
    </row>
    <row r="641">
      <c r="A641" s="12" t="n"/>
      <c r="B641" s="14" t="n"/>
      <c r="C641" s="14" t="n"/>
      <c r="D641" s="15" t="n"/>
      <c r="E641" s="15" t="n"/>
      <c r="F641" s="16">
        <f>IF($E641="","",DATE(YEAR($E641),MONTH($E641),1))</f>
        <v/>
      </c>
      <c r="G641" s="14" t="n"/>
      <c r="H641" s="14" t="n"/>
      <c r="I641" s="14" t="n"/>
      <c r="J641" s="14" t="n"/>
      <c r="K641" s="17" t="n"/>
      <c r="L641" s="15" t="n"/>
      <c r="M641" s="14" t="n"/>
      <c r="N641" s="17" t="n"/>
      <c r="O641" s="17" t="n"/>
      <c r="P641" s="18" t="n"/>
      <c r="Q641" s="11">
        <f>IF($A641="","",IF($H641="Stock",IF($I641="Buy",-$M641*$N641-$P641,IF($I641="Sell",IF($N641="", $M641*$O641-$P641,($O641-$N641)*$M641-$P641),"")),IF($I641="Sell",($N641-IF($O641="",0,$O641))*$M641*100-$P641,IF($I641="Buy",(IF($O641="",0,$O641)-$N641)*$M641*100-$P641,""))))</f>
        <v/>
      </c>
      <c r="R641" s="11">
        <f>IF($A641="","",IF($C641="Open","",$Q641))</f>
        <v/>
      </c>
      <c r="S641" s="12">
        <f>IF($A641="","",IFS($B641="Covered Call","Covered Call Premium",$B641="Cash Secured Put","Cash Secured Put Premium",$B641="Long Call/Put","Long Call/Put P/L",$B641="Debit Spread","Long Call/Put P/L",$B641="Stock Sale","Stock Sales",TRUE,"Other"))</f>
        <v/>
      </c>
      <c r="T641" s="11">
        <f>IF($A641="","",IF($B641="Cash Secured Put",$K641*$M641*100,IF($B641="Covered Call",$K641*$M641*100,IF($H641="Stock",$M641*$N641,""))))</f>
        <v/>
      </c>
      <c r="U641" s="19">
        <f>IF(OR($A641="",$C641&lt;&gt;"Closed",$D641="",$E641="",$T641=0),"",$R641/$T641*365/MAX(1,$E641-$D641))</f>
        <v/>
      </c>
      <c r="V641" s="14" t="n"/>
      <c r="W641" s="12" t="n"/>
    </row>
    <row r="642">
      <c r="A642" s="12" t="n"/>
      <c r="B642" s="14" t="n"/>
      <c r="C642" s="14" t="n"/>
      <c r="D642" s="15" t="n"/>
      <c r="E642" s="15" t="n"/>
      <c r="F642" s="16">
        <f>IF($E642="","",DATE(YEAR($E642),MONTH($E642),1))</f>
        <v/>
      </c>
      <c r="G642" s="14" t="n"/>
      <c r="H642" s="14" t="n"/>
      <c r="I642" s="14" t="n"/>
      <c r="J642" s="14" t="n"/>
      <c r="K642" s="17" t="n"/>
      <c r="L642" s="15" t="n"/>
      <c r="M642" s="14" t="n"/>
      <c r="N642" s="17" t="n"/>
      <c r="O642" s="17" t="n"/>
      <c r="P642" s="18" t="n"/>
      <c r="Q642" s="11">
        <f>IF($A642="","",IF($H642="Stock",IF($I642="Buy",-$M642*$N642-$P642,IF($I642="Sell",IF($N642="", $M642*$O642-$P642,($O642-$N642)*$M642-$P642),"")),IF($I642="Sell",($N642-IF($O642="",0,$O642))*$M642*100-$P642,IF($I642="Buy",(IF($O642="",0,$O642)-$N642)*$M642*100-$P642,""))))</f>
        <v/>
      </c>
      <c r="R642" s="11">
        <f>IF($A642="","",IF($C642="Open","",$Q642))</f>
        <v/>
      </c>
      <c r="S642" s="12">
        <f>IF($A642="","",IFS($B642="Covered Call","Covered Call Premium",$B642="Cash Secured Put","Cash Secured Put Premium",$B642="Long Call/Put","Long Call/Put P/L",$B642="Debit Spread","Long Call/Put P/L",$B642="Stock Sale","Stock Sales",TRUE,"Other"))</f>
        <v/>
      </c>
      <c r="T642" s="11">
        <f>IF($A642="","",IF($B642="Cash Secured Put",$K642*$M642*100,IF($B642="Covered Call",$K642*$M642*100,IF($H642="Stock",$M642*$N642,""))))</f>
        <v/>
      </c>
      <c r="U642" s="19">
        <f>IF(OR($A642="",$C642&lt;&gt;"Closed",$D642="",$E642="",$T642=0),"",$R642/$T642*365/MAX(1,$E642-$D642))</f>
        <v/>
      </c>
      <c r="V642" s="14" t="n"/>
      <c r="W642" s="12" t="n"/>
    </row>
    <row r="643">
      <c r="A643" s="12" t="n"/>
      <c r="B643" s="14" t="n"/>
      <c r="C643" s="14" t="n"/>
      <c r="D643" s="15" t="n"/>
      <c r="E643" s="15" t="n"/>
      <c r="F643" s="16">
        <f>IF($E643="","",DATE(YEAR($E643),MONTH($E643),1))</f>
        <v/>
      </c>
      <c r="G643" s="14" t="n"/>
      <c r="H643" s="14" t="n"/>
      <c r="I643" s="14" t="n"/>
      <c r="J643" s="14" t="n"/>
      <c r="K643" s="17" t="n"/>
      <c r="L643" s="15" t="n"/>
      <c r="M643" s="14" t="n"/>
      <c r="N643" s="17" t="n"/>
      <c r="O643" s="17" t="n"/>
      <c r="P643" s="18" t="n"/>
      <c r="Q643" s="11">
        <f>IF($A643="","",IF($H643="Stock",IF($I643="Buy",-$M643*$N643-$P643,IF($I643="Sell",IF($N643="", $M643*$O643-$P643,($O643-$N643)*$M643-$P643),"")),IF($I643="Sell",($N643-IF($O643="",0,$O643))*$M643*100-$P643,IF($I643="Buy",(IF($O643="",0,$O643)-$N643)*$M643*100-$P643,""))))</f>
        <v/>
      </c>
      <c r="R643" s="11">
        <f>IF($A643="","",IF($C643="Open","",$Q643))</f>
        <v/>
      </c>
      <c r="S643" s="12">
        <f>IF($A643="","",IFS($B643="Covered Call","Covered Call Premium",$B643="Cash Secured Put","Cash Secured Put Premium",$B643="Long Call/Put","Long Call/Put P/L",$B643="Debit Spread","Long Call/Put P/L",$B643="Stock Sale","Stock Sales",TRUE,"Other"))</f>
        <v/>
      </c>
      <c r="T643" s="11">
        <f>IF($A643="","",IF($B643="Cash Secured Put",$K643*$M643*100,IF($B643="Covered Call",$K643*$M643*100,IF($H643="Stock",$M643*$N643,""))))</f>
        <v/>
      </c>
      <c r="U643" s="19">
        <f>IF(OR($A643="",$C643&lt;&gt;"Closed",$D643="",$E643="",$T643=0),"",$R643/$T643*365/MAX(1,$E643-$D643))</f>
        <v/>
      </c>
      <c r="V643" s="14" t="n"/>
      <c r="W643" s="12" t="n"/>
    </row>
    <row r="644">
      <c r="A644" s="12" t="n"/>
      <c r="B644" s="14" t="n"/>
      <c r="C644" s="14" t="n"/>
      <c r="D644" s="15" t="n"/>
      <c r="E644" s="15" t="n"/>
      <c r="F644" s="16">
        <f>IF($E644="","",DATE(YEAR($E644),MONTH($E644),1))</f>
        <v/>
      </c>
      <c r="G644" s="14" t="n"/>
      <c r="H644" s="14" t="n"/>
      <c r="I644" s="14" t="n"/>
      <c r="J644" s="14" t="n"/>
      <c r="K644" s="17" t="n"/>
      <c r="L644" s="15" t="n"/>
      <c r="M644" s="14" t="n"/>
      <c r="N644" s="17" t="n"/>
      <c r="O644" s="17" t="n"/>
      <c r="P644" s="18" t="n"/>
      <c r="Q644" s="11">
        <f>IF($A644="","",IF($H644="Stock",IF($I644="Buy",-$M644*$N644-$P644,IF($I644="Sell",IF($N644="", $M644*$O644-$P644,($O644-$N644)*$M644-$P644),"")),IF($I644="Sell",($N644-IF($O644="",0,$O644))*$M644*100-$P644,IF($I644="Buy",(IF($O644="",0,$O644)-$N644)*$M644*100-$P644,""))))</f>
        <v/>
      </c>
      <c r="R644" s="11">
        <f>IF($A644="","",IF($C644="Open","",$Q644))</f>
        <v/>
      </c>
      <c r="S644" s="12">
        <f>IF($A644="","",IFS($B644="Covered Call","Covered Call Premium",$B644="Cash Secured Put","Cash Secured Put Premium",$B644="Long Call/Put","Long Call/Put P/L",$B644="Debit Spread","Long Call/Put P/L",$B644="Stock Sale","Stock Sales",TRUE,"Other"))</f>
        <v/>
      </c>
      <c r="T644" s="11">
        <f>IF($A644="","",IF($B644="Cash Secured Put",$K644*$M644*100,IF($B644="Covered Call",$K644*$M644*100,IF($H644="Stock",$M644*$N644,""))))</f>
        <v/>
      </c>
      <c r="U644" s="19">
        <f>IF(OR($A644="",$C644&lt;&gt;"Closed",$D644="",$E644="",$T644=0),"",$R644/$T644*365/MAX(1,$E644-$D644))</f>
        <v/>
      </c>
      <c r="V644" s="14" t="n"/>
      <c r="W644" s="12" t="n"/>
    </row>
    <row r="645">
      <c r="A645" s="12" t="n"/>
      <c r="B645" s="14" t="n"/>
      <c r="C645" s="14" t="n"/>
      <c r="D645" s="15" t="n"/>
      <c r="E645" s="15" t="n"/>
      <c r="F645" s="16">
        <f>IF($E645="","",DATE(YEAR($E645),MONTH($E645),1))</f>
        <v/>
      </c>
      <c r="G645" s="14" t="n"/>
      <c r="H645" s="14" t="n"/>
      <c r="I645" s="14" t="n"/>
      <c r="J645" s="14" t="n"/>
      <c r="K645" s="17" t="n"/>
      <c r="L645" s="15" t="n"/>
      <c r="M645" s="14" t="n"/>
      <c r="N645" s="17" t="n"/>
      <c r="O645" s="17" t="n"/>
      <c r="P645" s="18" t="n"/>
      <c r="Q645" s="11">
        <f>IF($A645="","",IF($H645="Stock",IF($I645="Buy",-$M645*$N645-$P645,IF($I645="Sell",IF($N645="", $M645*$O645-$P645,($O645-$N645)*$M645-$P645),"")),IF($I645="Sell",($N645-IF($O645="",0,$O645))*$M645*100-$P645,IF($I645="Buy",(IF($O645="",0,$O645)-$N645)*$M645*100-$P645,""))))</f>
        <v/>
      </c>
      <c r="R645" s="11">
        <f>IF($A645="","",IF($C645="Open","",$Q645))</f>
        <v/>
      </c>
      <c r="S645" s="12">
        <f>IF($A645="","",IFS($B645="Covered Call","Covered Call Premium",$B645="Cash Secured Put","Cash Secured Put Premium",$B645="Long Call/Put","Long Call/Put P/L",$B645="Debit Spread","Long Call/Put P/L",$B645="Stock Sale","Stock Sales",TRUE,"Other"))</f>
        <v/>
      </c>
      <c r="T645" s="11">
        <f>IF($A645="","",IF($B645="Cash Secured Put",$K645*$M645*100,IF($B645="Covered Call",$K645*$M645*100,IF($H645="Stock",$M645*$N645,""))))</f>
        <v/>
      </c>
      <c r="U645" s="19">
        <f>IF(OR($A645="",$C645&lt;&gt;"Closed",$D645="",$E645="",$T645=0),"",$R645/$T645*365/MAX(1,$E645-$D645))</f>
        <v/>
      </c>
      <c r="V645" s="14" t="n"/>
      <c r="W645" s="12" t="n"/>
    </row>
    <row r="646">
      <c r="A646" s="12" t="n"/>
      <c r="B646" s="14" t="n"/>
      <c r="C646" s="14" t="n"/>
      <c r="D646" s="15" t="n"/>
      <c r="E646" s="15" t="n"/>
      <c r="F646" s="16">
        <f>IF($E646="","",DATE(YEAR($E646),MONTH($E646),1))</f>
        <v/>
      </c>
      <c r="G646" s="14" t="n"/>
      <c r="H646" s="14" t="n"/>
      <c r="I646" s="14" t="n"/>
      <c r="J646" s="14" t="n"/>
      <c r="K646" s="17" t="n"/>
      <c r="L646" s="15" t="n"/>
      <c r="M646" s="14" t="n"/>
      <c r="N646" s="17" t="n"/>
      <c r="O646" s="17" t="n"/>
      <c r="P646" s="18" t="n"/>
      <c r="Q646" s="11">
        <f>IF($A646="","",IF($H646="Stock",IF($I646="Buy",-$M646*$N646-$P646,IF($I646="Sell",IF($N646="", $M646*$O646-$P646,($O646-$N646)*$M646-$P646),"")),IF($I646="Sell",($N646-IF($O646="",0,$O646))*$M646*100-$P646,IF($I646="Buy",(IF($O646="",0,$O646)-$N646)*$M646*100-$P646,""))))</f>
        <v/>
      </c>
      <c r="R646" s="11">
        <f>IF($A646="","",IF($C646="Open","",$Q646))</f>
        <v/>
      </c>
      <c r="S646" s="12">
        <f>IF($A646="","",IFS($B646="Covered Call","Covered Call Premium",$B646="Cash Secured Put","Cash Secured Put Premium",$B646="Long Call/Put","Long Call/Put P/L",$B646="Debit Spread","Long Call/Put P/L",$B646="Stock Sale","Stock Sales",TRUE,"Other"))</f>
        <v/>
      </c>
      <c r="T646" s="11">
        <f>IF($A646="","",IF($B646="Cash Secured Put",$K646*$M646*100,IF($B646="Covered Call",$K646*$M646*100,IF($H646="Stock",$M646*$N646,""))))</f>
        <v/>
      </c>
      <c r="U646" s="19">
        <f>IF(OR($A646="",$C646&lt;&gt;"Closed",$D646="",$E646="",$T646=0),"",$R646/$T646*365/MAX(1,$E646-$D646))</f>
        <v/>
      </c>
      <c r="V646" s="14" t="n"/>
      <c r="W646" s="12" t="n"/>
    </row>
    <row r="647">
      <c r="A647" s="12" t="n"/>
      <c r="B647" s="14" t="n"/>
      <c r="C647" s="14" t="n"/>
      <c r="D647" s="15" t="n"/>
      <c r="E647" s="15" t="n"/>
      <c r="F647" s="16">
        <f>IF($E647="","",DATE(YEAR($E647),MONTH($E647),1))</f>
        <v/>
      </c>
      <c r="G647" s="14" t="n"/>
      <c r="H647" s="14" t="n"/>
      <c r="I647" s="14" t="n"/>
      <c r="J647" s="14" t="n"/>
      <c r="K647" s="17" t="n"/>
      <c r="L647" s="15" t="n"/>
      <c r="M647" s="14" t="n"/>
      <c r="N647" s="17" t="n"/>
      <c r="O647" s="17" t="n"/>
      <c r="P647" s="18" t="n"/>
      <c r="Q647" s="11">
        <f>IF($A647="","",IF($H647="Stock",IF($I647="Buy",-$M647*$N647-$P647,IF($I647="Sell",IF($N647="", $M647*$O647-$P647,($O647-$N647)*$M647-$P647),"")),IF($I647="Sell",($N647-IF($O647="",0,$O647))*$M647*100-$P647,IF($I647="Buy",(IF($O647="",0,$O647)-$N647)*$M647*100-$P647,""))))</f>
        <v/>
      </c>
      <c r="R647" s="11">
        <f>IF($A647="","",IF($C647="Open","",$Q647))</f>
        <v/>
      </c>
      <c r="S647" s="12">
        <f>IF($A647="","",IFS($B647="Covered Call","Covered Call Premium",$B647="Cash Secured Put","Cash Secured Put Premium",$B647="Long Call/Put","Long Call/Put P/L",$B647="Debit Spread","Long Call/Put P/L",$B647="Stock Sale","Stock Sales",TRUE,"Other"))</f>
        <v/>
      </c>
      <c r="T647" s="11">
        <f>IF($A647="","",IF($B647="Cash Secured Put",$K647*$M647*100,IF($B647="Covered Call",$K647*$M647*100,IF($H647="Stock",$M647*$N647,""))))</f>
        <v/>
      </c>
      <c r="U647" s="19">
        <f>IF(OR($A647="",$C647&lt;&gt;"Closed",$D647="",$E647="",$T647=0),"",$R647/$T647*365/MAX(1,$E647-$D647))</f>
        <v/>
      </c>
      <c r="V647" s="14" t="n"/>
      <c r="W647" s="12" t="n"/>
    </row>
    <row r="648">
      <c r="A648" s="12" t="n"/>
      <c r="B648" s="14" t="n"/>
      <c r="C648" s="14" t="n"/>
      <c r="D648" s="15" t="n"/>
      <c r="E648" s="15" t="n"/>
      <c r="F648" s="16">
        <f>IF($E648="","",DATE(YEAR($E648),MONTH($E648),1))</f>
        <v/>
      </c>
      <c r="G648" s="14" t="n"/>
      <c r="H648" s="14" t="n"/>
      <c r="I648" s="14" t="n"/>
      <c r="J648" s="14" t="n"/>
      <c r="K648" s="17" t="n"/>
      <c r="L648" s="15" t="n"/>
      <c r="M648" s="14" t="n"/>
      <c r="N648" s="17" t="n"/>
      <c r="O648" s="17" t="n"/>
      <c r="P648" s="18" t="n"/>
      <c r="Q648" s="11">
        <f>IF($A648="","",IF($H648="Stock",IF($I648="Buy",-$M648*$N648-$P648,IF($I648="Sell",IF($N648="", $M648*$O648-$P648,($O648-$N648)*$M648-$P648),"")),IF($I648="Sell",($N648-IF($O648="",0,$O648))*$M648*100-$P648,IF($I648="Buy",(IF($O648="",0,$O648)-$N648)*$M648*100-$P648,""))))</f>
        <v/>
      </c>
      <c r="R648" s="11">
        <f>IF($A648="","",IF($C648="Open","",$Q648))</f>
        <v/>
      </c>
      <c r="S648" s="12">
        <f>IF($A648="","",IFS($B648="Covered Call","Covered Call Premium",$B648="Cash Secured Put","Cash Secured Put Premium",$B648="Long Call/Put","Long Call/Put P/L",$B648="Debit Spread","Long Call/Put P/L",$B648="Stock Sale","Stock Sales",TRUE,"Other"))</f>
        <v/>
      </c>
      <c r="T648" s="11">
        <f>IF($A648="","",IF($B648="Cash Secured Put",$K648*$M648*100,IF($B648="Covered Call",$K648*$M648*100,IF($H648="Stock",$M648*$N648,""))))</f>
        <v/>
      </c>
      <c r="U648" s="19">
        <f>IF(OR($A648="",$C648&lt;&gt;"Closed",$D648="",$E648="",$T648=0),"",$R648/$T648*365/MAX(1,$E648-$D648))</f>
        <v/>
      </c>
      <c r="V648" s="14" t="n"/>
      <c r="W648" s="12" t="n"/>
    </row>
    <row r="649">
      <c r="A649" s="12" t="n"/>
      <c r="B649" s="14" t="n"/>
      <c r="C649" s="14" t="n"/>
      <c r="D649" s="15" t="n"/>
      <c r="E649" s="15" t="n"/>
      <c r="F649" s="16">
        <f>IF($E649="","",DATE(YEAR($E649),MONTH($E649),1))</f>
        <v/>
      </c>
      <c r="G649" s="14" t="n"/>
      <c r="H649" s="14" t="n"/>
      <c r="I649" s="14" t="n"/>
      <c r="J649" s="14" t="n"/>
      <c r="K649" s="17" t="n"/>
      <c r="L649" s="15" t="n"/>
      <c r="M649" s="14" t="n"/>
      <c r="N649" s="17" t="n"/>
      <c r="O649" s="17" t="n"/>
      <c r="P649" s="18" t="n"/>
      <c r="Q649" s="11">
        <f>IF($A649="","",IF($H649="Stock",IF($I649="Buy",-$M649*$N649-$P649,IF($I649="Sell",IF($N649="", $M649*$O649-$P649,($O649-$N649)*$M649-$P649),"")),IF($I649="Sell",($N649-IF($O649="",0,$O649))*$M649*100-$P649,IF($I649="Buy",(IF($O649="",0,$O649)-$N649)*$M649*100-$P649,""))))</f>
        <v/>
      </c>
      <c r="R649" s="11">
        <f>IF($A649="","",IF($C649="Open","",$Q649))</f>
        <v/>
      </c>
      <c r="S649" s="12">
        <f>IF($A649="","",IFS($B649="Covered Call","Covered Call Premium",$B649="Cash Secured Put","Cash Secured Put Premium",$B649="Long Call/Put","Long Call/Put P/L",$B649="Debit Spread","Long Call/Put P/L",$B649="Stock Sale","Stock Sales",TRUE,"Other"))</f>
        <v/>
      </c>
      <c r="T649" s="11">
        <f>IF($A649="","",IF($B649="Cash Secured Put",$K649*$M649*100,IF($B649="Covered Call",$K649*$M649*100,IF($H649="Stock",$M649*$N649,""))))</f>
        <v/>
      </c>
      <c r="U649" s="19">
        <f>IF(OR($A649="",$C649&lt;&gt;"Closed",$D649="",$E649="",$T649=0),"",$R649/$T649*365/MAX(1,$E649-$D649))</f>
        <v/>
      </c>
      <c r="V649" s="14" t="n"/>
      <c r="W649" s="12" t="n"/>
    </row>
    <row r="650">
      <c r="A650" s="12" t="n"/>
      <c r="B650" s="14" t="n"/>
      <c r="C650" s="14" t="n"/>
      <c r="D650" s="15" t="n"/>
      <c r="E650" s="15" t="n"/>
      <c r="F650" s="16">
        <f>IF($E650="","",DATE(YEAR($E650),MONTH($E650),1))</f>
        <v/>
      </c>
      <c r="G650" s="14" t="n"/>
      <c r="H650" s="14" t="n"/>
      <c r="I650" s="14" t="n"/>
      <c r="J650" s="14" t="n"/>
      <c r="K650" s="17" t="n"/>
      <c r="L650" s="15" t="n"/>
      <c r="M650" s="14" t="n"/>
      <c r="N650" s="17" t="n"/>
      <c r="O650" s="17" t="n"/>
      <c r="P650" s="18" t="n"/>
      <c r="Q650" s="11">
        <f>IF($A650="","",IF($H650="Stock",IF($I650="Buy",-$M650*$N650-$P650,IF($I650="Sell",IF($N650="", $M650*$O650-$P650,($O650-$N650)*$M650-$P650),"")),IF($I650="Sell",($N650-IF($O650="",0,$O650))*$M650*100-$P650,IF($I650="Buy",(IF($O650="",0,$O650)-$N650)*$M650*100-$P650,""))))</f>
        <v/>
      </c>
      <c r="R650" s="11">
        <f>IF($A650="","",IF($C650="Open","",$Q650))</f>
        <v/>
      </c>
      <c r="S650" s="12">
        <f>IF($A650="","",IFS($B650="Covered Call","Covered Call Premium",$B650="Cash Secured Put","Cash Secured Put Premium",$B650="Long Call/Put","Long Call/Put P/L",$B650="Debit Spread","Long Call/Put P/L",$B650="Stock Sale","Stock Sales",TRUE,"Other"))</f>
        <v/>
      </c>
      <c r="T650" s="11">
        <f>IF($A650="","",IF($B650="Cash Secured Put",$K650*$M650*100,IF($B650="Covered Call",$K650*$M650*100,IF($H650="Stock",$M650*$N650,""))))</f>
        <v/>
      </c>
      <c r="U650" s="19">
        <f>IF(OR($A650="",$C650&lt;&gt;"Closed",$D650="",$E650="",$T650=0),"",$R650/$T650*365/MAX(1,$E650-$D650))</f>
        <v/>
      </c>
      <c r="V650" s="14" t="n"/>
      <c r="W650" s="12" t="n"/>
    </row>
    <row r="651">
      <c r="A651" s="12" t="n"/>
      <c r="B651" s="14" t="n"/>
      <c r="C651" s="14" t="n"/>
      <c r="D651" s="15" t="n"/>
      <c r="E651" s="15" t="n"/>
      <c r="F651" s="16">
        <f>IF($E651="","",DATE(YEAR($E651),MONTH($E651),1))</f>
        <v/>
      </c>
      <c r="G651" s="14" t="n"/>
      <c r="H651" s="14" t="n"/>
      <c r="I651" s="14" t="n"/>
      <c r="J651" s="14" t="n"/>
      <c r="K651" s="17" t="n"/>
      <c r="L651" s="15" t="n"/>
      <c r="M651" s="14" t="n"/>
      <c r="N651" s="17" t="n"/>
      <c r="O651" s="17" t="n"/>
      <c r="P651" s="18" t="n"/>
      <c r="Q651" s="11">
        <f>IF($A651="","",IF($H651="Stock",IF($I651="Buy",-$M651*$N651-$P651,IF($I651="Sell",IF($N651="", $M651*$O651-$P651,($O651-$N651)*$M651-$P651),"")),IF($I651="Sell",($N651-IF($O651="",0,$O651))*$M651*100-$P651,IF($I651="Buy",(IF($O651="",0,$O651)-$N651)*$M651*100-$P651,""))))</f>
        <v/>
      </c>
      <c r="R651" s="11">
        <f>IF($A651="","",IF($C651="Open","",$Q651))</f>
        <v/>
      </c>
      <c r="S651" s="12">
        <f>IF($A651="","",IFS($B651="Covered Call","Covered Call Premium",$B651="Cash Secured Put","Cash Secured Put Premium",$B651="Long Call/Put","Long Call/Put P/L",$B651="Debit Spread","Long Call/Put P/L",$B651="Stock Sale","Stock Sales",TRUE,"Other"))</f>
        <v/>
      </c>
      <c r="T651" s="11">
        <f>IF($A651="","",IF($B651="Cash Secured Put",$K651*$M651*100,IF($B651="Covered Call",$K651*$M651*100,IF($H651="Stock",$M651*$N651,""))))</f>
        <v/>
      </c>
      <c r="U651" s="19">
        <f>IF(OR($A651="",$C651&lt;&gt;"Closed",$D651="",$E651="",$T651=0),"",$R651/$T651*365/MAX(1,$E651-$D651))</f>
        <v/>
      </c>
      <c r="V651" s="14" t="n"/>
      <c r="W651" s="12" t="n"/>
    </row>
    <row r="652">
      <c r="A652" s="12" t="n"/>
      <c r="B652" s="14" t="n"/>
      <c r="C652" s="14" t="n"/>
      <c r="D652" s="15" t="n"/>
      <c r="E652" s="15" t="n"/>
      <c r="F652" s="16">
        <f>IF($E652="","",DATE(YEAR($E652),MONTH($E652),1))</f>
        <v/>
      </c>
      <c r="G652" s="14" t="n"/>
      <c r="H652" s="14" t="n"/>
      <c r="I652" s="14" t="n"/>
      <c r="J652" s="14" t="n"/>
      <c r="K652" s="17" t="n"/>
      <c r="L652" s="15" t="n"/>
      <c r="M652" s="14" t="n"/>
      <c r="N652" s="17" t="n"/>
      <c r="O652" s="17" t="n"/>
      <c r="P652" s="18" t="n"/>
      <c r="Q652" s="11">
        <f>IF($A652="","",IF($H652="Stock",IF($I652="Buy",-$M652*$N652-$P652,IF($I652="Sell",IF($N652="", $M652*$O652-$P652,($O652-$N652)*$M652-$P652),"")),IF($I652="Sell",($N652-IF($O652="",0,$O652))*$M652*100-$P652,IF($I652="Buy",(IF($O652="",0,$O652)-$N652)*$M652*100-$P652,""))))</f>
        <v/>
      </c>
      <c r="R652" s="11">
        <f>IF($A652="","",IF($C652="Open","",$Q652))</f>
        <v/>
      </c>
      <c r="S652" s="12">
        <f>IF($A652="","",IFS($B652="Covered Call","Covered Call Premium",$B652="Cash Secured Put","Cash Secured Put Premium",$B652="Long Call/Put","Long Call/Put P/L",$B652="Debit Spread","Long Call/Put P/L",$B652="Stock Sale","Stock Sales",TRUE,"Other"))</f>
        <v/>
      </c>
      <c r="T652" s="11">
        <f>IF($A652="","",IF($B652="Cash Secured Put",$K652*$M652*100,IF($B652="Covered Call",$K652*$M652*100,IF($H652="Stock",$M652*$N652,""))))</f>
        <v/>
      </c>
      <c r="U652" s="19">
        <f>IF(OR($A652="",$C652&lt;&gt;"Closed",$D652="",$E652="",$T652=0),"",$R652/$T652*365/MAX(1,$E652-$D652))</f>
        <v/>
      </c>
      <c r="V652" s="14" t="n"/>
      <c r="W652" s="12" t="n"/>
    </row>
    <row r="653">
      <c r="A653" s="12" t="n"/>
      <c r="B653" s="14" t="n"/>
      <c r="C653" s="14" t="n"/>
      <c r="D653" s="15" t="n"/>
      <c r="E653" s="15" t="n"/>
      <c r="F653" s="16">
        <f>IF($E653="","",DATE(YEAR($E653),MONTH($E653),1))</f>
        <v/>
      </c>
      <c r="G653" s="14" t="n"/>
      <c r="H653" s="14" t="n"/>
      <c r="I653" s="14" t="n"/>
      <c r="J653" s="14" t="n"/>
      <c r="K653" s="17" t="n"/>
      <c r="L653" s="15" t="n"/>
      <c r="M653" s="14" t="n"/>
      <c r="N653" s="17" t="n"/>
      <c r="O653" s="17" t="n"/>
      <c r="P653" s="18" t="n"/>
      <c r="Q653" s="11">
        <f>IF($A653="","",IF($H653="Stock",IF($I653="Buy",-$M653*$N653-$P653,IF($I653="Sell",IF($N653="", $M653*$O653-$P653,($O653-$N653)*$M653-$P653),"")),IF($I653="Sell",($N653-IF($O653="",0,$O653))*$M653*100-$P653,IF($I653="Buy",(IF($O653="",0,$O653)-$N653)*$M653*100-$P653,""))))</f>
        <v/>
      </c>
      <c r="R653" s="11">
        <f>IF($A653="","",IF($C653="Open","",$Q653))</f>
        <v/>
      </c>
      <c r="S653" s="12">
        <f>IF($A653="","",IFS($B653="Covered Call","Covered Call Premium",$B653="Cash Secured Put","Cash Secured Put Premium",$B653="Long Call/Put","Long Call/Put P/L",$B653="Debit Spread","Long Call/Put P/L",$B653="Stock Sale","Stock Sales",TRUE,"Other"))</f>
        <v/>
      </c>
      <c r="T653" s="11">
        <f>IF($A653="","",IF($B653="Cash Secured Put",$K653*$M653*100,IF($B653="Covered Call",$K653*$M653*100,IF($H653="Stock",$M653*$N653,""))))</f>
        <v/>
      </c>
      <c r="U653" s="19">
        <f>IF(OR($A653="",$C653&lt;&gt;"Closed",$D653="",$E653="",$T653=0),"",$R653/$T653*365/MAX(1,$E653-$D653))</f>
        <v/>
      </c>
      <c r="V653" s="14" t="n"/>
      <c r="W653" s="12" t="n"/>
    </row>
    <row r="654">
      <c r="A654" s="12" t="n"/>
      <c r="B654" s="14" t="n"/>
      <c r="C654" s="14" t="n"/>
      <c r="D654" s="15" t="n"/>
      <c r="E654" s="15" t="n"/>
      <c r="F654" s="16">
        <f>IF($E654="","",DATE(YEAR($E654),MONTH($E654),1))</f>
        <v/>
      </c>
      <c r="G654" s="14" t="n"/>
      <c r="H654" s="14" t="n"/>
      <c r="I654" s="14" t="n"/>
      <c r="J654" s="14" t="n"/>
      <c r="K654" s="17" t="n"/>
      <c r="L654" s="15" t="n"/>
      <c r="M654" s="14" t="n"/>
      <c r="N654" s="17" t="n"/>
      <c r="O654" s="17" t="n"/>
      <c r="P654" s="18" t="n"/>
      <c r="Q654" s="11">
        <f>IF($A654="","",IF($H654="Stock",IF($I654="Buy",-$M654*$N654-$P654,IF($I654="Sell",IF($N654="", $M654*$O654-$P654,($O654-$N654)*$M654-$P654),"")),IF($I654="Sell",($N654-IF($O654="",0,$O654))*$M654*100-$P654,IF($I654="Buy",(IF($O654="",0,$O654)-$N654)*$M654*100-$P654,""))))</f>
        <v/>
      </c>
      <c r="R654" s="11">
        <f>IF($A654="","",IF($C654="Open","",$Q654))</f>
        <v/>
      </c>
      <c r="S654" s="12">
        <f>IF($A654="","",IFS($B654="Covered Call","Covered Call Premium",$B654="Cash Secured Put","Cash Secured Put Premium",$B654="Long Call/Put","Long Call/Put P/L",$B654="Debit Spread","Long Call/Put P/L",$B654="Stock Sale","Stock Sales",TRUE,"Other"))</f>
        <v/>
      </c>
      <c r="T654" s="11">
        <f>IF($A654="","",IF($B654="Cash Secured Put",$K654*$M654*100,IF($B654="Covered Call",$K654*$M654*100,IF($H654="Stock",$M654*$N654,""))))</f>
        <v/>
      </c>
      <c r="U654" s="19">
        <f>IF(OR($A654="",$C654&lt;&gt;"Closed",$D654="",$E654="",$T654=0),"",$R654/$T654*365/MAX(1,$E654-$D654))</f>
        <v/>
      </c>
      <c r="V654" s="14" t="n"/>
      <c r="W654" s="12" t="n"/>
    </row>
    <row r="655">
      <c r="A655" s="12" t="n"/>
      <c r="B655" s="14" t="n"/>
      <c r="C655" s="14" t="n"/>
      <c r="D655" s="15" t="n"/>
      <c r="E655" s="15" t="n"/>
      <c r="F655" s="16">
        <f>IF($E655="","",DATE(YEAR($E655),MONTH($E655),1))</f>
        <v/>
      </c>
      <c r="G655" s="14" t="n"/>
      <c r="H655" s="14" t="n"/>
      <c r="I655" s="14" t="n"/>
      <c r="J655" s="14" t="n"/>
      <c r="K655" s="17" t="n"/>
      <c r="L655" s="15" t="n"/>
      <c r="M655" s="14" t="n"/>
      <c r="N655" s="17" t="n"/>
      <c r="O655" s="17" t="n"/>
      <c r="P655" s="18" t="n"/>
      <c r="Q655" s="11">
        <f>IF($A655="","",IF($H655="Stock",IF($I655="Buy",-$M655*$N655-$P655,IF($I655="Sell",IF($N655="", $M655*$O655-$P655,($O655-$N655)*$M655-$P655),"")),IF($I655="Sell",($N655-IF($O655="",0,$O655))*$M655*100-$P655,IF($I655="Buy",(IF($O655="",0,$O655)-$N655)*$M655*100-$P655,""))))</f>
        <v/>
      </c>
      <c r="R655" s="11">
        <f>IF($A655="","",IF($C655="Open","",$Q655))</f>
        <v/>
      </c>
      <c r="S655" s="12">
        <f>IF($A655="","",IFS($B655="Covered Call","Covered Call Premium",$B655="Cash Secured Put","Cash Secured Put Premium",$B655="Long Call/Put","Long Call/Put P/L",$B655="Debit Spread","Long Call/Put P/L",$B655="Stock Sale","Stock Sales",TRUE,"Other"))</f>
        <v/>
      </c>
      <c r="T655" s="11">
        <f>IF($A655="","",IF($B655="Cash Secured Put",$K655*$M655*100,IF($B655="Covered Call",$K655*$M655*100,IF($H655="Stock",$M655*$N655,""))))</f>
        <v/>
      </c>
      <c r="U655" s="19">
        <f>IF(OR($A655="",$C655&lt;&gt;"Closed",$D655="",$E655="",$T655=0),"",$R655/$T655*365/MAX(1,$E655-$D655))</f>
        <v/>
      </c>
      <c r="V655" s="14" t="n"/>
      <c r="W655" s="12" t="n"/>
    </row>
    <row r="656">
      <c r="A656" s="12" t="n"/>
      <c r="B656" s="14" t="n"/>
      <c r="C656" s="14" t="n"/>
      <c r="D656" s="15" t="n"/>
      <c r="E656" s="15" t="n"/>
      <c r="F656" s="16">
        <f>IF($E656="","",DATE(YEAR($E656),MONTH($E656),1))</f>
        <v/>
      </c>
      <c r="G656" s="14" t="n"/>
      <c r="H656" s="14" t="n"/>
      <c r="I656" s="14" t="n"/>
      <c r="J656" s="14" t="n"/>
      <c r="K656" s="17" t="n"/>
      <c r="L656" s="15" t="n"/>
      <c r="M656" s="14" t="n"/>
      <c r="N656" s="17" t="n"/>
      <c r="O656" s="17" t="n"/>
      <c r="P656" s="18" t="n"/>
      <c r="Q656" s="11">
        <f>IF($A656="","",IF($H656="Stock",IF($I656="Buy",-$M656*$N656-$P656,IF($I656="Sell",IF($N656="", $M656*$O656-$P656,($O656-$N656)*$M656-$P656),"")),IF($I656="Sell",($N656-IF($O656="",0,$O656))*$M656*100-$P656,IF($I656="Buy",(IF($O656="",0,$O656)-$N656)*$M656*100-$P656,""))))</f>
        <v/>
      </c>
      <c r="R656" s="11">
        <f>IF($A656="","",IF($C656="Open","",$Q656))</f>
        <v/>
      </c>
      <c r="S656" s="12">
        <f>IF($A656="","",IFS($B656="Covered Call","Covered Call Premium",$B656="Cash Secured Put","Cash Secured Put Premium",$B656="Long Call/Put","Long Call/Put P/L",$B656="Debit Spread","Long Call/Put P/L",$B656="Stock Sale","Stock Sales",TRUE,"Other"))</f>
        <v/>
      </c>
      <c r="T656" s="11">
        <f>IF($A656="","",IF($B656="Cash Secured Put",$K656*$M656*100,IF($B656="Covered Call",$K656*$M656*100,IF($H656="Stock",$M656*$N656,""))))</f>
        <v/>
      </c>
      <c r="U656" s="19">
        <f>IF(OR($A656="",$C656&lt;&gt;"Closed",$D656="",$E656="",$T656=0),"",$R656/$T656*365/MAX(1,$E656-$D656))</f>
        <v/>
      </c>
      <c r="V656" s="14" t="n"/>
      <c r="W656" s="12" t="n"/>
    </row>
    <row r="657">
      <c r="A657" s="12" t="n"/>
      <c r="B657" s="14" t="n"/>
      <c r="C657" s="14" t="n"/>
      <c r="D657" s="15" t="n"/>
      <c r="E657" s="15" t="n"/>
      <c r="F657" s="16">
        <f>IF($E657="","",DATE(YEAR($E657),MONTH($E657),1))</f>
        <v/>
      </c>
      <c r="G657" s="14" t="n"/>
      <c r="H657" s="14" t="n"/>
      <c r="I657" s="14" t="n"/>
      <c r="J657" s="14" t="n"/>
      <c r="K657" s="17" t="n"/>
      <c r="L657" s="15" t="n"/>
      <c r="M657" s="14" t="n"/>
      <c r="N657" s="17" t="n"/>
      <c r="O657" s="17" t="n"/>
      <c r="P657" s="18" t="n"/>
      <c r="Q657" s="11">
        <f>IF($A657="","",IF($H657="Stock",IF($I657="Buy",-$M657*$N657-$P657,IF($I657="Sell",IF($N657="", $M657*$O657-$P657,($O657-$N657)*$M657-$P657),"")),IF($I657="Sell",($N657-IF($O657="",0,$O657))*$M657*100-$P657,IF($I657="Buy",(IF($O657="",0,$O657)-$N657)*$M657*100-$P657,""))))</f>
        <v/>
      </c>
      <c r="R657" s="11">
        <f>IF($A657="","",IF($C657="Open","",$Q657))</f>
        <v/>
      </c>
      <c r="S657" s="12">
        <f>IF($A657="","",IFS($B657="Covered Call","Covered Call Premium",$B657="Cash Secured Put","Cash Secured Put Premium",$B657="Long Call/Put","Long Call/Put P/L",$B657="Debit Spread","Long Call/Put P/L",$B657="Stock Sale","Stock Sales",TRUE,"Other"))</f>
        <v/>
      </c>
      <c r="T657" s="11">
        <f>IF($A657="","",IF($B657="Cash Secured Put",$K657*$M657*100,IF($B657="Covered Call",$K657*$M657*100,IF($H657="Stock",$M657*$N657,""))))</f>
        <v/>
      </c>
      <c r="U657" s="19">
        <f>IF(OR($A657="",$C657&lt;&gt;"Closed",$D657="",$E657="",$T657=0),"",$R657/$T657*365/MAX(1,$E657-$D657))</f>
        <v/>
      </c>
      <c r="V657" s="14" t="n"/>
      <c r="W657" s="12" t="n"/>
    </row>
    <row r="658">
      <c r="A658" s="12" t="n"/>
      <c r="B658" s="14" t="n"/>
      <c r="C658" s="14" t="n"/>
      <c r="D658" s="15" t="n"/>
      <c r="E658" s="15" t="n"/>
      <c r="F658" s="16">
        <f>IF($E658="","",DATE(YEAR($E658),MONTH($E658),1))</f>
        <v/>
      </c>
      <c r="G658" s="14" t="n"/>
      <c r="H658" s="14" t="n"/>
      <c r="I658" s="14" t="n"/>
      <c r="J658" s="14" t="n"/>
      <c r="K658" s="17" t="n"/>
      <c r="L658" s="15" t="n"/>
      <c r="M658" s="14" t="n"/>
      <c r="N658" s="17" t="n"/>
      <c r="O658" s="17" t="n"/>
      <c r="P658" s="18" t="n"/>
      <c r="Q658" s="11">
        <f>IF($A658="","",IF($H658="Stock",IF($I658="Buy",-$M658*$N658-$P658,IF($I658="Sell",IF($N658="", $M658*$O658-$P658,($O658-$N658)*$M658-$P658),"")),IF($I658="Sell",($N658-IF($O658="",0,$O658))*$M658*100-$P658,IF($I658="Buy",(IF($O658="",0,$O658)-$N658)*$M658*100-$P658,""))))</f>
        <v/>
      </c>
      <c r="R658" s="11">
        <f>IF($A658="","",IF($C658="Open","",$Q658))</f>
        <v/>
      </c>
      <c r="S658" s="12">
        <f>IF($A658="","",IFS($B658="Covered Call","Covered Call Premium",$B658="Cash Secured Put","Cash Secured Put Premium",$B658="Long Call/Put","Long Call/Put P/L",$B658="Debit Spread","Long Call/Put P/L",$B658="Stock Sale","Stock Sales",TRUE,"Other"))</f>
        <v/>
      </c>
      <c r="T658" s="11">
        <f>IF($A658="","",IF($B658="Cash Secured Put",$K658*$M658*100,IF($B658="Covered Call",$K658*$M658*100,IF($H658="Stock",$M658*$N658,""))))</f>
        <v/>
      </c>
      <c r="U658" s="19">
        <f>IF(OR($A658="",$C658&lt;&gt;"Closed",$D658="",$E658="",$T658=0),"",$R658/$T658*365/MAX(1,$E658-$D658))</f>
        <v/>
      </c>
      <c r="V658" s="14" t="n"/>
      <c r="W658" s="12" t="n"/>
    </row>
    <row r="659">
      <c r="A659" s="12" t="n"/>
      <c r="B659" s="14" t="n"/>
      <c r="C659" s="14" t="n"/>
      <c r="D659" s="15" t="n"/>
      <c r="E659" s="15" t="n"/>
      <c r="F659" s="16">
        <f>IF($E659="","",DATE(YEAR($E659),MONTH($E659),1))</f>
        <v/>
      </c>
      <c r="G659" s="14" t="n"/>
      <c r="H659" s="14" t="n"/>
      <c r="I659" s="14" t="n"/>
      <c r="J659" s="14" t="n"/>
      <c r="K659" s="17" t="n"/>
      <c r="L659" s="15" t="n"/>
      <c r="M659" s="14" t="n"/>
      <c r="N659" s="17" t="n"/>
      <c r="O659" s="17" t="n"/>
      <c r="P659" s="18" t="n"/>
      <c r="Q659" s="11">
        <f>IF($A659="","",IF($H659="Stock",IF($I659="Buy",-$M659*$N659-$P659,IF($I659="Sell",IF($N659="", $M659*$O659-$P659,($O659-$N659)*$M659-$P659),"")),IF($I659="Sell",($N659-IF($O659="",0,$O659))*$M659*100-$P659,IF($I659="Buy",(IF($O659="",0,$O659)-$N659)*$M659*100-$P659,""))))</f>
        <v/>
      </c>
      <c r="R659" s="11">
        <f>IF($A659="","",IF($C659="Open","",$Q659))</f>
        <v/>
      </c>
      <c r="S659" s="12">
        <f>IF($A659="","",IFS($B659="Covered Call","Covered Call Premium",$B659="Cash Secured Put","Cash Secured Put Premium",$B659="Long Call/Put","Long Call/Put P/L",$B659="Debit Spread","Long Call/Put P/L",$B659="Stock Sale","Stock Sales",TRUE,"Other"))</f>
        <v/>
      </c>
      <c r="T659" s="11">
        <f>IF($A659="","",IF($B659="Cash Secured Put",$K659*$M659*100,IF($B659="Covered Call",$K659*$M659*100,IF($H659="Stock",$M659*$N659,""))))</f>
        <v/>
      </c>
      <c r="U659" s="19">
        <f>IF(OR($A659="",$C659&lt;&gt;"Closed",$D659="",$E659="",$T659=0),"",$R659/$T659*365/MAX(1,$E659-$D659))</f>
        <v/>
      </c>
      <c r="V659" s="14" t="n"/>
      <c r="W659" s="12" t="n"/>
    </row>
    <row r="660">
      <c r="A660" s="12" t="n"/>
      <c r="B660" s="14" t="n"/>
      <c r="C660" s="14" t="n"/>
      <c r="D660" s="15" t="n"/>
      <c r="E660" s="15" t="n"/>
      <c r="F660" s="16">
        <f>IF($E660="","",DATE(YEAR($E660),MONTH($E660),1))</f>
        <v/>
      </c>
      <c r="G660" s="14" t="n"/>
      <c r="H660" s="14" t="n"/>
      <c r="I660" s="14" t="n"/>
      <c r="J660" s="14" t="n"/>
      <c r="K660" s="17" t="n"/>
      <c r="L660" s="15" t="n"/>
      <c r="M660" s="14" t="n"/>
      <c r="N660" s="17" t="n"/>
      <c r="O660" s="17" t="n"/>
      <c r="P660" s="18" t="n"/>
      <c r="Q660" s="11">
        <f>IF($A660="","",IF($H660="Stock",IF($I660="Buy",-$M660*$N660-$P660,IF($I660="Sell",IF($N660="", $M660*$O660-$P660,($O660-$N660)*$M660-$P660),"")),IF($I660="Sell",($N660-IF($O660="",0,$O660))*$M660*100-$P660,IF($I660="Buy",(IF($O660="",0,$O660)-$N660)*$M660*100-$P660,""))))</f>
        <v/>
      </c>
      <c r="R660" s="11">
        <f>IF($A660="","",IF($C660="Open","",$Q660))</f>
        <v/>
      </c>
      <c r="S660" s="12">
        <f>IF($A660="","",IFS($B660="Covered Call","Covered Call Premium",$B660="Cash Secured Put","Cash Secured Put Premium",$B660="Long Call/Put","Long Call/Put P/L",$B660="Debit Spread","Long Call/Put P/L",$B660="Stock Sale","Stock Sales",TRUE,"Other"))</f>
        <v/>
      </c>
      <c r="T660" s="11">
        <f>IF($A660="","",IF($B660="Cash Secured Put",$K660*$M660*100,IF($B660="Covered Call",$K660*$M660*100,IF($H660="Stock",$M660*$N660,""))))</f>
        <v/>
      </c>
      <c r="U660" s="19">
        <f>IF(OR($A660="",$C660&lt;&gt;"Closed",$D660="",$E660="",$T660=0),"",$R660/$T660*365/MAX(1,$E660-$D660))</f>
        <v/>
      </c>
      <c r="V660" s="14" t="n"/>
      <c r="W660" s="12" t="n"/>
    </row>
    <row r="661">
      <c r="A661" s="12" t="n"/>
      <c r="B661" s="14" t="n"/>
      <c r="C661" s="14" t="n"/>
      <c r="D661" s="15" t="n"/>
      <c r="E661" s="15" t="n"/>
      <c r="F661" s="16">
        <f>IF($E661="","",DATE(YEAR($E661),MONTH($E661),1))</f>
        <v/>
      </c>
      <c r="G661" s="14" t="n"/>
      <c r="H661" s="14" t="n"/>
      <c r="I661" s="14" t="n"/>
      <c r="J661" s="14" t="n"/>
      <c r="K661" s="17" t="n"/>
      <c r="L661" s="15" t="n"/>
      <c r="M661" s="14" t="n"/>
      <c r="N661" s="17" t="n"/>
      <c r="O661" s="17" t="n"/>
      <c r="P661" s="18" t="n"/>
      <c r="Q661" s="11">
        <f>IF($A661="","",IF($H661="Stock",IF($I661="Buy",-$M661*$N661-$P661,IF($I661="Sell",IF($N661="", $M661*$O661-$P661,($O661-$N661)*$M661-$P661),"")),IF($I661="Sell",($N661-IF($O661="",0,$O661))*$M661*100-$P661,IF($I661="Buy",(IF($O661="",0,$O661)-$N661)*$M661*100-$P661,""))))</f>
        <v/>
      </c>
      <c r="R661" s="11">
        <f>IF($A661="","",IF($C661="Open","",$Q661))</f>
        <v/>
      </c>
      <c r="S661" s="12">
        <f>IF($A661="","",IFS($B661="Covered Call","Covered Call Premium",$B661="Cash Secured Put","Cash Secured Put Premium",$B661="Long Call/Put","Long Call/Put P/L",$B661="Debit Spread","Long Call/Put P/L",$B661="Stock Sale","Stock Sales",TRUE,"Other"))</f>
        <v/>
      </c>
      <c r="T661" s="11">
        <f>IF($A661="","",IF($B661="Cash Secured Put",$K661*$M661*100,IF($B661="Covered Call",$K661*$M661*100,IF($H661="Stock",$M661*$N661,""))))</f>
        <v/>
      </c>
      <c r="U661" s="19">
        <f>IF(OR($A661="",$C661&lt;&gt;"Closed",$D661="",$E661="",$T661=0),"",$R661/$T661*365/MAX(1,$E661-$D661))</f>
        <v/>
      </c>
      <c r="V661" s="14" t="n"/>
      <c r="W661" s="12" t="n"/>
    </row>
    <row r="662">
      <c r="A662" s="12" t="n"/>
      <c r="B662" s="14" t="n"/>
      <c r="C662" s="14" t="n"/>
      <c r="D662" s="15" t="n"/>
      <c r="E662" s="15" t="n"/>
      <c r="F662" s="16">
        <f>IF($E662="","",DATE(YEAR($E662),MONTH($E662),1))</f>
        <v/>
      </c>
      <c r="G662" s="14" t="n"/>
      <c r="H662" s="14" t="n"/>
      <c r="I662" s="14" t="n"/>
      <c r="J662" s="14" t="n"/>
      <c r="K662" s="17" t="n"/>
      <c r="L662" s="15" t="n"/>
      <c r="M662" s="14" t="n"/>
      <c r="N662" s="17" t="n"/>
      <c r="O662" s="17" t="n"/>
      <c r="P662" s="18" t="n"/>
      <c r="Q662" s="11">
        <f>IF($A662="","",IF($H662="Stock",IF($I662="Buy",-$M662*$N662-$P662,IF($I662="Sell",IF($N662="", $M662*$O662-$P662,($O662-$N662)*$M662-$P662),"")),IF($I662="Sell",($N662-IF($O662="",0,$O662))*$M662*100-$P662,IF($I662="Buy",(IF($O662="",0,$O662)-$N662)*$M662*100-$P662,""))))</f>
        <v/>
      </c>
      <c r="R662" s="11">
        <f>IF($A662="","",IF($C662="Open","",$Q662))</f>
        <v/>
      </c>
      <c r="S662" s="12">
        <f>IF($A662="","",IFS($B662="Covered Call","Covered Call Premium",$B662="Cash Secured Put","Cash Secured Put Premium",$B662="Long Call/Put","Long Call/Put P/L",$B662="Debit Spread","Long Call/Put P/L",$B662="Stock Sale","Stock Sales",TRUE,"Other"))</f>
        <v/>
      </c>
      <c r="T662" s="11">
        <f>IF($A662="","",IF($B662="Cash Secured Put",$K662*$M662*100,IF($B662="Covered Call",$K662*$M662*100,IF($H662="Stock",$M662*$N662,""))))</f>
        <v/>
      </c>
      <c r="U662" s="19">
        <f>IF(OR($A662="",$C662&lt;&gt;"Closed",$D662="",$E662="",$T662=0),"",$R662/$T662*365/MAX(1,$E662-$D662))</f>
        <v/>
      </c>
      <c r="V662" s="14" t="n"/>
      <c r="W662" s="12" t="n"/>
    </row>
    <row r="663">
      <c r="A663" s="12" t="n"/>
      <c r="B663" s="14" t="n"/>
      <c r="C663" s="14" t="n"/>
      <c r="D663" s="15" t="n"/>
      <c r="E663" s="15" t="n"/>
      <c r="F663" s="16">
        <f>IF($E663="","",DATE(YEAR($E663),MONTH($E663),1))</f>
        <v/>
      </c>
      <c r="G663" s="14" t="n"/>
      <c r="H663" s="14" t="n"/>
      <c r="I663" s="14" t="n"/>
      <c r="J663" s="14" t="n"/>
      <c r="K663" s="17" t="n"/>
      <c r="L663" s="15" t="n"/>
      <c r="M663" s="14" t="n"/>
      <c r="N663" s="17" t="n"/>
      <c r="O663" s="17" t="n"/>
      <c r="P663" s="18" t="n"/>
      <c r="Q663" s="11">
        <f>IF($A663="","",IF($H663="Stock",IF($I663="Buy",-$M663*$N663-$P663,IF($I663="Sell",IF($N663="", $M663*$O663-$P663,($O663-$N663)*$M663-$P663),"")),IF($I663="Sell",($N663-IF($O663="",0,$O663))*$M663*100-$P663,IF($I663="Buy",(IF($O663="",0,$O663)-$N663)*$M663*100-$P663,""))))</f>
        <v/>
      </c>
      <c r="R663" s="11">
        <f>IF($A663="","",IF($C663="Open","",$Q663))</f>
        <v/>
      </c>
      <c r="S663" s="12">
        <f>IF($A663="","",IFS($B663="Covered Call","Covered Call Premium",$B663="Cash Secured Put","Cash Secured Put Premium",$B663="Long Call/Put","Long Call/Put P/L",$B663="Debit Spread","Long Call/Put P/L",$B663="Stock Sale","Stock Sales",TRUE,"Other"))</f>
        <v/>
      </c>
      <c r="T663" s="11">
        <f>IF($A663="","",IF($B663="Cash Secured Put",$K663*$M663*100,IF($B663="Covered Call",$K663*$M663*100,IF($H663="Stock",$M663*$N663,""))))</f>
        <v/>
      </c>
      <c r="U663" s="19">
        <f>IF(OR($A663="",$C663&lt;&gt;"Closed",$D663="",$E663="",$T663=0),"",$R663/$T663*365/MAX(1,$E663-$D663))</f>
        <v/>
      </c>
      <c r="V663" s="14" t="n"/>
      <c r="W663" s="12" t="n"/>
    </row>
    <row r="664">
      <c r="A664" s="12" t="n"/>
      <c r="B664" s="14" t="n"/>
      <c r="C664" s="14" t="n"/>
      <c r="D664" s="15" t="n"/>
      <c r="E664" s="15" t="n"/>
      <c r="F664" s="16">
        <f>IF($E664="","",DATE(YEAR($E664),MONTH($E664),1))</f>
        <v/>
      </c>
      <c r="G664" s="14" t="n"/>
      <c r="H664" s="14" t="n"/>
      <c r="I664" s="14" t="n"/>
      <c r="J664" s="14" t="n"/>
      <c r="K664" s="17" t="n"/>
      <c r="L664" s="15" t="n"/>
      <c r="M664" s="14" t="n"/>
      <c r="N664" s="17" t="n"/>
      <c r="O664" s="17" t="n"/>
      <c r="P664" s="18" t="n"/>
      <c r="Q664" s="11">
        <f>IF($A664="","",IF($H664="Stock",IF($I664="Buy",-$M664*$N664-$P664,IF($I664="Sell",IF($N664="", $M664*$O664-$P664,($O664-$N664)*$M664-$P664),"")),IF($I664="Sell",($N664-IF($O664="",0,$O664))*$M664*100-$P664,IF($I664="Buy",(IF($O664="",0,$O664)-$N664)*$M664*100-$P664,""))))</f>
        <v/>
      </c>
      <c r="R664" s="11">
        <f>IF($A664="","",IF($C664="Open","",$Q664))</f>
        <v/>
      </c>
      <c r="S664" s="12">
        <f>IF($A664="","",IFS($B664="Covered Call","Covered Call Premium",$B664="Cash Secured Put","Cash Secured Put Premium",$B664="Long Call/Put","Long Call/Put P/L",$B664="Debit Spread","Long Call/Put P/L",$B664="Stock Sale","Stock Sales",TRUE,"Other"))</f>
        <v/>
      </c>
      <c r="T664" s="11">
        <f>IF($A664="","",IF($B664="Cash Secured Put",$K664*$M664*100,IF($B664="Covered Call",$K664*$M664*100,IF($H664="Stock",$M664*$N664,""))))</f>
        <v/>
      </c>
      <c r="U664" s="19">
        <f>IF(OR($A664="",$C664&lt;&gt;"Closed",$D664="",$E664="",$T664=0),"",$R664/$T664*365/MAX(1,$E664-$D664))</f>
        <v/>
      </c>
      <c r="V664" s="14" t="n"/>
      <c r="W664" s="12" t="n"/>
    </row>
    <row r="665">
      <c r="A665" s="12" t="n"/>
      <c r="B665" s="14" t="n"/>
      <c r="C665" s="14" t="n"/>
      <c r="D665" s="15" t="n"/>
      <c r="E665" s="15" t="n"/>
      <c r="F665" s="16">
        <f>IF($E665="","",DATE(YEAR($E665),MONTH($E665),1))</f>
        <v/>
      </c>
      <c r="G665" s="14" t="n"/>
      <c r="H665" s="14" t="n"/>
      <c r="I665" s="14" t="n"/>
      <c r="J665" s="14" t="n"/>
      <c r="K665" s="17" t="n"/>
      <c r="L665" s="15" t="n"/>
      <c r="M665" s="14" t="n"/>
      <c r="N665" s="17" t="n"/>
      <c r="O665" s="17" t="n"/>
      <c r="P665" s="18" t="n"/>
      <c r="Q665" s="11">
        <f>IF($A665="","",IF($H665="Stock",IF($I665="Buy",-$M665*$N665-$P665,IF($I665="Sell",IF($N665="", $M665*$O665-$P665,($O665-$N665)*$M665-$P665),"")),IF($I665="Sell",($N665-IF($O665="",0,$O665))*$M665*100-$P665,IF($I665="Buy",(IF($O665="",0,$O665)-$N665)*$M665*100-$P665,""))))</f>
        <v/>
      </c>
      <c r="R665" s="11">
        <f>IF($A665="","",IF($C665="Open","",$Q665))</f>
        <v/>
      </c>
      <c r="S665" s="12">
        <f>IF($A665="","",IFS($B665="Covered Call","Covered Call Premium",$B665="Cash Secured Put","Cash Secured Put Premium",$B665="Long Call/Put","Long Call/Put P/L",$B665="Debit Spread","Long Call/Put P/L",$B665="Stock Sale","Stock Sales",TRUE,"Other"))</f>
        <v/>
      </c>
      <c r="T665" s="11">
        <f>IF($A665="","",IF($B665="Cash Secured Put",$K665*$M665*100,IF($B665="Covered Call",$K665*$M665*100,IF($H665="Stock",$M665*$N665,""))))</f>
        <v/>
      </c>
      <c r="U665" s="19">
        <f>IF(OR($A665="",$C665&lt;&gt;"Closed",$D665="",$E665="",$T665=0),"",$R665/$T665*365/MAX(1,$E665-$D665))</f>
        <v/>
      </c>
      <c r="V665" s="14" t="n"/>
      <c r="W665" s="12" t="n"/>
    </row>
    <row r="666">
      <c r="A666" s="12" t="n"/>
      <c r="B666" s="14" t="n"/>
      <c r="C666" s="14" t="n"/>
      <c r="D666" s="15" t="n"/>
      <c r="E666" s="15" t="n"/>
      <c r="F666" s="16">
        <f>IF($E666="","",DATE(YEAR($E666),MONTH($E666),1))</f>
        <v/>
      </c>
      <c r="G666" s="14" t="n"/>
      <c r="H666" s="14" t="n"/>
      <c r="I666" s="14" t="n"/>
      <c r="J666" s="14" t="n"/>
      <c r="K666" s="17" t="n"/>
      <c r="L666" s="15" t="n"/>
      <c r="M666" s="14" t="n"/>
      <c r="N666" s="17" t="n"/>
      <c r="O666" s="17" t="n"/>
      <c r="P666" s="18" t="n"/>
      <c r="Q666" s="11">
        <f>IF($A666="","",IF($H666="Stock",IF($I666="Buy",-$M666*$N666-$P666,IF($I666="Sell",IF($N666="", $M666*$O666-$P666,($O666-$N666)*$M666-$P666),"")),IF($I666="Sell",($N666-IF($O666="",0,$O666))*$M666*100-$P666,IF($I666="Buy",(IF($O666="",0,$O666)-$N666)*$M666*100-$P666,""))))</f>
        <v/>
      </c>
      <c r="R666" s="11">
        <f>IF($A666="","",IF($C666="Open","",$Q666))</f>
        <v/>
      </c>
      <c r="S666" s="12">
        <f>IF($A666="","",IFS($B666="Covered Call","Covered Call Premium",$B666="Cash Secured Put","Cash Secured Put Premium",$B666="Long Call/Put","Long Call/Put P/L",$B666="Debit Spread","Long Call/Put P/L",$B666="Stock Sale","Stock Sales",TRUE,"Other"))</f>
        <v/>
      </c>
      <c r="T666" s="11">
        <f>IF($A666="","",IF($B666="Cash Secured Put",$K666*$M666*100,IF($B666="Covered Call",$K666*$M666*100,IF($H666="Stock",$M666*$N666,""))))</f>
        <v/>
      </c>
      <c r="U666" s="19">
        <f>IF(OR($A666="",$C666&lt;&gt;"Closed",$D666="",$E666="",$T666=0),"",$R666/$T666*365/MAX(1,$E666-$D666))</f>
        <v/>
      </c>
      <c r="V666" s="14" t="n"/>
      <c r="W666" s="12" t="n"/>
    </row>
    <row r="667">
      <c r="A667" s="12" t="n"/>
      <c r="B667" s="14" t="n"/>
      <c r="C667" s="14" t="n"/>
      <c r="D667" s="15" t="n"/>
      <c r="E667" s="15" t="n"/>
      <c r="F667" s="16">
        <f>IF($E667="","",DATE(YEAR($E667),MONTH($E667),1))</f>
        <v/>
      </c>
      <c r="G667" s="14" t="n"/>
      <c r="H667" s="14" t="n"/>
      <c r="I667" s="14" t="n"/>
      <c r="J667" s="14" t="n"/>
      <c r="K667" s="17" t="n"/>
      <c r="L667" s="15" t="n"/>
      <c r="M667" s="14" t="n"/>
      <c r="N667" s="17" t="n"/>
      <c r="O667" s="17" t="n"/>
      <c r="P667" s="18" t="n"/>
      <c r="Q667" s="11">
        <f>IF($A667="","",IF($H667="Stock",IF($I667="Buy",-$M667*$N667-$P667,IF($I667="Sell",IF($N667="", $M667*$O667-$P667,($O667-$N667)*$M667-$P667),"")),IF($I667="Sell",($N667-IF($O667="",0,$O667))*$M667*100-$P667,IF($I667="Buy",(IF($O667="",0,$O667)-$N667)*$M667*100-$P667,""))))</f>
        <v/>
      </c>
      <c r="R667" s="11">
        <f>IF($A667="","",IF($C667="Open","",$Q667))</f>
        <v/>
      </c>
      <c r="S667" s="12">
        <f>IF($A667="","",IFS($B667="Covered Call","Covered Call Premium",$B667="Cash Secured Put","Cash Secured Put Premium",$B667="Long Call/Put","Long Call/Put P/L",$B667="Debit Spread","Long Call/Put P/L",$B667="Stock Sale","Stock Sales",TRUE,"Other"))</f>
        <v/>
      </c>
      <c r="T667" s="11">
        <f>IF($A667="","",IF($B667="Cash Secured Put",$K667*$M667*100,IF($B667="Covered Call",$K667*$M667*100,IF($H667="Stock",$M667*$N667,""))))</f>
        <v/>
      </c>
      <c r="U667" s="19">
        <f>IF(OR($A667="",$C667&lt;&gt;"Closed",$D667="",$E667="",$T667=0),"",$R667/$T667*365/MAX(1,$E667-$D667))</f>
        <v/>
      </c>
      <c r="V667" s="14" t="n"/>
      <c r="W667" s="12" t="n"/>
    </row>
    <row r="668">
      <c r="A668" s="12" t="n"/>
      <c r="B668" s="14" t="n"/>
      <c r="C668" s="14" t="n"/>
      <c r="D668" s="15" t="n"/>
      <c r="E668" s="15" t="n"/>
      <c r="F668" s="16">
        <f>IF($E668="","",DATE(YEAR($E668),MONTH($E668),1))</f>
        <v/>
      </c>
      <c r="G668" s="14" t="n"/>
      <c r="H668" s="14" t="n"/>
      <c r="I668" s="14" t="n"/>
      <c r="J668" s="14" t="n"/>
      <c r="K668" s="17" t="n"/>
      <c r="L668" s="15" t="n"/>
      <c r="M668" s="14" t="n"/>
      <c r="N668" s="17" t="n"/>
      <c r="O668" s="17" t="n"/>
      <c r="P668" s="18" t="n"/>
      <c r="Q668" s="11">
        <f>IF($A668="","",IF($H668="Stock",IF($I668="Buy",-$M668*$N668-$P668,IF($I668="Sell",IF($N668="", $M668*$O668-$P668,($O668-$N668)*$M668-$P668),"")),IF($I668="Sell",($N668-IF($O668="",0,$O668))*$M668*100-$P668,IF($I668="Buy",(IF($O668="",0,$O668)-$N668)*$M668*100-$P668,""))))</f>
        <v/>
      </c>
      <c r="R668" s="11">
        <f>IF($A668="","",IF($C668="Open","",$Q668))</f>
        <v/>
      </c>
      <c r="S668" s="12">
        <f>IF($A668="","",IFS($B668="Covered Call","Covered Call Premium",$B668="Cash Secured Put","Cash Secured Put Premium",$B668="Long Call/Put","Long Call/Put P/L",$B668="Debit Spread","Long Call/Put P/L",$B668="Stock Sale","Stock Sales",TRUE,"Other"))</f>
        <v/>
      </c>
      <c r="T668" s="11">
        <f>IF($A668="","",IF($B668="Cash Secured Put",$K668*$M668*100,IF($B668="Covered Call",$K668*$M668*100,IF($H668="Stock",$M668*$N668,""))))</f>
        <v/>
      </c>
      <c r="U668" s="19">
        <f>IF(OR($A668="",$C668&lt;&gt;"Closed",$D668="",$E668="",$T668=0),"",$R668/$T668*365/MAX(1,$E668-$D668))</f>
        <v/>
      </c>
      <c r="V668" s="14" t="n"/>
      <c r="W668" s="12" t="n"/>
    </row>
    <row r="669">
      <c r="A669" s="12" t="n"/>
      <c r="B669" s="14" t="n"/>
      <c r="C669" s="14" t="n"/>
      <c r="D669" s="15" t="n"/>
      <c r="E669" s="15" t="n"/>
      <c r="F669" s="16">
        <f>IF($E669="","",DATE(YEAR($E669),MONTH($E669),1))</f>
        <v/>
      </c>
      <c r="G669" s="14" t="n"/>
      <c r="H669" s="14" t="n"/>
      <c r="I669" s="14" t="n"/>
      <c r="J669" s="14" t="n"/>
      <c r="K669" s="17" t="n"/>
      <c r="L669" s="15" t="n"/>
      <c r="M669" s="14" t="n"/>
      <c r="N669" s="17" t="n"/>
      <c r="O669" s="17" t="n"/>
      <c r="P669" s="18" t="n"/>
      <c r="Q669" s="11">
        <f>IF($A669="","",IF($H669="Stock",IF($I669="Buy",-$M669*$N669-$P669,IF($I669="Sell",IF($N669="", $M669*$O669-$P669,($O669-$N669)*$M669-$P669),"")),IF($I669="Sell",($N669-IF($O669="",0,$O669))*$M669*100-$P669,IF($I669="Buy",(IF($O669="",0,$O669)-$N669)*$M669*100-$P669,""))))</f>
        <v/>
      </c>
      <c r="R669" s="11">
        <f>IF($A669="","",IF($C669="Open","",$Q669))</f>
        <v/>
      </c>
      <c r="S669" s="12">
        <f>IF($A669="","",IFS($B669="Covered Call","Covered Call Premium",$B669="Cash Secured Put","Cash Secured Put Premium",$B669="Long Call/Put","Long Call/Put P/L",$B669="Debit Spread","Long Call/Put P/L",$B669="Stock Sale","Stock Sales",TRUE,"Other"))</f>
        <v/>
      </c>
      <c r="T669" s="11">
        <f>IF($A669="","",IF($B669="Cash Secured Put",$K669*$M669*100,IF($B669="Covered Call",$K669*$M669*100,IF($H669="Stock",$M669*$N669,""))))</f>
        <v/>
      </c>
      <c r="U669" s="19">
        <f>IF(OR($A669="",$C669&lt;&gt;"Closed",$D669="",$E669="",$T669=0),"",$R669/$T669*365/MAX(1,$E669-$D669))</f>
        <v/>
      </c>
      <c r="V669" s="14" t="n"/>
      <c r="W669" s="12" t="n"/>
    </row>
    <row r="670">
      <c r="A670" s="12" t="n"/>
      <c r="B670" s="14" t="n"/>
      <c r="C670" s="14" t="n"/>
      <c r="D670" s="15" t="n"/>
      <c r="E670" s="15" t="n"/>
      <c r="F670" s="16">
        <f>IF($E670="","",DATE(YEAR($E670),MONTH($E670),1))</f>
        <v/>
      </c>
      <c r="G670" s="14" t="n"/>
      <c r="H670" s="14" t="n"/>
      <c r="I670" s="14" t="n"/>
      <c r="J670" s="14" t="n"/>
      <c r="K670" s="17" t="n"/>
      <c r="L670" s="15" t="n"/>
      <c r="M670" s="14" t="n"/>
      <c r="N670" s="17" t="n"/>
      <c r="O670" s="17" t="n"/>
      <c r="P670" s="18" t="n"/>
      <c r="Q670" s="11">
        <f>IF($A670="","",IF($H670="Stock",IF($I670="Buy",-$M670*$N670-$P670,IF($I670="Sell",IF($N670="", $M670*$O670-$P670,($O670-$N670)*$M670-$P670),"")),IF($I670="Sell",($N670-IF($O670="",0,$O670))*$M670*100-$P670,IF($I670="Buy",(IF($O670="",0,$O670)-$N670)*$M670*100-$P670,""))))</f>
        <v/>
      </c>
      <c r="R670" s="11">
        <f>IF($A670="","",IF($C670="Open","",$Q670))</f>
        <v/>
      </c>
      <c r="S670" s="12">
        <f>IF($A670="","",IFS($B670="Covered Call","Covered Call Premium",$B670="Cash Secured Put","Cash Secured Put Premium",$B670="Long Call/Put","Long Call/Put P/L",$B670="Debit Spread","Long Call/Put P/L",$B670="Stock Sale","Stock Sales",TRUE,"Other"))</f>
        <v/>
      </c>
      <c r="T670" s="11">
        <f>IF($A670="","",IF($B670="Cash Secured Put",$K670*$M670*100,IF($B670="Covered Call",$K670*$M670*100,IF($H670="Stock",$M670*$N670,""))))</f>
        <v/>
      </c>
      <c r="U670" s="19">
        <f>IF(OR($A670="",$C670&lt;&gt;"Closed",$D670="",$E670="",$T670=0),"",$R670/$T670*365/MAX(1,$E670-$D670))</f>
        <v/>
      </c>
      <c r="V670" s="14" t="n"/>
      <c r="W670" s="12" t="n"/>
    </row>
    <row r="671">
      <c r="A671" s="12" t="n"/>
      <c r="B671" s="14" t="n"/>
      <c r="C671" s="14" t="n"/>
      <c r="D671" s="15" t="n"/>
      <c r="E671" s="15" t="n"/>
      <c r="F671" s="16">
        <f>IF($E671="","",DATE(YEAR($E671),MONTH($E671),1))</f>
        <v/>
      </c>
      <c r="G671" s="14" t="n"/>
      <c r="H671" s="14" t="n"/>
      <c r="I671" s="14" t="n"/>
      <c r="J671" s="14" t="n"/>
      <c r="K671" s="17" t="n"/>
      <c r="L671" s="15" t="n"/>
      <c r="M671" s="14" t="n"/>
      <c r="N671" s="17" t="n"/>
      <c r="O671" s="17" t="n"/>
      <c r="P671" s="18" t="n"/>
      <c r="Q671" s="11">
        <f>IF($A671="","",IF($H671="Stock",IF($I671="Buy",-$M671*$N671-$P671,IF($I671="Sell",IF($N671="", $M671*$O671-$P671,($O671-$N671)*$M671-$P671),"")),IF($I671="Sell",($N671-IF($O671="",0,$O671))*$M671*100-$P671,IF($I671="Buy",(IF($O671="",0,$O671)-$N671)*$M671*100-$P671,""))))</f>
        <v/>
      </c>
      <c r="R671" s="11">
        <f>IF($A671="","",IF($C671="Open","",$Q671))</f>
        <v/>
      </c>
      <c r="S671" s="12">
        <f>IF($A671="","",IFS($B671="Covered Call","Covered Call Premium",$B671="Cash Secured Put","Cash Secured Put Premium",$B671="Long Call/Put","Long Call/Put P/L",$B671="Debit Spread","Long Call/Put P/L",$B671="Stock Sale","Stock Sales",TRUE,"Other"))</f>
        <v/>
      </c>
      <c r="T671" s="11">
        <f>IF($A671="","",IF($B671="Cash Secured Put",$K671*$M671*100,IF($B671="Covered Call",$K671*$M671*100,IF($H671="Stock",$M671*$N671,""))))</f>
        <v/>
      </c>
      <c r="U671" s="19">
        <f>IF(OR($A671="",$C671&lt;&gt;"Closed",$D671="",$E671="",$T671=0),"",$R671/$T671*365/MAX(1,$E671-$D671))</f>
        <v/>
      </c>
      <c r="V671" s="14" t="n"/>
      <c r="W671" s="12" t="n"/>
    </row>
    <row r="672">
      <c r="A672" s="12" t="n"/>
      <c r="B672" s="14" t="n"/>
      <c r="C672" s="14" t="n"/>
      <c r="D672" s="15" t="n"/>
      <c r="E672" s="15" t="n"/>
      <c r="F672" s="16">
        <f>IF($E672="","",DATE(YEAR($E672),MONTH($E672),1))</f>
        <v/>
      </c>
      <c r="G672" s="14" t="n"/>
      <c r="H672" s="14" t="n"/>
      <c r="I672" s="14" t="n"/>
      <c r="J672" s="14" t="n"/>
      <c r="K672" s="17" t="n"/>
      <c r="L672" s="15" t="n"/>
      <c r="M672" s="14" t="n"/>
      <c r="N672" s="17" t="n"/>
      <c r="O672" s="17" t="n"/>
      <c r="P672" s="18" t="n"/>
      <c r="Q672" s="11">
        <f>IF($A672="","",IF($H672="Stock",IF($I672="Buy",-$M672*$N672-$P672,IF($I672="Sell",IF($N672="", $M672*$O672-$P672,($O672-$N672)*$M672-$P672),"")),IF($I672="Sell",($N672-IF($O672="",0,$O672))*$M672*100-$P672,IF($I672="Buy",(IF($O672="",0,$O672)-$N672)*$M672*100-$P672,""))))</f>
        <v/>
      </c>
      <c r="R672" s="11">
        <f>IF($A672="","",IF($C672="Open","",$Q672))</f>
        <v/>
      </c>
      <c r="S672" s="12">
        <f>IF($A672="","",IFS($B672="Covered Call","Covered Call Premium",$B672="Cash Secured Put","Cash Secured Put Premium",$B672="Long Call/Put","Long Call/Put P/L",$B672="Debit Spread","Long Call/Put P/L",$B672="Stock Sale","Stock Sales",TRUE,"Other"))</f>
        <v/>
      </c>
      <c r="T672" s="11">
        <f>IF($A672="","",IF($B672="Cash Secured Put",$K672*$M672*100,IF($B672="Covered Call",$K672*$M672*100,IF($H672="Stock",$M672*$N672,""))))</f>
        <v/>
      </c>
      <c r="U672" s="19">
        <f>IF(OR($A672="",$C672&lt;&gt;"Closed",$D672="",$E672="",$T672=0),"",$R672/$T672*365/MAX(1,$E672-$D672))</f>
        <v/>
      </c>
      <c r="V672" s="14" t="n"/>
      <c r="W672" s="12" t="n"/>
    </row>
    <row r="673">
      <c r="A673" s="12" t="n"/>
      <c r="B673" s="14" t="n"/>
      <c r="C673" s="14" t="n"/>
      <c r="D673" s="15" t="n"/>
      <c r="E673" s="15" t="n"/>
      <c r="F673" s="16">
        <f>IF($E673="","",DATE(YEAR($E673),MONTH($E673),1))</f>
        <v/>
      </c>
      <c r="G673" s="14" t="n"/>
      <c r="H673" s="14" t="n"/>
      <c r="I673" s="14" t="n"/>
      <c r="J673" s="14" t="n"/>
      <c r="K673" s="17" t="n"/>
      <c r="L673" s="15" t="n"/>
      <c r="M673" s="14" t="n"/>
      <c r="N673" s="17" t="n"/>
      <c r="O673" s="17" t="n"/>
      <c r="P673" s="18" t="n"/>
      <c r="Q673" s="11">
        <f>IF($A673="","",IF($H673="Stock",IF($I673="Buy",-$M673*$N673-$P673,IF($I673="Sell",IF($N673="", $M673*$O673-$P673,($O673-$N673)*$M673-$P673),"")),IF($I673="Sell",($N673-IF($O673="",0,$O673))*$M673*100-$P673,IF($I673="Buy",(IF($O673="",0,$O673)-$N673)*$M673*100-$P673,""))))</f>
        <v/>
      </c>
      <c r="R673" s="11">
        <f>IF($A673="","",IF($C673="Open","",$Q673))</f>
        <v/>
      </c>
      <c r="S673" s="12">
        <f>IF($A673="","",IFS($B673="Covered Call","Covered Call Premium",$B673="Cash Secured Put","Cash Secured Put Premium",$B673="Long Call/Put","Long Call/Put P/L",$B673="Debit Spread","Long Call/Put P/L",$B673="Stock Sale","Stock Sales",TRUE,"Other"))</f>
        <v/>
      </c>
      <c r="T673" s="11">
        <f>IF($A673="","",IF($B673="Cash Secured Put",$K673*$M673*100,IF($B673="Covered Call",$K673*$M673*100,IF($H673="Stock",$M673*$N673,""))))</f>
        <v/>
      </c>
      <c r="U673" s="19">
        <f>IF(OR($A673="",$C673&lt;&gt;"Closed",$D673="",$E673="",$T673=0),"",$R673/$T673*365/MAX(1,$E673-$D673))</f>
        <v/>
      </c>
      <c r="V673" s="14" t="n"/>
      <c r="W673" s="12" t="n"/>
    </row>
    <row r="674">
      <c r="A674" s="12" t="n"/>
      <c r="B674" s="14" t="n"/>
      <c r="C674" s="14" t="n"/>
      <c r="D674" s="15" t="n"/>
      <c r="E674" s="15" t="n"/>
      <c r="F674" s="16">
        <f>IF($E674="","",DATE(YEAR($E674),MONTH($E674),1))</f>
        <v/>
      </c>
      <c r="G674" s="14" t="n"/>
      <c r="H674" s="14" t="n"/>
      <c r="I674" s="14" t="n"/>
      <c r="J674" s="14" t="n"/>
      <c r="K674" s="17" t="n"/>
      <c r="L674" s="15" t="n"/>
      <c r="M674" s="14" t="n"/>
      <c r="N674" s="17" t="n"/>
      <c r="O674" s="17" t="n"/>
      <c r="P674" s="18" t="n"/>
      <c r="Q674" s="11">
        <f>IF($A674="","",IF($H674="Stock",IF($I674="Buy",-$M674*$N674-$P674,IF($I674="Sell",IF($N674="", $M674*$O674-$P674,($O674-$N674)*$M674-$P674),"")),IF($I674="Sell",($N674-IF($O674="",0,$O674))*$M674*100-$P674,IF($I674="Buy",(IF($O674="",0,$O674)-$N674)*$M674*100-$P674,""))))</f>
        <v/>
      </c>
      <c r="R674" s="11">
        <f>IF($A674="","",IF($C674="Open","",$Q674))</f>
        <v/>
      </c>
      <c r="S674" s="12">
        <f>IF($A674="","",IFS($B674="Covered Call","Covered Call Premium",$B674="Cash Secured Put","Cash Secured Put Premium",$B674="Long Call/Put","Long Call/Put P/L",$B674="Debit Spread","Long Call/Put P/L",$B674="Stock Sale","Stock Sales",TRUE,"Other"))</f>
        <v/>
      </c>
      <c r="T674" s="11">
        <f>IF($A674="","",IF($B674="Cash Secured Put",$K674*$M674*100,IF($B674="Covered Call",$K674*$M674*100,IF($H674="Stock",$M674*$N674,""))))</f>
        <v/>
      </c>
      <c r="U674" s="19">
        <f>IF(OR($A674="",$C674&lt;&gt;"Closed",$D674="",$E674="",$T674=0),"",$R674/$T674*365/MAX(1,$E674-$D674))</f>
        <v/>
      </c>
      <c r="V674" s="14" t="n"/>
      <c r="W674" s="12" t="n"/>
    </row>
    <row r="675">
      <c r="A675" s="12" t="n"/>
      <c r="B675" s="14" t="n"/>
      <c r="C675" s="14" t="n"/>
      <c r="D675" s="15" t="n"/>
      <c r="E675" s="15" t="n"/>
      <c r="F675" s="16">
        <f>IF($E675="","",DATE(YEAR($E675),MONTH($E675),1))</f>
        <v/>
      </c>
      <c r="G675" s="14" t="n"/>
      <c r="H675" s="14" t="n"/>
      <c r="I675" s="14" t="n"/>
      <c r="J675" s="14" t="n"/>
      <c r="K675" s="17" t="n"/>
      <c r="L675" s="15" t="n"/>
      <c r="M675" s="14" t="n"/>
      <c r="N675" s="17" t="n"/>
      <c r="O675" s="17" t="n"/>
      <c r="P675" s="18" t="n"/>
      <c r="Q675" s="11">
        <f>IF($A675="","",IF($H675="Stock",IF($I675="Buy",-$M675*$N675-$P675,IF($I675="Sell",IF($N675="", $M675*$O675-$P675,($O675-$N675)*$M675-$P675),"")),IF($I675="Sell",($N675-IF($O675="",0,$O675))*$M675*100-$P675,IF($I675="Buy",(IF($O675="",0,$O675)-$N675)*$M675*100-$P675,""))))</f>
        <v/>
      </c>
      <c r="R675" s="11">
        <f>IF($A675="","",IF($C675="Open","",$Q675))</f>
        <v/>
      </c>
      <c r="S675" s="12">
        <f>IF($A675="","",IFS($B675="Covered Call","Covered Call Premium",$B675="Cash Secured Put","Cash Secured Put Premium",$B675="Long Call/Put","Long Call/Put P/L",$B675="Debit Spread","Long Call/Put P/L",$B675="Stock Sale","Stock Sales",TRUE,"Other"))</f>
        <v/>
      </c>
      <c r="T675" s="11">
        <f>IF($A675="","",IF($B675="Cash Secured Put",$K675*$M675*100,IF($B675="Covered Call",$K675*$M675*100,IF($H675="Stock",$M675*$N675,""))))</f>
        <v/>
      </c>
      <c r="U675" s="19">
        <f>IF(OR($A675="",$C675&lt;&gt;"Closed",$D675="",$E675="",$T675=0),"",$R675/$T675*365/MAX(1,$E675-$D675))</f>
        <v/>
      </c>
      <c r="V675" s="14" t="n"/>
      <c r="W675" s="12" t="n"/>
    </row>
    <row r="676">
      <c r="A676" s="12" t="n"/>
      <c r="B676" s="14" t="n"/>
      <c r="C676" s="14" t="n"/>
      <c r="D676" s="15" t="n"/>
      <c r="E676" s="15" t="n"/>
      <c r="F676" s="16">
        <f>IF($E676="","",DATE(YEAR($E676),MONTH($E676),1))</f>
        <v/>
      </c>
      <c r="G676" s="14" t="n"/>
      <c r="H676" s="14" t="n"/>
      <c r="I676" s="14" t="n"/>
      <c r="J676" s="14" t="n"/>
      <c r="K676" s="17" t="n"/>
      <c r="L676" s="15" t="n"/>
      <c r="M676" s="14" t="n"/>
      <c r="N676" s="17" t="n"/>
      <c r="O676" s="17" t="n"/>
      <c r="P676" s="18" t="n"/>
      <c r="Q676" s="11">
        <f>IF($A676="","",IF($H676="Stock",IF($I676="Buy",-$M676*$N676-$P676,IF($I676="Sell",IF($N676="", $M676*$O676-$P676,($O676-$N676)*$M676-$P676),"")),IF($I676="Sell",($N676-IF($O676="",0,$O676))*$M676*100-$P676,IF($I676="Buy",(IF($O676="",0,$O676)-$N676)*$M676*100-$P676,""))))</f>
        <v/>
      </c>
      <c r="R676" s="11">
        <f>IF($A676="","",IF($C676="Open","",$Q676))</f>
        <v/>
      </c>
      <c r="S676" s="12">
        <f>IF($A676="","",IFS($B676="Covered Call","Covered Call Premium",$B676="Cash Secured Put","Cash Secured Put Premium",$B676="Long Call/Put","Long Call/Put P/L",$B676="Debit Spread","Long Call/Put P/L",$B676="Stock Sale","Stock Sales",TRUE,"Other"))</f>
        <v/>
      </c>
      <c r="T676" s="11">
        <f>IF($A676="","",IF($B676="Cash Secured Put",$K676*$M676*100,IF($B676="Covered Call",$K676*$M676*100,IF($H676="Stock",$M676*$N676,""))))</f>
        <v/>
      </c>
      <c r="U676" s="19">
        <f>IF(OR($A676="",$C676&lt;&gt;"Closed",$D676="",$E676="",$T676=0),"",$R676/$T676*365/MAX(1,$E676-$D676))</f>
        <v/>
      </c>
      <c r="V676" s="14" t="n"/>
      <c r="W676" s="12" t="n"/>
    </row>
    <row r="677">
      <c r="A677" s="12" t="n"/>
      <c r="B677" s="14" t="n"/>
      <c r="C677" s="14" t="n"/>
      <c r="D677" s="15" t="n"/>
      <c r="E677" s="15" t="n"/>
      <c r="F677" s="16">
        <f>IF($E677="","",DATE(YEAR($E677),MONTH($E677),1))</f>
        <v/>
      </c>
      <c r="G677" s="14" t="n"/>
      <c r="H677" s="14" t="n"/>
      <c r="I677" s="14" t="n"/>
      <c r="J677" s="14" t="n"/>
      <c r="K677" s="17" t="n"/>
      <c r="L677" s="15" t="n"/>
      <c r="M677" s="14" t="n"/>
      <c r="N677" s="17" t="n"/>
      <c r="O677" s="17" t="n"/>
      <c r="P677" s="18" t="n"/>
      <c r="Q677" s="11">
        <f>IF($A677="","",IF($H677="Stock",IF($I677="Buy",-$M677*$N677-$P677,IF($I677="Sell",IF($N677="", $M677*$O677-$P677,($O677-$N677)*$M677-$P677),"")),IF($I677="Sell",($N677-IF($O677="",0,$O677))*$M677*100-$P677,IF($I677="Buy",(IF($O677="",0,$O677)-$N677)*$M677*100-$P677,""))))</f>
        <v/>
      </c>
      <c r="R677" s="11">
        <f>IF($A677="","",IF($C677="Open","",$Q677))</f>
        <v/>
      </c>
      <c r="S677" s="12">
        <f>IF($A677="","",IFS($B677="Covered Call","Covered Call Premium",$B677="Cash Secured Put","Cash Secured Put Premium",$B677="Long Call/Put","Long Call/Put P/L",$B677="Debit Spread","Long Call/Put P/L",$B677="Stock Sale","Stock Sales",TRUE,"Other"))</f>
        <v/>
      </c>
      <c r="T677" s="11">
        <f>IF($A677="","",IF($B677="Cash Secured Put",$K677*$M677*100,IF($B677="Covered Call",$K677*$M677*100,IF($H677="Stock",$M677*$N677,""))))</f>
        <v/>
      </c>
      <c r="U677" s="19">
        <f>IF(OR($A677="",$C677&lt;&gt;"Closed",$D677="",$E677="",$T677=0),"",$R677/$T677*365/MAX(1,$E677-$D677))</f>
        <v/>
      </c>
      <c r="V677" s="14" t="n"/>
      <c r="W677" s="12" t="n"/>
    </row>
    <row r="678">
      <c r="A678" s="12" t="n"/>
      <c r="B678" s="14" t="n"/>
      <c r="C678" s="14" t="n"/>
      <c r="D678" s="15" t="n"/>
      <c r="E678" s="15" t="n"/>
      <c r="F678" s="16">
        <f>IF($E678="","",DATE(YEAR($E678),MONTH($E678),1))</f>
        <v/>
      </c>
      <c r="G678" s="14" t="n"/>
      <c r="H678" s="14" t="n"/>
      <c r="I678" s="14" t="n"/>
      <c r="J678" s="14" t="n"/>
      <c r="K678" s="17" t="n"/>
      <c r="L678" s="15" t="n"/>
      <c r="M678" s="14" t="n"/>
      <c r="N678" s="17" t="n"/>
      <c r="O678" s="17" t="n"/>
      <c r="P678" s="18" t="n"/>
      <c r="Q678" s="11">
        <f>IF($A678="","",IF($H678="Stock",IF($I678="Buy",-$M678*$N678-$P678,IF($I678="Sell",IF($N678="", $M678*$O678-$P678,($O678-$N678)*$M678-$P678),"")),IF($I678="Sell",($N678-IF($O678="",0,$O678))*$M678*100-$P678,IF($I678="Buy",(IF($O678="",0,$O678)-$N678)*$M678*100-$P678,""))))</f>
        <v/>
      </c>
      <c r="R678" s="11">
        <f>IF($A678="","",IF($C678="Open","",$Q678))</f>
        <v/>
      </c>
      <c r="S678" s="12">
        <f>IF($A678="","",IFS($B678="Covered Call","Covered Call Premium",$B678="Cash Secured Put","Cash Secured Put Premium",$B678="Long Call/Put","Long Call/Put P/L",$B678="Debit Spread","Long Call/Put P/L",$B678="Stock Sale","Stock Sales",TRUE,"Other"))</f>
        <v/>
      </c>
      <c r="T678" s="11">
        <f>IF($A678="","",IF($B678="Cash Secured Put",$K678*$M678*100,IF($B678="Covered Call",$K678*$M678*100,IF($H678="Stock",$M678*$N678,""))))</f>
        <v/>
      </c>
      <c r="U678" s="19">
        <f>IF(OR($A678="",$C678&lt;&gt;"Closed",$D678="",$E678="",$T678=0),"",$R678/$T678*365/MAX(1,$E678-$D678))</f>
        <v/>
      </c>
      <c r="V678" s="14" t="n"/>
      <c r="W678" s="12" t="n"/>
    </row>
    <row r="679">
      <c r="A679" s="12" t="n"/>
      <c r="B679" s="14" t="n"/>
      <c r="C679" s="14" t="n"/>
      <c r="D679" s="15" t="n"/>
      <c r="E679" s="15" t="n"/>
      <c r="F679" s="16">
        <f>IF($E679="","",DATE(YEAR($E679),MONTH($E679),1))</f>
        <v/>
      </c>
      <c r="G679" s="14" t="n"/>
      <c r="H679" s="14" t="n"/>
      <c r="I679" s="14" t="n"/>
      <c r="J679" s="14" t="n"/>
      <c r="K679" s="17" t="n"/>
      <c r="L679" s="15" t="n"/>
      <c r="M679" s="14" t="n"/>
      <c r="N679" s="17" t="n"/>
      <c r="O679" s="17" t="n"/>
      <c r="P679" s="18" t="n"/>
      <c r="Q679" s="11">
        <f>IF($A679="","",IF($H679="Stock",IF($I679="Buy",-$M679*$N679-$P679,IF($I679="Sell",IF($N679="", $M679*$O679-$P679,($O679-$N679)*$M679-$P679),"")),IF($I679="Sell",($N679-IF($O679="",0,$O679))*$M679*100-$P679,IF($I679="Buy",(IF($O679="",0,$O679)-$N679)*$M679*100-$P679,""))))</f>
        <v/>
      </c>
      <c r="R679" s="11">
        <f>IF($A679="","",IF($C679="Open","",$Q679))</f>
        <v/>
      </c>
      <c r="S679" s="12">
        <f>IF($A679="","",IFS($B679="Covered Call","Covered Call Premium",$B679="Cash Secured Put","Cash Secured Put Premium",$B679="Long Call/Put","Long Call/Put P/L",$B679="Debit Spread","Long Call/Put P/L",$B679="Stock Sale","Stock Sales",TRUE,"Other"))</f>
        <v/>
      </c>
      <c r="T679" s="11">
        <f>IF($A679="","",IF($B679="Cash Secured Put",$K679*$M679*100,IF($B679="Covered Call",$K679*$M679*100,IF($H679="Stock",$M679*$N679,""))))</f>
        <v/>
      </c>
      <c r="U679" s="19">
        <f>IF(OR($A679="",$C679&lt;&gt;"Closed",$D679="",$E679="",$T679=0),"",$R679/$T679*365/MAX(1,$E679-$D679))</f>
        <v/>
      </c>
      <c r="V679" s="14" t="n"/>
      <c r="W679" s="12" t="n"/>
    </row>
    <row r="680">
      <c r="A680" s="12" t="n"/>
      <c r="B680" s="14" t="n"/>
      <c r="C680" s="14" t="n"/>
      <c r="D680" s="15" t="n"/>
      <c r="E680" s="15" t="n"/>
      <c r="F680" s="16">
        <f>IF($E680="","",DATE(YEAR($E680),MONTH($E680),1))</f>
        <v/>
      </c>
      <c r="G680" s="14" t="n"/>
      <c r="H680" s="14" t="n"/>
      <c r="I680" s="14" t="n"/>
      <c r="J680" s="14" t="n"/>
      <c r="K680" s="17" t="n"/>
      <c r="L680" s="15" t="n"/>
      <c r="M680" s="14" t="n"/>
      <c r="N680" s="17" t="n"/>
      <c r="O680" s="17" t="n"/>
      <c r="P680" s="18" t="n"/>
      <c r="Q680" s="11">
        <f>IF($A680="","",IF($H680="Stock",IF($I680="Buy",-$M680*$N680-$P680,IF($I680="Sell",IF($N680="", $M680*$O680-$P680,($O680-$N680)*$M680-$P680),"")),IF($I680="Sell",($N680-IF($O680="",0,$O680))*$M680*100-$P680,IF($I680="Buy",(IF($O680="",0,$O680)-$N680)*$M680*100-$P680,""))))</f>
        <v/>
      </c>
      <c r="R680" s="11">
        <f>IF($A680="","",IF($C680="Open","",$Q680))</f>
        <v/>
      </c>
      <c r="S680" s="12">
        <f>IF($A680="","",IFS($B680="Covered Call","Covered Call Premium",$B680="Cash Secured Put","Cash Secured Put Premium",$B680="Long Call/Put","Long Call/Put P/L",$B680="Debit Spread","Long Call/Put P/L",$B680="Stock Sale","Stock Sales",TRUE,"Other"))</f>
        <v/>
      </c>
      <c r="T680" s="11">
        <f>IF($A680="","",IF($B680="Cash Secured Put",$K680*$M680*100,IF($B680="Covered Call",$K680*$M680*100,IF($H680="Stock",$M680*$N680,""))))</f>
        <v/>
      </c>
      <c r="U680" s="19">
        <f>IF(OR($A680="",$C680&lt;&gt;"Closed",$D680="",$E680="",$T680=0),"",$R680/$T680*365/MAX(1,$E680-$D680))</f>
        <v/>
      </c>
      <c r="V680" s="14" t="n"/>
      <c r="W680" s="12" t="n"/>
    </row>
    <row r="681">
      <c r="A681" s="12" t="n"/>
      <c r="B681" s="14" t="n"/>
      <c r="C681" s="14" t="n"/>
      <c r="D681" s="15" t="n"/>
      <c r="E681" s="15" t="n"/>
      <c r="F681" s="16">
        <f>IF($E681="","",DATE(YEAR($E681),MONTH($E681),1))</f>
        <v/>
      </c>
      <c r="G681" s="14" t="n"/>
      <c r="H681" s="14" t="n"/>
      <c r="I681" s="14" t="n"/>
      <c r="J681" s="14" t="n"/>
      <c r="K681" s="17" t="n"/>
      <c r="L681" s="15" t="n"/>
      <c r="M681" s="14" t="n"/>
      <c r="N681" s="17" t="n"/>
      <c r="O681" s="17" t="n"/>
      <c r="P681" s="18" t="n"/>
      <c r="Q681" s="11">
        <f>IF($A681="","",IF($H681="Stock",IF($I681="Buy",-$M681*$N681-$P681,IF($I681="Sell",IF($N681="", $M681*$O681-$P681,($O681-$N681)*$M681-$P681),"")),IF($I681="Sell",($N681-IF($O681="",0,$O681))*$M681*100-$P681,IF($I681="Buy",(IF($O681="",0,$O681)-$N681)*$M681*100-$P681,""))))</f>
        <v/>
      </c>
      <c r="R681" s="11">
        <f>IF($A681="","",IF($C681="Open","",$Q681))</f>
        <v/>
      </c>
      <c r="S681" s="12">
        <f>IF($A681="","",IFS($B681="Covered Call","Covered Call Premium",$B681="Cash Secured Put","Cash Secured Put Premium",$B681="Long Call/Put","Long Call/Put P/L",$B681="Debit Spread","Long Call/Put P/L",$B681="Stock Sale","Stock Sales",TRUE,"Other"))</f>
        <v/>
      </c>
      <c r="T681" s="11">
        <f>IF($A681="","",IF($B681="Cash Secured Put",$K681*$M681*100,IF($B681="Covered Call",$K681*$M681*100,IF($H681="Stock",$M681*$N681,""))))</f>
        <v/>
      </c>
      <c r="U681" s="19">
        <f>IF(OR($A681="",$C681&lt;&gt;"Closed",$D681="",$E681="",$T681=0),"",$R681/$T681*365/MAX(1,$E681-$D681))</f>
        <v/>
      </c>
      <c r="V681" s="14" t="n"/>
      <c r="W681" s="12" t="n"/>
    </row>
    <row r="682">
      <c r="A682" s="12" t="n"/>
      <c r="B682" s="14" t="n"/>
      <c r="C682" s="14" t="n"/>
      <c r="D682" s="15" t="n"/>
      <c r="E682" s="15" t="n"/>
      <c r="F682" s="16">
        <f>IF($E682="","",DATE(YEAR($E682),MONTH($E682),1))</f>
        <v/>
      </c>
      <c r="G682" s="14" t="n"/>
      <c r="H682" s="14" t="n"/>
      <c r="I682" s="14" t="n"/>
      <c r="J682" s="14" t="n"/>
      <c r="K682" s="17" t="n"/>
      <c r="L682" s="15" t="n"/>
      <c r="M682" s="14" t="n"/>
      <c r="N682" s="17" t="n"/>
      <c r="O682" s="17" t="n"/>
      <c r="P682" s="18" t="n"/>
      <c r="Q682" s="11">
        <f>IF($A682="","",IF($H682="Stock",IF($I682="Buy",-$M682*$N682-$P682,IF($I682="Sell",IF($N682="", $M682*$O682-$P682,($O682-$N682)*$M682-$P682),"")),IF($I682="Sell",($N682-IF($O682="",0,$O682))*$M682*100-$P682,IF($I682="Buy",(IF($O682="",0,$O682)-$N682)*$M682*100-$P682,""))))</f>
        <v/>
      </c>
      <c r="R682" s="11">
        <f>IF($A682="","",IF($C682="Open","",$Q682))</f>
        <v/>
      </c>
      <c r="S682" s="12">
        <f>IF($A682="","",IFS($B682="Covered Call","Covered Call Premium",$B682="Cash Secured Put","Cash Secured Put Premium",$B682="Long Call/Put","Long Call/Put P/L",$B682="Debit Spread","Long Call/Put P/L",$B682="Stock Sale","Stock Sales",TRUE,"Other"))</f>
        <v/>
      </c>
      <c r="T682" s="11">
        <f>IF($A682="","",IF($B682="Cash Secured Put",$K682*$M682*100,IF($B682="Covered Call",$K682*$M682*100,IF($H682="Stock",$M682*$N682,""))))</f>
        <v/>
      </c>
      <c r="U682" s="19">
        <f>IF(OR($A682="",$C682&lt;&gt;"Closed",$D682="",$E682="",$T682=0),"",$R682/$T682*365/MAX(1,$E682-$D682))</f>
        <v/>
      </c>
      <c r="V682" s="14" t="n"/>
      <c r="W682" s="12" t="n"/>
    </row>
    <row r="683">
      <c r="A683" s="12" t="n"/>
      <c r="B683" s="14" t="n"/>
      <c r="C683" s="14" t="n"/>
      <c r="D683" s="15" t="n"/>
      <c r="E683" s="15" t="n"/>
      <c r="F683" s="16">
        <f>IF($E683="","",DATE(YEAR($E683),MONTH($E683),1))</f>
        <v/>
      </c>
      <c r="G683" s="14" t="n"/>
      <c r="H683" s="14" t="n"/>
      <c r="I683" s="14" t="n"/>
      <c r="J683" s="14" t="n"/>
      <c r="K683" s="17" t="n"/>
      <c r="L683" s="15" t="n"/>
      <c r="M683" s="14" t="n"/>
      <c r="N683" s="17" t="n"/>
      <c r="O683" s="17" t="n"/>
      <c r="P683" s="18" t="n"/>
      <c r="Q683" s="11">
        <f>IF($A683="","",IF($H683="Stock",IF($I683="Buy",-$M683*$N683-$P683,IF($I683="Sell",IF($N683="", $M683*$O683-$P683,($O683-$N683)*$M683-$P683),"")),IF($I683="Sell",($N683-IF($O683="",0,$O683))*$M683*100-$P683,IF($I683="Buy",(IF($O683="",0,$O683)-$N683)*$M683*100-$P683,""))))</f>
        <v/>
      </c>
      <c r="R683" s="11">
        <f>IF($A683="","",IF($C683="Open","",$Q683))</f>
        <v/>
      </c>
      <c r="S683" s="12">
        <f>IF($A683="","",IFS($B683="Covered Call","Covered Call Premium",$B683="Cash Secured Put","Cash Secured Put Premium",$B683="Long Call/Put","Long Call/Put P/L",$B683="Debit Spread","Long Call/Put P/L",$B683="Stock Sale","Stock Sales",TRUE,"Other"))</f>
        <v/>
      </c>
      <c r="T683" s="11">
        <f>IF($A683="","",IF($B683="Cash Secured Put",$K683*$M683*100,IF($B683="Covered Call",$K683*$M683*100,IF($H683="Stock",$M683*$N683,""))))</f>
        <v/>
      </c>
      <c r="U683" s="19">
        <f>IF(OR($A683="",$C683&lt;&gt;"Closed",$D683="",$E683="",$T683=0),"",$R683/$T683*365/MAX(1,$E683-$D683))</f>
        <v/>
      </c>
      <c r="V683" s="14" t="n"/>
      <c r="W683" s="12" t="n"/>
    </row>
    <row r="684">
      <c r="A684" s="12" t="n"/>
      <c r="B684" s="14" t="n"/>
      <c r="C684" s="14" t="n"/>
      <c r="D684" s="15" t="n"/>
      <c r="E684" s="15" t="n"/>
      <c r="F684" s="16">
        <f>IF($E684="","",DATE(YEAR($E684),MONTH($E684),1))</f>
        <v/>
      </c>
      <c r="G684" s="14" t="n"/>
      <c r="H684" s="14" t="n"/>
      <c r="I684" s="14" t="n"/>
      <c r="J684" s="14" t="n"/>
      <c r="K684" s="17" t="n"/>
      <c r="L684" s="15" t="n"/>
      <c r="M684" s="14" t="n"/>
      <c r="N684" s="17" t="n"/>
      <c r="O684" s="17" t="n"/>
      <c r="P684" s="18" t="n"/>
      <c r="Q684" s="11">
        <f>IF($A684="","",IF($H684="Stock",IF($I684="Buy",-$M684*$N684-$P684,IF($I684="Sell",IF($N684="", $M684*$O684-$P684,($O684-$N684)*$M684-$P684),"")),IF($I684="Sell",($N684-IF($O684="",0,$O684))*$M684*100-$P684,IF($I684="Buy",(IF($O684="",0,$O684)-$N684)*$M684*100-$P684,""))))</f>
        <v/>
      </c>
      <c r="R684" s="11">
        <f>IF($A684="","",IF($C684="Open","",$Q684))</f>
        <v/>
      </c>
      <c r="S684" s="12">
        <f>IF($A684="","",IFS($B684="Covered Call","Covered Call Premium",$B684="Cash Secured Put","Cash Secured Put Premium",$B684="Long Call/Put","Long Call/Put P/L",$B684="Debit Spread","Long Call/Put P/L",$B684="Stock Sale","Stock Sales",TRUE,"Other"))</f>
        <v/>
      </c>
      <c r="T684" s="11">
        <f>IF($A684="","",IF($B684="Cash Secured Put",$K684*$M684*100,IF($B684="Covered Call",$K684*$M684*100,IF($H684="Stock",$M684*$N684,""))))</f>
        <v/>
      </c>
      <c r="U684" s="19">
        <f>IF(OR($A684="",$C684&lt;&gt;"Closed",$D684="",$E684="",$T684=0),"",$R684/$T684*365/MAX(1,$E684-$D684))</f>
        <v/>
      </c>
      <c r="V684" s="14" t="n"/>
      <c r="W684" s="12" t="n"/>
    </row>
    <row r="685">
      <c r="A685" s="12" t="n"/>
      <c r="B685" s="14" t="n"/>
      <c r="C685" s="14" t="n"/>
      <c r="D685" s="15" t="n"/>
      <c r="E685" s="15" t="n"/>
      <c r="F685" s="16">
        <f>IF($E685="","",DATE(YEAR($E685),MONTH($E685),1))</f>
        <v/>
      </c>
      <c r="G685" s="14" t="n"/>
      <c r="H685" s="14" t="n"/>
      <c r="I685" s="14" t="n"/>
      <c r="J685" s="14" t="n"/>
      <c r="K685" s="17" t="n"/>
      <c r="L685" s="15" t="n"/>
      <c r="M685" s="14" t="n"/>
      <c r="N685" s="17" t="n"/>
      <c r="O685" s="17" t="n"/>
      <c r="P685" s="18" t="n"/>
      <c r="Q685" s="11">
        <f>IF($A685="","",IF($H685="Stock",IF($I685="Buy",-$M685*$N685-$P685,IF($I685="Sell",IF($N685="", $M685*$O685-$P685,($O685-$N685)*$M685-$P685),"")),IF($I685="Sell",($N685-IF($O685="",0,$O685))*$M685*100-$P685,IF($I685="Buy",(IF($O685="",0,$O685)-$N685)*$M685*100-$P685,""))))</f>
        <v/>
      </c>
      <c r="R685" s="11">
        <f>IF($A685="","",IF($C685="Open","",$Q685))</f>
        <v/>
      </c>
      <c r="S685" s="12">
        <f>IF($A685="","",IFS($B685="Covered Call","Covered Call Premium",$B685="Cash Secured Put","Cash Secured Put Premium",$B685="Long Call/Put","Long Call/Put P/L",$B685="Debit Spread","Long Call/Put P/L",$B685="Stock Sale","Stock Sales",TRUE,"Other"))</f>
        <v/>
      </c>
      <c r="T685" s="11">
        <f>IF($A685="","",IF($B685="Cash Secured Put",$K685*$M685*100,IF($B685="Covered Call",$K685*$M685*100,IF($H685="Stock",$M685*$N685,""))))</f>
        <v/>
      </c>
      <c r="U685" s="19">
        <f>IF(OR($A685="",$C685&lt;&gt;"Closed",$D685="",$E685="",$T685=0),"",$R685/$T685*365/MAX(1,$E685-$D685))</f>
        <v/>
      </c>
      <c r="V685" s="14" t="n"/>
      <c r="W685" s="12" t="n"/>
    </row>
    <row r="686">
      <c r="A686" s="12" t="n"/>
      <c r="B686" s="14" t="n"/>
      <c r="C686" s="14" t="n"/>
      <c r="D686" s="15" t="n"/>
      <c r="E686" s="15" t="n"/>
      <c r="F686" s="16">
        <f>IF($E686="","",DATE(YEAR($E686),MONTH($E686),1))</f>
        <v/>
      </c>
      <c r="G686" s="14" t="n"/>
      <c r="H686" s="14" t="n"/>
      <c r="I686" s="14" t="n"/>
      <c r="J686" s="14" t="n"/>
      <c r="K686" s="17" t="n"/>
      <c r="L686" s="15" t="n"/>
      <c r="M686" s="14" t="n"/>
      <c r="N686" s="17" t="n"/>
      <c r="O686" s="17" t="n"/>
      <c r="P686" s="18" t="n"/>
      <c r="Q686" s="11">
        <f>IF($A686="","",IF($H686="Stock",IF($I686="Buy",-$M686*$N686-$P686,IF($I686="Sell",IF($N686="", $M686*$O686-$P686,($O686-$N686)*$M686-$P686),"")),IF($I686="Sell",($N686-IF($O686="",0,$O686))*$M686*100-$P686,IF($I686="Buy",(IF($O686="",0,$O686)-$N686)*$M686*100-$P686,""))))</f>
        <v/>
      </c>
      <c r="R686" s="11">
        <f>IF($A686="","",IF($C686="Open","",$Q686))</f>
        <v/>
      </c>
      <c r="S686" s="12">
        <f>IF($A686="","",IFS($B686="Covered Call","Covered Call Premium",$B686="Cash Secured Put","Cash Secured Put Premium",$B686="Long Call/Put","Long Call/Put P/L",$B686="Debit Spread","Long Call/Put P/L",$B686="Stock Sale","Stock Sales",TRUE,"Other"))</f>
        <v/>
      </c>
      <c r="T686" s="11">
        <f>IF($A686="","",IF($B686="Cash Secured Put",$K686*$M686*100,IF($B686="Covered Call",$K686*$M686*100,IF($H686="Stock",$M686*$N686,""))))</f>
        <v/>
      </c>
      <c r="U686" s="19">
        <f>IF(OR($A686="",$C686&lt;&gt;"Closed",$D686="",$E686="",$T686=0),"",$R686/$T686*365/MAX(1,$E686-$D686))</f>
        <v/>
      </c>
      <c r="V686" s="14" t="n"/>
      <c r="W686" s="12" t="n"/>
    </row>
    <row r="687">
      <c r="A687" s="12" t="n"/>
      <c r="B687" s="14" t="n"/>
      <c r="C687" s="14" t="n"/>
      <c r="D687" s="15" t="n"/>
      <c r="E687" s="15" t="n"/>
      <c r="F687" s="16">
        <f>IF($E687="","",DATE(YEAR($E687),MONTH($E687),1))</f>
        <v/>
      </c>
      <c r="G687" s="14" t="n"/>
      <c r="H687" s="14" t="n"/>
      <c r="I687" s="14" t="n"/>
      <c r="J687" s="14" t="n"/>
      <c r="K687" s="17" t="n"/>
      <c r="L687" s="15" t="n"/>
      <c r="M687" s="14" t="n"/>
      <c r="N687" s="17" t="n"/>
      <c r="O687" s="17" t="n"/>
      <c r="P687" s="18" t="n"/>
      <c r="Q687" s="11">
        <f>IF($A687="","",IF($H687="Stock",IF($I687="Buy",-$M687*$N687-$P687,IF($I687="Sell",IF($N687="", $M687*$O687-$P687,($O687-$N687)*$M687-$P687),"")),IF($I687="Sell",($N687-IF($O687="",0,$O687))*$M687*100-$P687,IF($I687="Buy",(IF($O687="",0,$O687)-$N687)*$M687*100-$P687,""))))</f>
        <v/>
      </c>
      <c r="R687" s="11">
        <f>IF($A687="","",IF($C687="Open","",$Q687))</f>
        <v/>
      </c>
      <c r="S687" s="12">
        <f>IF($A687="","",IFS($B687="Covered Call","Covered Call Premium",$B687="Cash Secured Put","Cash Secured Put Premium",$B687="Long Call/Put","Long Call/Put P/L",$B687="Debit Spread","Long Call/Put P/L",$B687="Stock Sale","Stock Sales",TRUE,"Other"))</f>
        <v/>
      </c>
      <c r="T687" s="11">
        <f>IF($A687="","",IF($B687="Cash Secured Put",$K687*$M687*100,IF($B687="Covered Call",$K687*$M687*100,IF($H687="Stock",$M687*$N687,""))))</f>
        <v/>
      </c>
      <c r="U687" s="19">
        <f>IF(OR($A687="",$C687&lt;&gt;"Closed",$D687="",$E687="",$T687=0),"",$R687/$T687*365/MAX(1,$E687-$D687))</f>
        <v/>
      </c>
      <c r="V687" s="14" t="n"/>
      <c r="W687" s="12" t="n"/>
    </row>
    <row r="688">
      <c r="A688" s="12" t="n"/>
      <c r="B688" s="14" t="n"/>
      <c r="C688" s="14" t="n"/>
      <c r="D688" s="15" t="n"/>
      <c r="E688" s="15" t="n"/>
      <c r="F688" s="16">
        <f>IF($E688="","",DATE(YEAR($E688),MONTH($E688),1))</f>
        <v/>
      </c>
      <c r="G688" s="14" t="n"/>
      <c r="H688" s="14" t="n"/>
      <c r="I688" s="14" t="n"/>
      <c r="J688" s="14" t="n"/>
      <c r="K688" s="17" t="n"/>
      <c r="L688" s="15" t="n"/>
      <c r="M688" s="14" t="n"/>
      <c r="N688" s="17" t="n"/>
      <c r="O688" s="17" t="n"/>
      <c r="P688" s="18" t="n"/>
      <c r="Q688" s="11">
        <f>IF($A688="","",IF($H688="Stock",IF($I688="Buy",-$M688*$N688-$P688,IF($I688="Sell",IF($N688="", $M688*$O688-$P688,($O688-$N688)*$M688-$P688),"")),IF($I688="Sell",($N688-IF($O688="",0,$O688))*$M688*100-$P688,IF($I688="Buy",(IF($O688="",0,$O688)-$N688)*$M688*100-$P688,""))))</f>
        <v/>
      </c>
      <c r="R688" s="11">
        <f>IF($A688="","",IF($C688="Open","",$Q688))</f>
        <v/>
      </c>
      <c r="S688" s="12">
        <f>IF($A688="","",IFS($B688="Covered Call","Covered Call Premium",$B688="Cash Secured Put","Cash Secured Put Premium",$B688="Long Call/Put","Long Call/Put P/L",$B688="Debit Spread","Long Call/Put P/L",$B688="Stock Sale","Stock Sales",TRUE,"Other"))</f>
        <v/>
      </c>
      <c r="T688" s="11">
        <f>IF($A688="","",IF($B688="Cash Secured Put",$K688*$M688*100,IF($B688="Covered Call",$K688*$M688*100,IF($H688="Stock",$M688*$N688,""))))</f>
        <v/>
      </c>
      <c r="U688" s="19">
        <f>IF(OR($A688="",$C688&lt;&gt;"Closed",$D688="",$E688="",$T688=0),"",$R688/$T688*365/MAX(1,$E688-$D688))</f>
        <v/>
      </c>
      <c r="V688" s="14" t="n"/>
      <c r="W688" s="12" t="n"/>
    </row>
    <row r="689">
      <c r="A689" s="12" t="n"/>
      <c r="B689" s="14" t="n"/>
      <c r="C689" s="14" t="n"/>
      <c r="D689" s="15" t="n"/>
      <c r="E689" s="15" t="n"/>
      <c r="F689" s="16">
        <f>IF($E689="","",DATE(YEAR($E689),MONTH($E689),1))</f>
        <v/>
      </c>
      <c r="G689" s="14" t="n"/>
      <c r="H689" s="14" t="n"/>
      <c r="I689" s="14" t="n"/>
      <c r="J689" s="14" t="n"/>
      <c r="K689" s="17" t="n"/>
      <c r="L689" s="15" t="n"/>
      <c r="M689" s="14" t="n"/>
      <c r="N689" s="17" t="n"/>
      <c r="O689" s="17" t="n"/>
      <c r="P689" s="18" t="n"/>
      <c r="Q689" s="11">
        <f>IF($A689="","",IF($H689="Stock",IF($I689="Buy",-$M689*$N689-$P689,IF($I689="Sell",IF($N689="", $M689*$O689-$P689,($O689-$N689)*$M689-$P689),"")),IF($I689="Sell",($N689-IF($O689="",0,$O689))*$M689*100-$P689,IF($I689="Buy",(IF($O689="",0,$O689)-$N689)*$M689*100-$P689,""))))</f>
        <v/>
      </c>
      <c r="R689" s="11">
        <f>IF($A689="","",IF($C689="Open","",$Q689))</f>
        <v/>
      </c>
      <c r="S689" s="12">
        <f>IF($A689="","",IFS($B689="Covered Call","Covered Call Premium",$B689="Cash Secured Put","Cash Secured Put Premium",$B689="Long Call/Put","Long Call/Put P/L",$B689="Debit Spread","Long Call/Put P/L",$B689="Stock Sale","Stock Sales",TRUE,"Other"))</f>
        <v/>
      </c>
      <c r="T689" s="11">
        <f>IF($A689="","",IF($B689="Cash Secured Put",$K689*$M689*100,IF($B689="Covered Call",$K689*$M689*100,IF($H689="Stock",$M689*$N689,""))))</f>
        <v/>
      </c>
      <c r="U689" s="19">
        <f>IF(OR($A689="",$C689&lt;&gt;"Closed",$D689="",$E689="",$T689=0),"",$R689/$T689*365/MAX(1,$E689-$D689))</f>
        <v/>
      </c>
      <c r="V689" s="14" t="n"/>
      <c r="W689" s="12" t="n"/>
    </row>
    <row r="690">
      <c r="A690" s="12" t="n"/>
      <c r="B690" s="14" t="n"/>
      <c r="C690" s="14" t="n"/>
      <c r="D690" s="15" t="n"/>
      <c r="E690" s="15" t="n"/>
      <c r="F690" s="16">
        <f>IF($E690="","",DATE(YEAR($E690),MONTH($E690),1))</f>
        <v/>
      </c>
      <c r="G690" s="14" t="n"/>
      <c r="H690" s="14" t="n"/>
      <c r="I690" s="14" t="n"/>
      <c r="J690" s="14" t="n"/>
      <c r="K690" s="17" t="n"/>
      <c r="L690" s="15" t="n"/>
      <c r="M690" s="14" t="n"/>
      <c r="N690" s="17" t="n"/>
      <c r="O690" s="17" t="n"/>
      <c r="P690" s="18" t="n"/>
      <c r="Q690" s="11">
        <f>IF($A690="","",IF($H690="Stock",IF($I690="Buy",-$M690*$N690-$P690,IF($I690="Sell",IF($N690="", $M690*$O690-$P690,($O690-$N690)*$M690-$P690),"")),IF($I690="Sell",($N690-IF($O690="",0,$O690))*$M690*100-$P690,IF($I690="Buy",(IF($O690="",0,$O690)-$N690)*$M690*100-$P690,""))))</f>
        <v/>
      </c>
      <c r="R690" s="11">
        <f>IF($A690="","",IF($C690="Open","",$Q690))</f>
        <v/>
      </c>
      <c r="S690" s="12">
        <f>IF($A690="","",IFS($B690="Covered Call","Covered Call Premium",$B690="Cash Secured Put","Cash Secured Put Premium",$B690="Long Call/Put","Long Call/Put P/L",$B690="Debit Spread","Long Call/Put P/L",$B690="Stock Sale","Stock Sales",TRUE,"Other"))</f>
        <v/>
      </c>
      <c r="T690" s="11">
        <f>IF($A690="","",IF($B690="Cash Secured Put",$K690*$M690*100,IF($B690="Covered Call",$K690*$M690*100,IF($H690="Stock",$M690*$N690,""))))</f>
        <v/>
      </c>
      <c r="U690" s="19">
        <f>IF(OR($A690="",$C690&lt;&gt;"Closed",$D690="",$E690="",$T690=0),"",$R690/$T690*365/MAX(1,$E690-$D690))</f>
        <v/>
      </c>
      <c r="V690" s="14" t="n"/>
      <c r="W690" s="12" t="n"/>
    </row>
    <row r="691">
      <c r="A691" s="12" t="n"/>
      <c r="B691" s="14" t="n"/>
      <c r="C691" s="14" t="n"/>
      <c r="D691" s="15" t="n"/>
      <c r="E691" s="15" t="n"/>
      <c r="F691" s="16">
        <f>IF($E691="","",DATE(YEAR($E691),MONTH($E691),1))</f>
        <v/>
      </c>
      <c r="G691" s="14" t="n"/>
      <c r="H691" s="14" t="n"/>
      <c r="I691" s="14" t="n"/>
      <c r="J691" s="14" t="n"/>
      <c r="K691" s="17" t="n"/>
      <c r="L691" s="15" t="n"/>
      <c r="M691" s="14" t="n"/>
      <c r="N691" s="17" t="n"/>
      <c r="O691" s="17" t="n"/>
      <c r="P691" s="18" t="n"/>
      <c r="Q691" s="11">
        <f>IF($A691="","",IF($H691="Stock",IF($I691="Buy",-$M691*$N691-$P691,IF($I691="Sell",IF($N691="", $M691*$O691-$P691,($O691-$N691)*$M691-$P691),"")),IF($I691="Sell",($N691-IF($O691="",0,$O691))*$M691*100-$P691,IF($I691="Buy",(IF($O691="",0,$O691)-$N691)*$M691*100-$P691,""))))</f>
        <v/>
      </c>
      <c r="R691" s="11">
        <f>IF($A691="","",IF($C691="Open","",$Q691))</f>
        <v/>
      </c>
      <c r="S691" s="12">
        <f>IF($A691="","",IFS($B691="Covered Call","Covered Call Premium",$B691="Cash Secured Put","Cash Secured Put Premium",$B691="Long Call/Put","Long Call/Put P/L",$B691="Debit Spread","Long Call/Put P/L",$B691="Stock Sale","Stock Sales",TRUE,"Other"))</f>
        <v/>
      </c>
      <c r="T691" s="11">
        <f>IF($A691="","",IF($B691="Cash Secured Put",$K691*$M691*100,IF($B691="Covered Call",$K691*$M691*100,IF($H691="Stock",$M691*$N691,""))))</f>
        <v/>
      </c>
      <c r="U691" s="19">
        <f>IF(OR($A691="",$C691&lt;&gt;"Closed",$D691="",$E691="",$T691=0),"",$R691/$T691*365/MAX(1,$E691-$D691))</f>
        <v/>
      </c>
      <c r="V691" s="14" t="n"/>
      <c r="W691" s="12" t="n"/>
    </row>
    <row r="692">
      <c r="A692" s="12" t="n"/>
      <c r="B692" s="14" t="n"/>
      <c r="C692" s="14" t="n"/>
      <c r="D692" s="15" t="n"/>
      <c r="E692" s="15" t="n"/>
      <c r="F692" s="16">
        <f>IF($E692="","",DATE(YEAR($E692),MONTH($E692),1))</f>
        <v/>
      </c>
      <c r="G692" s="14" t="n"/>
      <c r="H692" s="14" t="n"/>
      <c r="I692" s="14" t="n"/>
      <c r="J692" s="14" t="n"/>
      <c r="K692" s="17" t="n"/>
      <c r="L692" s="15" t="n"/>
      <c r="M692" s="14" t="n"/>
      <c r="N692" s="17" t="n"/>
      <c r="O692" s="17" t="n"/>
      <c r="P692" s="18" t="n"/>
      <c r="Q692" s="11">
        <f>IF($A692="","",IF($H692="Stock",IF($I692="Buy",-$M692*$N692-$P692,IF($I692="Sell",IF($N692="", $M692*$O692-$P692,($O692-$N692)*$M692-$P692),"")),IF($I692="Sell",($N692-IF($O692="",0,$O692))*$M692*100-$P692,IF($I692="Buy",(IF($O692="",0,$O692)-$N692)*$M692*100-$P692,""))))</f>
        <v/>
      </c>
      <c r="R692" s="11">
        <f>IF($A692="","",IF($C692="Open","",$Q692))</f>
        <v/>
      </c>
      <c r="S692" s="12">
        <f>IF($A692="","",IFS($B692="Covered Call","Covered Call Premium",$B692="Cash Secured Put","Cash Secured Put Premium",$B692="Long Call/Put","Long Call/Put P/L",$B692="Debit Spread","Long Call/Put P/L",$B692="Stock Sale","Stock Sales",TRUE,"Other"))</f>
        <v/>
      </c>
      <c r="T692" s="11">
        <f>IF($A692="","",IF($B692="Cash Secured Put",$K692*$M692*100,IF($B692="Covered Call",$K692*$M692*100,IF($H692="Stock",$M692*$N692,""))))</f>
        <v/>
      </c>
      <c r="U692" s="19">
        <f>IF(OR($A692="",$C692&lt;&gt;"Closed",$D692="",$E692="",$T692=0),"",$R692/$T692*365/MAX(1,$E692-$D692))</f>
        <v/>
      </c>
      <c r="V692" s="14" t="n"/>
      <c r="W692" s="12" t="n"/>
    </row>
    <row r="693">
      <c r="A693" s="12" t="n"/>
      <c r="B693" s="14" t="n"/>
      <c r="C693" s="14" t="n"/>
      <c r="D693" s="15" t="n"/>
      <c r="E693" s="15" t="n"/>
      <c r="F693" s="16">
        <f>IF($E693="","",DATE(YEAR($E693),MONTH($E693),1))</f>
        <v/>
      </c>
      <c r="G693" s="14" t="n"/>
      <c r="H693" s="14" t="n"/>
      <c r="I693" s="14" t="n"/>
      <c r="J693" s="14" t="n"/>
      <c r="K693" s="17" t="n"/>
      <c r="L693" s="15" t="n"/>
      <c r="M693" s="14" t="n"/>
      <c r="N693" s="17" t="n"/>
      <c r="O693" s="17" t="n"/>
      <c r="P693" s="18" t="n"/>
      <c r="Q693" s="11">
        <f>IF($A693="","",IF($H693="Stock",IF($I693="Buy",-$M693*$N693-$P693,IF($I693="Sell",IF($N693="", $M693*$O693-$P693,($O693-$N693)*$M693-$P693),"")),IF($I693="Sell",($N693-IF($O693="",0,$O693))*$M693*100-$P693,IF($I693="Buy",(IF($O693="",0,$O693)-$N693)*$M693*100-$P693,""))))</f>
        <v/>
      </c>
      <c r="R693" s="11">
        <f>IF($A693="","",IF($C693="Open","",$Q693))</f>
        <v/>
      </c>
      <c r="S693" s="12">
        <f>IF($A693="","",IFS($B693="Covered Call","Covered Call Premium",$B693="Cash Secured Put","Cash Secured Put Premium",$B693="Long Call/Put","Long Call/Put P/L",$B693="Debit Spread","Long Call/Put P/L",$B693="Stock Sale","Stock Sales",TRUE,"Other"))</f>
        <v/>
      </c>
      <c r="T693" s="11">
        <f>IF($A693="","",IF($B693="Cash Secured Put",$K693*$M693*100,IF($B693="Covered Call",$K693*$M693*100,IF($H693="Stock",$M693*$N693,""))))</f>
        <v/>
      </c>
      <c r="U693" s="19">
        <f>IF(OR($A693="",$C693&lt;&gt;"Closed",$D693="",$E693="",$T693=0),"",$R693/$T693*365/MAX(1,$E693-$D693))</f>
        <v/>
      </c>
      <c r="V693" s="14" t="n"/>
      <c r="W693" s="12" t="n"/>
    </row>
    <row r="694">
      <c r="A694" s="12" t="n"/>
      <c r="B694" s="14" t="n"/>
      <c r="C694" s="14" t="n"/>
      <c r="D694" s="15" t="n"/>
      <c r="E694" s="15" t="n"/>
      <c r="F694" s="16">
        <f>IF($E694="","",DATE(YEAR($E694),MONTH($E694),1))</f>
        <v/>
      </c>
      <c r="G694" s="14" t="n"/>
      <c r="H694" s="14" t="n"/>
      <c r="I694" s="14" t="n"/>
      <c r="J694" s="14" t="n"/>
      <c r="K694" s="17" t="n"/>
      <c r="L694" s="15" t="n"/>
      <c r="M694" s="14" t="n"/>
      <c r="N694" s="17" t="n"/>
      <c r="O694" s="17" t="n"/>
      <c r="P694" s="18" t="n"/>
      <c r="Q694" s="11">
        <f>IF($A694="","",IF($H694="Stock",IF($I694="Buy",-$M694*$N694-$P694,IF($I694="Sell",IF($N694="", $M694*$O694-$P694,($O694-$N694)*$M694-$P694),"")),IF($I694="Sell",($N694-IF($O694="",0,$O694))*$M694*100-$P694,IF($I694="Buy",(IF($O694="",0,$O694)-$N694)*$M694*100-$P694,""))))</f>
        <v/>
      </c>
      <c r="R694" s="11">
        <f>IF($A694="","",IF($C694="Open","",$Q694))</f>
        <v/>
      </c>
      <c r="S694" s="12">
        <f>IF($A694="","",IFS($B694="Covered Call","Covered Call Premium",$B694="Cash Secured Put","Cash Secured Put Premium",$B694="Long Call/Put","Long Call/Put P/L",$B694="Debit Spread","Long Call/Put P/L",$B694="Stock Sale","Stock Sales",TRUE,"Other"))</f>
        <v/>
      </c>
      <c r="T694" s="11">
        <f>IF($A694="","",IF($B694="Cash Secured Put",$K694*$M694*100,IF($B694="Covered Call",$K694*$M694*100,IF($H694="Stock",$M694*$N694,""))))</f>
        <v/>
      </c>
      <c r="U694" s="19">
        <f>IF(OR($A694="",$C694&lt;&gt;"Closed",$D694="",$E694="",$T694=0),"",$R694/$T694*365/MAX(1,$E694-$D694))</f>
        <v/>
      </c>
      <c r="V694" s="14" t="n"/>
      <c r="W694" s="12" t="n"/>
    </row>
    <row r="695">
      <c r="A695" s="12" t="n"/>
      <c r="B695" s="14" t="n"/>
      <c r="C695" s="14" t="n"/>
      <c r="D695" s="15" t="n"/>
      <c r="E695" s="15" t="n"/>
      <c r="F695" s="16">
        <f>IF($E695="","",DATE(YEAR($E695),MONTH($E695),1))</f>
        <v/>
      </c>
      <c r="G695" s="14" t="n"/>
      <c r="H695" s="14" t="n"/>
      <c r="I695" s="14" t="n"/>
      <c r="J695" s="14" t="n"/>
      <c r="K695" s="17" t="n"/>
      <c r="L695" s="15" t="n"/>
      <c r="M695" s="14" t="n"/>
      <c r="N695" s="17" t="n"/>
      <c r="O695" s="17" t="n"/>
      <c r="P695" s="18" t="n"/>
      <c r="Q695" s="11">
        <f>IF($A695="","",IF($H695="Stock",IF($I695="Buy",-$M695*$N695-$P695,IF($I695="Sell",IF($N695="", $M695*$O695-$P695,($O695-$N695)*$M695-$P695),"")),IF($I695="Sell",($N695-IF($O695="",0,$O695))*$M695*100-$P695,IF($I695="Buy",(IF($O695="",0,$O695)-$N695)*$M695*100-$P695,""))))</f>
        <v/>
      </c>
      <c r="R695" s="11">
        <f>IF($A695="","",IF($C695="Open","",$Q695))</f>
        <v/>
      </c>
      <c r="S695" s="12">
        <f>IF($A695="","",IFS($B695="Covered Call","Covered Call Premium",$B695="Cash Secured Put","Cash Secured Put Premium",$B695="Long Call/Put","Long Call/Put P/L",$B695="Debit Spread","Long Call/Put P/L",$B695="Stock Sale","Stock Sales",TRUE,"Other"))</f>
        <v/>
      </c>
      <c r="T695" s="11">
        <f>IF($A695="","",IF($B695="Cash Secured Put",$K695*$M695*100,IF($B695="Covered Call",$K695*$M695*100,IF($H695="Stock",$M695*$N695,""))))</f>
        <v/>
      </c>
      <c r="U695" s="19">
        <f>IF(OR($A695="",$C695&lt;&gt;"Closed",$D695="",$E695="",$T695=0),"",$R695/$T695*365/MAX(1,$E695-$D695))</f>
        <v/>
      </c>
      <c r="V695" s="14" t="n"/>
      <c r="W695" s="12" t="n"/>
    </row>
    <row r="696">
      <c r="A696" s="12" t="n"/>
      <c r="B696" s="14" t="n"/>
      <c r="C696" s="14" t="n"/>
      <c r="D696" s="15" t="n"/>
      <c r="E696" s="15" t="n"/>
      <c r="F696" s="16">
        <f>IF($E696="","",DATE(YEAR($E696),MONTH($E696),1))</f>
        <v/>
      </c>
      <c r="G696" s="14" t="n"/>
      <c r="H696" s="14" t="n"/>
      <c r="I696" s="14" t="n"/>
      <c r="J696" s="14" t="n"/>
      <c r="K696" s="17" t="n"/>
      <c r="L696" s="15" t="n"/>
      <c r="M696" s="14" t="n"/>
      <c r="N696" s="17" t="n"/>
      <c r="O696" s="17" t="n"/>
      <c r="P696" s="18" t="n"/>
      <c r="Q696" s="11">
        <f>IF($A696="","",IF($H696="Stock",IF($I696="Buy",-$M696*$N696-$P696,IF($I696="Sell",IF($N696="", $M696*$O696-$P696,($O696-$N696)*$M696-$P696),"")),IF($I696="Sell",($N696-IF($O696="",0,$O696))*$M696*100-$P696,IF($I696="Buy",(IF($O696="",0,$O696)-$N696)*$M696*100-$P696,""))))</f>
        <v/>
      </c>
      <c r="R696" s="11">
        <f>IF($A696="","",IF($C696="Open","",$Q696))</f>
        <v/>
      </c>
      <c r="S696" s="12">
        <f>IF($A696="","",IFS($B696="Covered Call","Covered Call Premium",$B696="Cash Secured Put","Cash Secured Put Premium",$B696="Long Call/Put","Long Call/Put P/L",$B696="Debit Spread","Long Call/Put P/L",$B696="Stock Sale","Stock Sales",TRUE,"Other"))</f>
        <v/>
      </c>
      <c r="T696" s="11">
        <f>IF($A696="","",IF($B696="Cash Secured Put",$K696*$M696*100,IF($B696="Covered Call",$K696*$M696*100,IF($H696="Stock",$M696*$N696,""))))</f>
        <v/>
      </c>
      <c r="U696" s="19">
        <f>IF(OR($A696="",$C696&lt;&gt;"Closed",$D696="",$E696="",$T696=0),"",$R696/$T696*365/MAX(1,$E696-$D696))</f>
        <v/>
      </c>
      <c r="V696" s="14" t="n"/>
      <c r="W696" s="12" t="n"/>
    </row>
    <row r="697">
      <c r="A697" s="12" t="n"/>
      <c r="B697" s="14" t="n"/>
      <c r="C697" s="14" t="n"/>
      <c r="D697" s="15" t="n"/>
      <c r="E697" s="15" t="n"/>
      <c r="F697" s="16">
        <f>IF($E697="","",DATE(YEAR($E697),MONTH($E697),1))</f>
        <v/>
      </c>
      <c r="G697" s="14" t="n"/>
      <c r="H697" s="14" t="n"/>
      <c r="I697" s="14" t="n"/>
      <c r="J697" s="14" t="n"/>
      <c r="K697" s="17" t="n"/>
      <c r="L697" s="15" t="n"/>
      <c r="M697" s="14" t="n"/>
      <c r="N697" s="17" t="n"/>
      <c r="O697" s="17" t="n"/>
      <c r="P697" s="18" t="n"/>
      <c r="Q697" s="11">
        <f>IF($A697="","",IF($H697="Stock",IF($I697="Buy",-$M697*$N697-$P697,IF($I697="Sell",IF($N697="", $M697*$O697-$P697,($O697-$N697)*$M697-$P697),"")),IF($I697="Sell",($N697-IF($O697="",0,$O697))*$M697*100-$P697,IF($I697="Buy",(IF($O697="",0,$O697)-$N697)*$M697*100-$P697,""))))</f>
        <v/>
      </c>
      <c r="R697" s="11">
        <f>IF($A697="","",IF($C697="Open","",$Q697))</f>
        <v/>
      </c>
      <c r="S697" s="12">
        <f>IF($A697="","",IFS($B697="Covered Call","Covered Call Premium",$B697="Cash Secured Put","Cash Secured Put Premium",$B697="Long Call/Put","Long Call/Put P/L",$B697="Debit Spread","Long Call/Put P/L",$B697="Stock Sale","Stock Sales",TRUE,"Other"))</f>
        <v/>
      </c>
      <c r="T697" s="11">
        <f>IF($A697="","",IF($B697="Cash Secured Put",$K697*$M697*100,IF($B697="Covered Call",$K697*$M697*100,IF($H697="Stock",$M697*$N697,""))))</f>
        <v/>
      </c>
      <c r="U697" s="19">
        <f>IF(OR($A697="",$C697&lt;&gt;"Closed",$D697="",$E697="",$T697=0),"",$R697/$T697*365/MAX(1,$E697-$D697))</f>
        <v/>
      </c>
      <c r="V697" s="14" t="n"/>
      <c r="W697" s="12" t="n"/>
    </row>
    <row r="698">
      <c r="A698" s="12" t="n"/>
      <c r="B698" s="14" t="n"/>
      <c r="C698" s="14" t="n"/>
      <c r="D698" s="15" t="n"/>
      <c r="E698" s="15" t="n"/>
      <c r="F698" s="16">
        <f>IF($E698="","",DATE(YEAR($E698),MONTH($E698),1))</f>
        <v/>
      </c>
      <c r="G698" s="14" t="n"/>
      <c r="H698" s="14" t="n"/>
      <c r="I698" s="14" t="n"/>
      <c r="J698" s="14" t="n"/>
      <c r="K698" s="17" t="n"/>
      <c r="L698" s="15" t="n"/>
      <c r="M698" s="14" t="n"/>
      <c r="N698" s="17" t="n"/>
      <c r="O698" s="17" t="n"/>
      <c r="P698" s="18" t="n"/>
      <c r="Q698" s="11">
        <f>IF($A698="","",IF($H698="Stock",IF($I698="Buy",-$M698*$N698-$P698,IF($I698="Sell",IF($N698="", $M698*$O698-$P698,($O698-$N698)*$M698-$P698),"")),IF($I698="Sell",($N698-IF($O698="",0,$O698))*$M698*100-$P698,IF($I698="Buy",(IF($O698="",0,$O698)-$N698)*$M698*100-$P698,""))))</f>
        <v/>
      </c>
      <c r="R698" s="11">
        <f>IF($A698="","",IF($C698="Open","",$Q698))</f>
        <v/>
      </c>
      <c r="S698" s="12">
        <f>IF($A698="","",IFS($B698="Covered Call","Covered Call Premium",$B698="Cash Secured Put","Cash Secured Put Premium",$B698="Long Call/Put","Long Call/Put P/L",$B698="Debit Spread","Long Call/Put P/L",$B698="Stock Sale","Stock Sales",TRUE,"Other"))</f>
        <v/>
      </c>
      <c r="T698" s="11">
        <f>IF($A698="","",IF($B698="Cash Secured Put",$K698*$M698*100,IF($B698="Covered Call",$K698*$M698*100,IF($H698="Stock",$M698*$N698,""))))</f>
        <v/>
      </c>
      <c r="U698" s="19">
        <f>IF(OR($A698="",$C698&lt;&gt;"Closed",$D698="",$E698="",$T698=0),"",$R698/$T698*365/MAX(1,$E698-$D698))</f>
        <v/>
      </c>
      <c r="V698" s="14" t="n"/>
      <c r="W698" s="12" t="n"/>
    </row>
    <row r="699">
      <c r="A699" s="12" t="n"/>
      <c r="B699" s="14" t="n"/>
      <c r="C699" s="14" t="n"/>
      <c r="D699" s="15" t="n"/>
      <c r="E699" s="15" t="n"/>
      <c r="F699" s="16">
        <f>IF($E699="","",DATE(YEAR($E699),MONTH($E699),1))</f>
        <v/>
      </c>
      <c r="G699" s="14" t="n"/>
      <c r="H699" s="14" t="n"/>
      <c r="I699" s="14" t="n"/>
      <c r="J699" s="14" t="n"/>
      <c r="K699" s="17" t="n"/>
      <c r="L699" s="15" t="n"/>
      <c r="M699" s="14" t="n"/>
      <c r="N699" s="17" t="n"/>
      <c r="O699" s="17" t="n"/>
      <c r="P699" s="18" t="n"/>
      <c r="Q699" s="11">
        <f>IF($A699="","",IF($H699="Stock",IF($I699="Buy",-$M699*$N699-$P699,IF($I699="Sell",IF($N699="", $M699*$O699-$P699,($O699-$N699)*$M699-$P699),"")),IF($I699="Sell",($N699-IF($O699="",0,$O699))*$M699*100-$P699,IF($I699="Buy",(IF($O699="",0,$O699)-$N699)*$M699*100-$P699,""))))</f>
        <v/>
      </c>
      <c r="R699" s="11">
        <f>IF($A699="","",IF($C699="Open","",$Q699))</f>
        <v/>
      </c>
      <c r="S699" s="12">
        <f>IF($A699="","",IFS($B699="Covered Call","Covered Call Premium",$B699="Cash Secured Put","Cash Secured Put Premium",$B699="Long Call/Put","Long Call/Put P/L",$B699="Debit Spread","Long Call/Put P/L",$B699="Stock Sale","Stock Sales",TRUE,"Other"))</f>
        <v/>
      </c>
      <c r="T699" s="11">
        <f>IF($A699="","",IF($B699="Cash Secured Put",$K699*$M699*100,IF($B699="Covered Call",$K699*$M699*100,IF($H699="Stock",$M699*$N699,""))))</f>
        <v/>
      </c>
      <c r="U699" s="19">
        <f>IF(OR($A699="",$C699&lt;&gt;"Closed",$D699="",$E699="",$T699=0),"",$R699/$T699*365/MAX(1,$E699-$D699))</f>
        <v/>
      </c>
      <c r="V699" s="14" t="n"/>
      <c r="W699" s="12" t="n"/>
    </row>
    <row r="700">
      <c r="A700" s="12" t="n"/>
      <c r="B700" s="14" t="n"/>
      <c r="C700" s="14" t="n"/>
      <c r="D700" s="15" t="n"/>
      <c r="E700" s="15" t="n"/>
      <c r="F700" s="16">
        <f>IF($E700="","",DATE(YEAR($E700),MONTH($E700),1))</f>
        <v/>
      </c>
      <c r="G700" s="14" t="n"/>
      <c r="H700" s="14" t="n"/>
      <c r="I700" s="14" t="n"/>
      <c r="J700" s="14" t="n"/>
      <c r="K700" s="17" t="n"/>
      <c r="L700" s="15" t="n"/>
      <c r="M700" s="14" t="n"/>
      <c r="N700" s="17" t="n"/>
      <c r="O700" s="17" t="n"/>
      <c r="P700" s="18" t="n"/>
      <c r="Q700" s="11">
        <f>IF($A700="","",IF($H700="Stock",IF($I700="Buy",-$M700*$N700-$P700,IF($I700="Sell",IF($N700="", $M700*$O700-$P700,($O700-$N700)*$M700-$P700),"")),IF($I700="Sell",($N700-IF($O700="",0,$O700))*$M700*100-$P700,IF($I700="Buy",(IF($O700="",0,$O700)-$N700)*$M700*100-$P700,""))))</f>
        <v/>
      </c>
      <c r="R700" s="11">
        <f>IF($A700="","",IF($C700="Open","",$Q700))</f>
        <v/>
      </c>
      <c r="S700" s="12">
        <f>IF($A700="","",IFS($B700="Covered Call","Covered Call Premium",$B700="Cash Secured Put","Cash Secured Put Premium",$B700="Long Call/Put","Long Call/Put P/L",$B700="Debit Spread","Long Call/Put P/L",$B700="Stock Sale","Stock Sales",TRUE,"Other"))</f>
        <v/>
      </c>
      <c r="T700" s="11">
        <f>IF($A700="","",IF($B700="Cash Secured Put",$K700*$M700*100,IF($B700="Covered Call",$K700*$M700*100,IF($H700="Stock",$M700*$N700,""))))</f>
        <v/>
      </c>
      <c r="U700" s="19">
        <f>IF(OR($A700="",$C700&lt;&gt;"Closed",$D700="",$E700="",$T700=0),"",$R700/$T700*365/MAX(1,$E700-$D700))</f>
        <v/>
      </c>
      <c r="V700" s="14" t="n"/>
      <c r="W700" s="12" t="n"/>
    </row>
    <row r="701">
      <c r="A701" s="12" t="n"/>
      <c r="B701" s="14" t="n"/>
      <c r="C701" s="14" t="n"/>
      <c r="D701" s="15" t="n"/>
      <c r="E701" s="15" t="n"/>
      <c r="F701" s="16">
        <f>IF($E701="","",DATE(YEAR($E701),MONTH($E701),1))</f>
        <v/>
      </c>
      <c r="G701" s="14" t="n"/>
      <c r="H701" s="14" t="n"/>
      <c r="I701" s="14" t="n"/>
      <c r="J701" s="14" t="n"/>
      <c r="K701" s="17" t="n"/>
      <c r="L701" s="15" t="n"/>
      <c r="M701" s="14" t="n"/>
      <c r="N701" s="17" t="n"/>
      <c r="O701" s="17" t="n"/>
      <c r="P701" s="18" t="n"/>
      <c r="Q701" s="11">
        <f>IF($A701="","",IF($H701="Stock",IF($I701="Buy",-$M701*$N701-$P701,IF($I701="Sell",IF($N701="", $M701*$O701-$P701,($O701-$N701)*$M701-$P701),"")),IF($I701="Sell",($N701-IF($O701="",0,$O701))*$M701*100-$P701,IF($I701="Buy",(IF($O701="",0,$O701)-$N701)*$M701*100-$P701,""))))</f>
        <v/>
      </c>
      <c r="R701" s="11">
        <f>IF($A701="","",IF($C701="Open","",$Q701))</f>
        <v/>
      </c>
      <c r="S701" s="12">
        <f>IF($A701="","",IFS($B701="Covered Call","Covered Call Premium",$B701="Cash Secured Put","Cash Secured Put Premium",$B701="Long Call/Put","Long Call/Put P/L",$B701="Debit Spread","Long Call/Put P/L",$B701="Stock Sale","Stock Sales",TRUE,"Other"))</f>
        <v/>
      </c>
      <c r="T701" s="11">
        <f>IF($A701="","",IF($B701="Cash Secured Put",$K701*$M701*100,IF($B701="Covered Call",$K701*$M701*100,IF($H701="Stock",$M701*$N701,""))))</f>
        <v/>
      </c>
      <c r="U701" s="19">
        <f>IF(OR($A701="",$C701&lt;&gt;"Closed",$D701="",$E701="",$T701=0),"",$R701/$T701*365/MAX(1,$E701-$D701))</f>
        <v/>
      </c>
      <c r="V701" s="14" t="n"/>
      <c r="W701" s="12" t="n"/>
    </row>
    <row r="702">
      <c r="A702" s="12" t="n"/>
      <c r="B702" s="14" t="n"/>
      <c r="C702" s="14" t="n"/>
      <c r="D702" s="15" t="n"/>
      <c r="E702" s="15" t="n"/>
      <c r="F702" s="16">
        <f>IF($E702="","",DATE(YEAR($E702),MONTH($E702),1))</f>
        <v/>
      </c>
      <c r="G702" s="14" t="n"/>
      <c r="H702" s="14" t="n"/>
      <c r="I702" s="14" t="n"/>
      <c r="J702" s="14" t="n"/>
      <c r="K702" s="17" t="n"/>
      <c r="L702" s="15" t="n"/>
      <c r="M702" s="14" t="n"/>
      <c r="N702" s="17" t="n"/>
      <c r="O702" s="17" t="n"/>
      <c r="P702" s="18" t="n"/>
      <c r="Q702" s="11">
        <f>IF($A702="","",IF($H702="Stock",IF($I702="Buy",-$M702*$N702-$P702,IF($I702="Sell",IF($N702="", $M702*$O702-$P702,($O702-$N702)*$M702-$P702),"")),IF($I702="Sell",($N702-IF($O702="",0,$O702))*$M702*100-$P702,IF($I702="Buy",(IF($O702="",0,$O702)-$N702)*$M702*100-$P702,""))))</f>
        <v/>
      </c>
      <c r="R702" s="11">
        <f>IF($A702="","",IF($C702="Open","",$Q702))</f>
        <v/>
      </c>
      <c r="S702" s="12">
        <f>IF($A702="","",IFS($B702="Covered Call","Covered Call Premium",$B702="Cash Secured Put","Cash Secured Put Premium",$B702="Long Call/Put","Long Call/Put P/L",$B702="Debit Spread","Long Call/Put P/L",$B702="Stock Sale","Stock Sales",TRUE,"Other"))</f>
        <v/>
      </c>
      <c r="T702" s="11">
        <f>IF($A702="","",IF($B702="Cash Secured Put",$K702*$M702*100,IF($B702="Covered Call",$K702*$M702*100,IF($H702="Stock",$M702*$N702,""))))</f>
        <v/>
      </c>
      <c r="U702" s="19">
        <f>IF(OR($A702="",$C702&lt;&gt;"Closed",$D702="",$E702="",$T702=0),"",$R702/$T702*365/MAX(1,$E702-$D702))</f>
        <v/>
      </c>
      <c r="V702" s="14" t="n"/>
      <c r="W702" s="12" t="n"/>
    </row>
    <row r="703">
      <c r="A703" s="12" t="n"/>
      <c r="B703" s="14" t="n"/>
      <c r="C703" s="14" t="n"/>
      <c r="D703" s="15" t="n"/>
      <c r="E703" s="15" t="n"/>
      <c r="F703" s="16">
        <f>IF($E703="","",DATE(YEAR($E703),MONTH($E703),1))</f>
        <v/>
      </c>
      <c r="G703" s="14" t="n"/>
      <c r="H703" s="14" t="n"/>
      <c r="I703" s="14" t="n"/>
      <c r="J703" s="14" t="n"/>
      <c r="K703" s="17" t="n"/>
      <c r="L703" s="15" t="n"/>
      <c r="M703" s="14" t="n"/>
      <c r="N703" s="17" t="n"/>
      <c r="O703" s="17" t="n"/>
      <c r="P703" s="18" t="n"/>
      <c r="Q703" s="11">
        <f>IF($A703="","",IF($H703="Stock",IF($I703="Buy",-$M703*$N703-$P703,IF($I703="Sell",IF($N703="", $M703*$O703-$P703,($O703-$N703)*$M703-$P703),"")),IF($I703="Sell",($N703-IF($O703="",0,$O703))*$M703*100-$P703,IF($I703="Buy",(IF($O703="",0,$O703)-$N703)*$M703*100-$P703,""))))</f>
        <v/>
      </c>
      <c r="R703" s="11">
        <f>IF($A703="","",IF($C703="Open","",$Q703))</f>
        <v/>
      </c>
      <c r="S703" s="12">
        <f>IF($A703="","",IFS($B703="Covered Call","Covered Call Premium",$B703="Cash Secured Put","Cash Secured Put Premium",$B703="Long Call/Put","Long Call/Put P/L",$B703="Debit Spread","Long Call/Put P/L",$B703="Stock Sale","Stock Sales",TRUE,"Other"))</f>
        <v/>
      </c>
      <c r="T703" s="11">
        <f>IF($A703="","",IF($B703="Cash Secured Put",$K703*$M703*100,IF($B703="Covered Call",$K703*$M703*100,IF($H703="Stock",$M703*$N703,""))))</f>
        <v/>
      </c>
      <c r="U703" s="19">
        <f>IF(OR($A703="",$C703&lt;&gt;"Closed",$D703="",$E703="",$T703=0),"",$R703/$T703*365/MAX(1,$E703-$D703))</f>
        <v/>
      </c>
      <c r="V703" s="14" t="n"/>
      <c r="W703" s="12" t="n"/>
    </row>
    <row r="704">
      <c r="A704" s="12" t="n"/>
      <c r="B704" s="14" t="n"/>
      <c r="C704" s="14" t="n"/>
      <c r="D704" s="15" t="n"/>
      <c r="E704" s="15" t="n"/>
      <c r="F704" s="16">
        <f>IF($E704="","",DATE(YEAR($E704),MONTH($E704),1))</f>
        <v/>
      </c>
      <c r="G704" s="14" t="n"/>
      <c r="H704" s="14" t="n"/>
      <c r="I704" s="14" t="n"/>
      <c r="J704" s="14" t="n"/>
      <c r="K704" s="17" t="n"/>
      <c r="L704" s="15" t="n"/>
      <c r="M704" s="14" t="n"/>
      <c r="N704" s="17" t="n"/>
      <c r="O704" s="17" t="n"/>
      <c r="P704" s="18" t="n"/>
      <c r="Q704" s="11">
        <f>IF($A704="","",IF($H704="Stock",IF($I704="Buy",-$M704*$N704-$P704,IF($I704="Sell",IF($N704="", $M704*$O704-$P704,($O704-$N704)*$M704-$P704),"")),IF($I704="Sell",($N704-IF($O704="",0,$O704))*$M704*100-$P704,IF($I704="Buy",(IF($O704="",0,$O704)-$N704)*$M704*100-$P704,""))))</f>
        <v/>
      </c>
      <c r="R704" s="11">
        <f>IF($A704="","",IF($C704="Open","",$Q704))</f>
        <v/>
      </c>
      <c r="S704" s="12">
        <f>IF($A704="","",IFS($B704="Covered Call","Covered Call Premium",$B704="Cash Secured Put","Cash Secured Put Premium",$B704="Long Call/Put","Long Call/Put P/L",$B704="Debit Spread","Long Call/Put P/L",$B704="Stock Sale","Stock Sales",TRUE,"Other"))</f>
        <v/>
      </c>
      <c r="T704" s="11">
        <f>IF($A704="","",IF($B704="Cash Secured Put",$K704*$M704*100,IF($B704="Covered Call",$K704*$M704*100,IF($H704="Stock",$M704*$N704,""))))</f>
        <v/>
      </c>
      <c r="U704" s="19">
        <f>IF(OR($A704="",$C704&lt;&gt;"Closed",$D704="",$E704="",$T704=0),"",$R704/$T704*365/MAX(1,$E704-$D704))</f>
        <v/>
      </c>
      <c r="V704" s="14" t="n"/>
      <c r="W704" s="12" t="n"/>
    </row>
    <row r="705">
      <c r="A705" s="12" t="n"/>
      <c r="B705" s="14" t="n"/>
      <c r="C705" s="14" t="n"/>
      <c r="D705" s="15" t="n"/>
      <c r="E705" s="15" t="n"/>
      <c r="F705" s="16">
        <f>IF($E705="","",DATE(YEAR($E705),MONTH($E705),1))</f>
        <v/>
      </c>
      <c r="G705" s="14" t="n"/>
      <c r="H705" s="14" t="n"/>
      <c r="I705" s="14" t="n"/>
      <c r="J705" s="14" t="n"/>
      <c r="K705" s="17" t="n"/>
      <c r="L705" s="15" t="n"/>
      <c r="M705" s="14" t="n"/>
      <c r="N705" s="17" t="n"/>
      <c r="O705" s="17" t="n"/>
      <c r="P705" s="18" t="n"/>
      <c r="Q705" s="11">
        <f>IF($A705="","",IF($H705="Stock",IF($I705="Buy",-$M705*$N705-$P705,IF($I705="Sell",IF($N705="", $M705*$O705-$P705,($O705-$N705)*$M705-$P705),"")),IF($I705="Sell",($N705-IF($O705="",0,$O705))*$M705*100-$P705,IF($I705="Buy",(IF($O705="",0,$O705)-$N705)*$M705*100-$P705,""))))</f>
        <v/>
      </c>
      <c r="R705" s="11">
        <f>IF($A705="","",IF($C705="Open","",$Q705))</f>
        <v/>
      </c>
      <c r="S705" s="12">
        <f>IF($A705="","",IFS($B705="Covered Call","Covered Call Premium",$B705="Cash Secured Put","Cash Secured Put Premium",$B705="Long Call/Put","Long Call/Put P/L",$B705="Debit Spread","Long Call/Put P/L",$B705="Stock Sale","Stock Sales",TRUE,"Other"))</f>
        <v/>
      </c>
      <c r="T705" s="11">
        <f>IF($A705="","",IF($B705="Cash Secured Put",$K705*$M705*100,IF($B705="Covered Call",$K705*$M705*100,IF($H705="Stock",$M705*$N705,""))))</f>
        <v/>
      </c>
      <c r="U705" s="19">
        <f>IF(OR($A705="",$C705&lt;&gt;"Closed",$D705="",$E705="",$T705=0),"",$R705/$T705*365/MAX(1,$E705-$D705))</f>
        <v/>
      </c>
      <c r="V705" s="14" t="n"/>
      <c r="W705" s="12" t="n"/>
    </row>
    <row r="706">
      <c r="A706" s="12" t="n"/>
      <c r="B706" s="14" t="n"/>
      <c r="C706" s="14" t="n"/>
      <c r="D706" s="15" t="n"/>
      <c r="E706" s="15" t="n"/>
      <c r="F706" s="16">
        <f>IF($E706="","",DATE(YEAR($E706),MONTH($E706),1))</f>
        <v/>
      </c>
      <c r="G706" s="14" t="n"/>
      <c r="H706" s="14" t="n"/>
      <c r="I706" s="14" t="n"/>
      <c r="J706" s="14" t="n"/>
      <c r="K706" s="17" t="n"/>
      <c r="L706" s="15" t="n"/>
      <c r="M706" s="14" t="n"/>
      <c r="N706" s="17" t="n"/>
      <c r="O706" s="17" t="n"/>
      <c r="P706" s="18" t="n"/>
      <c r="Q706" s="11">
        <f>IF($A706="","",IF($H706="Stock",IF($I706="Buy",-$M706*$N706-$P706,IF($I706="Sell",IF($N706="", $M706*$O706-$P706,($O706-$N706)*$M706-$P706),"")),IF($I706="Sell",($N706-IF($O706="",0,$O706))*$M706*100-$P706,IF($I706="Buy",(IF($O706="",0,$O706)-$N706)*$M706*100-$P706,""))))</f>
        <v/>
      </c>
      <c r="R706" s="11">
        <f>IF($A706="","",IF($C706="Open","",$Q706))</f>
        <v/>
      </c>
      <c r="S706" s="12">
        <f>IF($A706="","",IFS($B706="Covered Call","Covered Call Premium",$B706="Cash Secured Put","Cash Secured Put Premium",$B706="Long Call/Put","Long Call/Put P/L",$B706="Debit Spread","Long Call/Put P/L",$B706="Stock Sale","Stock Sales",TRUE,"Other"))</f>
        <v/>
      </c>
      <c r="T706" s="11">
        <f>IF($A706="","",IF($B706="Cash Secured Put",$K706*$M706*100,IF($B706="Covered Call",$K706*$M706*100,IF($H706="Stock",$M706*$N706,""))))</f>
        <v/>
      </c>
      <c r="U706" s="19">
        <f>IF(OR($A706="",$C706&lt;&gt;"Closed",$D706="",$E706="",$T706=0),"",$R706/$T706*365/MAX(1,$E706-$D706))</f>
        <v/>
      </c>
      <c r="V706" s="14" t="n"/>
      <c r="W706" s="12" t="n"/>
    </row>
    <row r="707">
      <c r="A707" s="12" t="n"/>
      <c r="B707" s="14" t="n"/>
      <c r="C707" s="14" t="n"/>
      <c r="D707" s="15" t="n"/>
      <c r="E707" s="15" t="n"/>
      <c r="F707" s="16">
        <f>IF($E707="","",DATE(YEAR($E707),MONTH($E707),1))</f>
        <v/>
      </c>
      <c r="G707" s="14" t="n"/>
      <c r="H707" s="14" t="n"/>
      <c r="I707" s="14" t="n"/>
      <c r="J707" s="14" t="n"/>
      <c r="K707" s="17" t="n"/>
      <c r="L707" s="15" t="n"/>
      <c r="M707" s="14" t="n"/>
      <c r="N707" s="17" t="n"/>
      <c r="O707" s="17" t="n"/>
      <c r="P707" s="18" t="n"/>
      <c r="Q707" s="11">
        <f>IF($A707="","",IF($H707="Stock",IF($I707="Buy",-$M707*$N707-$P707,IF($I707="Sell",IF($N707="", $M707*$O707-$P707,($O707-$N707)*$M707-$P707),"")),IF($I707="Sell",($N707-IF($O707="",0,$O707))*$M707*100-$P707,IF($I707="Buy",(IF($O707="",0,$O707)-$N707)*$M707*100-$P707,""))))</f>
        <v/>
      </c>
      <c r="R707" s="11">
        <f>IF($A707="","",IF($C707="Open","",$Q707))</f>
        <v/>
      </c>
      <c r="S707" s="12">
        <f>IF($A707="","",IFS($B707="Covered Call","Covered Call Premium",$B707="Cash Secured Put","Cash Secured Put Premium",$B707="Long Call/Put","Long Call/Put P/L",$B707="Debit Spread","Long Call/Put P/L",$B707="Stock Sale","Stock Sales",TRUE,"Other"))</f>
        <v/>
      </c>
      <c r="T707" s="11">
        <f>IF($A707="","",IF($B707="Cash Secured Put",$K707*$M707*100,IF($B707="Covered Call",$K707*$M707*100,IF($H707="Stock",$M707*$N707,""))))</f>
        <v/>
      </c>
      <c r="U707" s="19">
        <f>IF(OR($A707="",$C707&lt;&gt;"Closed",$D707="",$E707="",$T707=0),"",$R707/$T707*365/MAX(1,$E707-$D707))</f>
        <v/>
      </c>
      <c r="V707" s="14" t="n"/>
      <c r="W707" s="12" t="n"/>
    </row>
    <row r="708">
      <c r="A708" s="12" t="n"/>
      <c r="B708" s="14" t="n"/>
      <c r="C708" s="14" t="n"/>
      <c r="D708" s="15" t="n"/>
      <c r="E708" s="15" t="n"/>
      <c r="F708" s="16">
        <f>IF($E708="","",DATE(YEAR($E708),MONTH($E708),1))</f>
        <v/>
      </c>
      <c r="G708" s="14" t="n"/>
      <c r="H708" s="14" t="n"/>
      <c r="I708" s="14" t="n"/>
      <c r="J708" s="14" t="n"/>
      <c r="K708" s="17" t="n"/>
      <c r="L708" s="15" t="n"/>
      <c r="M708" s="14" t="n"/>
      <c r="N708" s="17" t="n"/>
      <c r="O708" s="17" t="n"/>
      <c r="P708" s="18" t="n"/>
      <c r="Q708" s="11">
        <f>IF($A708="","",IF($H708="Stock",IF($I708="Buy",-$M708*$N708-$P708,IF($I708="Sell",IF($N708="", $M708*$O708-$P708,($O708-$N708)*$M708-$P708),"")),IF($I708="Sell",($N708-IF($O708="",0,$O708))*$M708*100-$P708,IF($I708="Buy",(IF($O708="",0,$O708)-$N708)*$M708*100-$P708,""))))</f>
        <v/>
      </c>
      <c r="R708" s="11">
        <f>IF($A708="","",IF($C708="Open","",$Q708))</f>
        <v/>
      </c>
      <c r="S708" s="12">
        <f>IF($A708="","",IFS($B708="Covered Call","Covered Call Premium",$B708="Cash Secured Put","Cash Secured Put Premium",$B708="Long Call/Put","Long Call/Put P/L",$B708="Debit Spread","Long Call/Put P/L",$B708="Stock Sale","Stock Sales",TRUE,"Other"))</f>
        <v/>
      </c>
      <c r="T708" s="11">
        <f>IF($A708="","",IF($B708="Cash Secured Put",$K708*$M708*100,IF($B708="Covered Call",$K708*$M708*100,IF($H708="Stock",$M708*$N708,""))))</f>
        <v/>
      </c>
      <c r="U708" s="19">
        <f>IF(OR($A708="",$C708&lt;&gt;"Closed",$D708="",$E708="",$T708=0),"",$R708/$T708*365/MAX(1,$E708-$D708))</f>
        <v/>
      </c>
      <c r="V708" s="14" t="n"/>
      <c r="W708" s="12" t="n"/>
    </row>
    <row r="709">
      <c r="A709" s="12" t="n"/>
      <c r="B709" s="14" t="n"/>
      <c r="C709" s="14" t="n"/>
      <c r="D709" s="15" t="n"/>
      <c r="E709" s="15" t="n"/>
      <c r="F709" s="16">
        <f>IF($E709="","",DATE(YEAR($E709),MONTH($E709),1))</f>
        <v/>
      </c>
      <c r="G709" s="14" t="n"/>
      <c r="H709" s="14" t="n"/>
      <c r="I709" s="14" t="n"/>
      <c r="J709" s="14" t="n"/>
      <c r="K709" s="17" t="n"/>
      <c r="L709" s="15" t="n"/>
      <c r="M709" s="14" t="n"/>
      <c r="N709" s="17" t="n"/>
      <c r="O709" s="17" t="n"/>
      <c r="P709" s="18" t="n"/>
      <c r="Q709" s="11">
        <f>IF($A709="","",IF($H709="Stock",IF($I709="Buy",-$M709*$N709-$P709,IF($I709="Sell",IF($N709="", $M709*$O709-$P709,($O709-$N709)*$M709-$P709),"")),IF($I709="Sell",($N709-IF($O709="",0,$O709))*$M709*100-$P709,IF($I709="Buy",(IF($O709="",0,$O709)-$N709)*$M709*100-$P709,""))))</f>
        <v/>
      </c>
      <c r="R709" s="11">
        <f>IF($A709="","",IF($C709="Open","",$Q709))</f>
        <v/>
      </c>
      <c r="S709" s="12">
        <f>IF($A709="","",IFS($B709="Covered Call","Covered Call Premium",$B709="Cash Secured Put","Cash Secured Put Premium",$B709="Long Call/Put","Long Call/Put P/L",$B709="Debit Spread","Long Call/Put P/L",$B709="Stock Sale","Stock Sales",TRUE,"Other"))</f>
        <v/>
      </c>
      <c r="T709" s="11">
        <f>IF($A709="","",IF($B709="Cash Secured Put",$K709*$M709*100,IF($B709="Covered Call",$K709*$M709*100,IF($H709="Stock",$M709*$N709,""))))</f>
        <v/>
      </c>
      <c r="U709" s="19">
        <f>IF(OR($A709="",$C709&lt;&gt;"Closed",$D709="",$E709="",$T709=0),"",$R709/$T709*365/MAX(1,$E709-$D709))</f>
        <v/>
      </c>
      <c r="V709" s="14" t="n"/>
      <c r="W709" s="12" t="n"/>
    </row>
    <row r="710">
      <c r="A710" s="12" t="n"/>
      <c r="B710" s="14" t="n"/>
      <c r="C710" s="14" t="n"/>
      <c r="D710" s="15" t="n"/>
      <c r="E710" s="15" t="n"/>
      <c r="F710" s="16">
        <f>IF($E710="","",DATE(YEAR($E710),MONTH($E710),1))</f>
        <v/>
      </c>
      <c r="G710" s="14" t="n"/>
      <c r="H710" s="14" t="n"/>
      <c r="I710" s="14" t="n"/>
      <c r="J710" s="14" t="n"/>
      <c r="K710" s="17" t="n"/>
      <c r="L710" s="15" t="n"/>
      <c r="M710" s="14" t="n"/>
      <c r="N710" s="17" t="n"/>
      <c r="O710" s="17" t="n"/>
      <c r="P710" s="18" t="n"/>
      <c r="Q710" s="11">
        <f>IF($A710="","",IF($H710="Stock",IF($I710="Buy",-$M710*$N710-$P710,IF($I710="Sell",IF($N710="", $M710*$O710-$P710,($O710-$N710)*$M710-$P710),"")),IF($I710="Sell",($N710-IF($O710="",0,$O710))*$M710*100-$P710,IF($I710="Buy",(IF($O710="",0,$O710)-$N710)*$M710*100-$P710,""))))</f>
        <v/>
      </c>
      <c r="R710" s="11">
        <f>IF($A710="","",IF($C710="Open","",$Q710))</f>
        <v/>
      </c>
      <c r="S710" s="12">
        <f>IF($A710="","",IFS($B710="Covered Call","Covered Call Premium",$B710="Cash Secured Put","Cash Secured Put Premium",$B710="Long Call/Put","Long Call/Put P/L",$B710="Debit Spread","Long Call/Put P/L",$B710="Stock Sale","Stock Sales",TRUE,"Other"))</f>
        <v/>
      </c>
      <c r="T710" s="11">
        <f>IF($A710="","",IF($B710="Cash Secured Put",$K710*$M710*100,IF($B710="Covered Call",$K710*$M710*100,IF($H710="Stock",$M710*$N710,""))))</f>
        <v/>
      </c>
      <c r="U710" s="19">
        <f>IF(OR($A710="",$C710&lt;&gt;"Closed",$D710="",$E710="",$T710=0),"",$R710/$T710*365/MAX(1,$E710-$D710))</f>
        <v/>
      </c>
      <c r="V710" s="14" t="n"/>
      <c r="W710" s="12" t="n"/>
    </row>
    <row r="711">
      <c r="A711" s="12" t="n"/>
      <c r="B711" s="14" t="n"/>
      <c r="C711" s="14" t="n"/>
      <c r="D711" s="15" t="n"/>
      <c r="E711" s="15" t="n"/>
      <c r="F711" s="16">
        <f>IF($E711="","",DATE(YEAR($E711),MONTH($E711),1))</f>
        <v/>
      </c>
      <c r="G711" s="14" t="n"/>
      <c r="H711" s="14" t="n"/>
      <c r="I711" s="14" t="n"/>
      <c r="J711" s="14" t="n"/>
      <c r="K711" s="17" t="n"/>
      <c r="L711" s="15" t="n"/>
      <c r="M711" s="14" t="n"/>
      <c r="N711" s="17" t="n"/>
      <c r="O711" s="17" t="n"/>
      <c r="P711" s="18" t="n"/>
      <c r="Q711" s="11">
        <f>IF($A711="","",IF($H711="Stock",IF($I711="Buy",-$M711*$N711-$P711,IF($I711="Sell",IF($N711="", $M711*$O711-$P711,($O711-$N711)*$M711-$P711),"")),IF($I711="Sell",($N711-IF($O711="",0,$O711))*$M711*100-$P711,IF($I711="Buy",(IF($O711="",0,$O711)-$N711)*$M711*100-$P711,""))))</f>
        <v/>
      </c>
      <c r="R711" s="11">
        <f>IF($A711="","",IF($C711="Open","",$Q711))</f>
        <v/>
      </c>
      <c r="S711" s="12">
        <f>IF($A711="","",IFS($B711="Covered Call","Covered Call Premium",$B711="Cash Secured Put","Cash Secured Put Premium",$B711="Long Call/Put","Long Call/Put P/L",$B711="Debit Spread","Long Call/Put P/L",$B711="Stock Sale","Stock Sales",TRUE,"Other"))</f>
        <v/>
      </c>
      <c r="T711" s="11">
        <f>IF($A711="","",IF($B711="Cash Secured Put",$K711*$M711*100,IF($B711="Covered Call",$K711*$M711*100,IF($H711="Stock",$M711*$N711,""))))</f>
        <v/>
      </c>
      <c r="U711" s="19">
        <f>IF(OR($A711="",$C711&lt;&gt;"Closed",$D711="",$E711="",$T711=0),"",$R711/$T711*365/MAX(1,$E711-$D711))</f>
        <v/>
      </c>
      <c r="V711" s="14" t="n"/>
      <c r="W711" s="12" t="n"/>
    </row>
    <row r="712">
      <c r="A712" s="12" t="n"/>
      <c r="B712" s="14" t="n"/>
      <c r="C712" s="14" t="n"/>
      <c r="D712" s="15" t="n"/>
      <c r="E712" s="15" t="n"/>
      <c r="F712" s="16">
        <f>IF($E712="","",DATE(YEAR($E712),MONTH($E712),1))</f>
        <v/>
      </c>
      <c r="G712" s="14" t="n"/>
      <c r="H712" s="14" t="n"/>
      <c r="I712" s="14" t="n"/>
      <c r="J712" s="14" t="n"/>
      <c r="K712" s="17" t="n"/>
      <c r="L712" s="15" t="n"/>
      <c r="M712" s="14" t="n"/>
      <c r="N712" s="17" t="n"/>
      <c r="O712" s="17" t="n"/>
      <c r="P712" s="18" t="n"/>
      <c r="Q712" s="11">
        <f>IF($A712="","",IF($H712="Stock",IF($I712="Buy",-$M712*$N712-$P712,IF($I712="Sell",IF($N712="", $M712*$O712-$P712,($O712-$N712)*$M712-$P712),"")),IF($I712="Sell",($N712-IF($O712="",0,$O712))*$M712*100-$P712,IF($I712="Buy",(IF($O712="",0,$O712)-$N712)*$M712*100-$P712,""))))</f>
        <v/>
      </c>
      <c r="R712" s="11">
        <f>IF($A712="","",IF($C712="Open","",$Q712))</f>
        <v/>
      </c>
      <c r="S712" s="12">
        <f>IF($A712="","",IFS($B712="Covered Call","Covered Call Premium",$B712="Cash Secured Put","Cash Secured Put Premium",$B712="Long Call/Put","Long Call/Put P/L",$B712="Debit Spread","Long Call/Put P/L",$B712="Stock Sale","Stock Sales",TRUE,"Other"))</f>
        <v/>
      </c>
      <c r="T712" s="11">
        <f>IF($A712="","",IF($B712="Cash Secured Put",$K712*$M712*100,IF($B712="Covered Call",$K712*$M712*100,IF($H712="Stock",$M712*$N712,""))))</f>
        <v/>
      </c>
      <c r="U712" s="19">
        <f>IF(OR($A712="",$C712&lt;&gt;"Closed",$D712="",$E712="",$T712=0),"",$R712/$T712*365/MAX(1,$E712-$D712))</f>
        <v/>
      </c>
      <c r="V712" s="14" t="n"/>
      <c r="W712" s="12" t="n"/>
    </row>
    <row r="713">
      <c r="A713" s="12" t="n"/>
      <c r="B713" s="14" t="n"/>
      <c r="C713" s="14" t="n"/>
      <c r="D713" s="15" t="n"/>
      <c r="E713" s="15" t="n"/>
      <c r="F713" s="16">
        <f>IF($E713="","",DATE(YEAR($E713),MONTH($E713),1))</f>
        <v/>
      </c>
      <c r="G713" s="14" t="n"/>
      <c r="H713" s="14" t="n"/>
      <c r="I713" s="14" t="n"/>
      <c r="J713" s="14" t="n"/>
      <c r="K713" s="17" t="n"/>
      <c r="L713" s="15" t="n"/>
      <c r="M713" s="14" t="n"/>
      <c r="N713" s="17" t="n"/>
      <c r="O713" s="17" t="n"/>
      <c r="P713" s="18" t="n"/>
      <c r="Q713" s="11">
        <f>IF($A713="","",IF($H713="Stock",IF($I713="Buy",-$M713*$N713-$P713,IF($I713="Sell",IF($N713="", $M713*$O713-$P713,($O713-$N713)*$M713-$P713),"")),IF($I713="Sell",($N713-IF($O713="",0,$O713))*$M713*100-$P713,IF($I713="Buy",(IF($O713="",0,$O713)-$N713)*$M713*100-$P713,""))))</f>
        <v/>
      </c>
      <c r="R713" s="11">
        <f>IF($A713="","",IF($C713="Open","",$Q713))</f>
        <v/>
      </c>
      <c r="S713" s="12">
        <f>IF($A713="","",IFS($B713="Covered Call","Covered Call Premium",$B713="Cash Secured Put","Cash Secured Put Premium",$B713="Long Call/Put","Long Call/Put P/L",$B713="Debit Spread","Long Call/Put P/L",$B713="Stock Sale","Stock Sales",TRUE,"Other"))</f>
        <v/>
      </c>
      <c r="T713" s="11">
        <f>IF($A713="","",IF($B713="Cash Secured Put",$K713*$M713*100,IF($B713="Covered Call",$K713*$M713*100,IF($H713="Stock",$M713*$N713,""))))</f>
        <v/>
      </c>
      <c r="U713" s="19">
        <f>IF(OR($A713="",$C713&lt;&gt;"Closed",$D713="",$E713="",$T713=0),"",$R713/$T713*365/MAX(1,$E713-$D713))</f>
        <v/>
      </c>
      <c r="V713" s="14" t="n"/>
      <c r="W713" s="12" t="n"/>
    </row>
    <row r="714">
      <c r="A714" s="12" t="n"/>
      <c r="B714" s="14" t="n"/>
      <c r="C714" s="14" t="n"/>
      <c r="D714" s="15" t="n"/>
      <c r="E714" s="15" t="n"/>
      <c r="F714" s="16">
        <f>IF($E714="","",DATE(YEAR($E714),MONTH($E714),1))</f>
        <v/>
      </c>
      <c r="G714" s="14" t="n"/>
      <c r="H714" s="14" t="n"/>
      <c r="I714" s="14" t="n"/>
      <c r="J714" s="14" t="n"/>
      <c r="K714" s="17" t="n"/>
      <c r="L714" s="15" t="n"/>
      <c r="M714" s="14" t="n"/>
      <c r="N714" s="17" t="n"/>
      <c r="O714" s="17" t="n"/>
      <c r="P714" s="18" t="n"/>
      <c r="Q714" s="11">
        <f>IF($A714="","",IF($H714="Stock",IF($I714="Buy",-$M714*$N714-$P714,IF($I714="Sell",IF($N714="", $M714*$O714-$P714,($O714-$N714)*$M714-$P714),"")),IF($I714="Sell",($N714-IF($O714="",0,$O714))*$M714*100-$P714,IF($I714="Buy",(IF($O714="",0,$O714)-$N714)*$M714*100-$P714,""))))</f>
        <v/>
      </c>
      <c r="R714" s="11">
        <f>IF($A714="","",IF($C714="Open","",$Q714))</f>
        <v/>
      </c>
      <c r="S714" s="12">
        <f>IF($A714="","",IFS($B714="Covered Call","Covered Call Premium",$B714="Cash Secured Put","Cash Secured Put Premium",$B714="Long Call/Put","Long Call/Put P/L",$B714="Debit Spread","Long Call/Put P/L",$B714="Stock Sale","Stock Sales",TRUE,"Other"))</f>
        <v/>
      </c>
      <c r="T714" s="11">
        <f>IF($A714="","",IF($B714="Cash Secured Put",$K714*$M714*100,IF($B714="Covered Call",$K714*$M714*100,IF($H714="Stock",$M714*$N714,""))))</f>
        <v/>
      </c>
      <c r="U714" s="19">
        <f>IF(OR($A714="",$C714&lt;&gt;"Closed",$D714="",$E714="",$T714=0),"",$R714/$T714*365/MAX(1,$E714-$D714))</f>
        <v/>
      </c>
      <c r="V714" s="14" t="n"/>
      <c r="W714" s="12" t="n"/>
    </row>
    <row r="715">
      <c r="A715" s="12" t="n"/>
      <c r="B715" s="14" t="n"/>
      <c r="C715" s="14" t="n"/>
      <c r="D715" s="15" t="n"/>
      <c r="E715" s="15" t="n"/>
      <c r="F715" s="16">
        <f>IF($E715="","",DATE(YEAR($E715),MONTH($E715),1))</f>
        <v/>
      </c>
      <c r="G715" s="14" t="n"/>
      <c r="H715" s="14" t="n"/>
      <c r="I715" s="14" t="n"/>
      <c r="J715" s="14" t="n"/>
      <c r="K715" s="17" t="n"/>
      <c r="L715" s="15" t="n"/>
      <c r="M715" s="14" t="n"/>
      <c r="N715" s="17" t="n"/>
      <c r="O715" s="17" t="n"/>
      <c r="P715" s="18" t="n"/>
      <c r="Q715" s="11">
        <f>IF($A715="","",IF($H715="Stock",IF($I715="Buy",-$M715*$N715-$P715,IF($I715="Sell",IF($N715="", $M715*$O715-$P715,($O715-$N715)*$M715-$P715),"")),IF($I715="Sell",($N715-IF($O715="",0,$O715))*$M715*100-$P715,IF($I715="Buy",(IF($O715="",0,$O715)-$N715)*$M715*100-$P715,""))))</f>
        <v/>
      </c>
      <c r="R715" s="11">
        <f>IF($A715="","",IF($C715="Open","",$Q715))</f>
        <v/>
      </c>
      <c r="S715" s="12">
        <f>IF($A715="","",IFS($B715="Covered Call","Covered Call Premium",$B715="Cash Secured Put","Cash Secured Put Premium",$B715="Long Call/Put","Long Call/Put P/L",$B715="Debit Spread","Long Call/Put P/L",$B715="Stock Sale","Stock Sales",TRUE,"Other"))</f>
        <v/>
      </c>
      <c r="T715" s="11">
        <f>IF($A715="","",IF($B715="Cash Secured Put",$K715*$M715*100,IF($B715="Covered Call",$K715*$M715*100,IF($H715="Stock",$M715*$N715,""))))</f>
        <v/>
      </c>
      <c r="U715" s="19">
        <f>IF(OR($A715="",$C715&lt;&gt;"Closed",$D715="",$E715="",$T715=0),"",$R715/$T715*365/MAX(1,$E715-$D715))</f>
        <v/>
      </c>
      <c r="V715" s="14" t="n"/>
      <c r="W715" s="12" t="n"/>
    </row>
    <row r="716">
      <c r="A716" s="12" t="n"/>
      <c r="B716" s="14" t="n"/>
      <c r="C716" s="14" t="n"/>
      <c r="D716" s="15" t="n"/>
      <c r="E716" s="15" t="n"/>
      <c r="F716" s="16">
        <f>IF($E716="","",DATE(YEAR($E716),MONTH($E716),1))</f>
        <v/>
      </c>
      <c r="G716" s="14" t="n"/>
      <c r="H716" s="14" t="n"/>
      <c r="I716" s="14" t="n"/>
      <c r="J716" s="14" t="n"/>
      <c r="K716" s="17" t="n"/>
      <c r="L716" s="15" t="n"/>
      <c r="M716" s="14" t="n"/>
      <c r="N716" s="17" t="n"/>
      <c r="O716" s="17" t="n"/>
      <c r="P716" s="18" t="n"/>
      <c r="Q716" s="11">
        <f>IF($A716="","",IF($H716="Stock",IF($I716="Buy",-$M716*$N716-$P716,IF($I716="Sell",IF($N716="", $M716*$O716-$P716,($O716-$N716)*$M716-$P716),"")),IF($I716="Sell",($N716-IF($O716="",0,$O716))*$M716*100-$P716,IF($I716="Buy",(IF($O716="",0,$O716)-$N716)*$M716*100-$P716,""))))</f>
        <v/>
      </c>
      <c r="R716" s="11">
        <f>IF($A716="","",IF($C716="Open","",$Q716))</f>
        <v/>
      </c>
      <c r="S716" s="12">
        <f>IF($A716="","",IFS($B716="Covered Call","Covered Call Premium",$B716="Cash Secured Put","Cash Secured Put Premium",$B716="Long Call/Put","Long Call/Put P/L",$B716="Debit Spread","Long Call/Put P/L",$B716="Stock Sale","Stock Sales",TRUE,"Other"))</f>
        <v/>
      </c>
      <c r="T716" s="11">
        <f>IF($A716="","",IF($B716="Cash Secured Put",$K716*$M716*100,IF($B716="Covered Call",$K716*$M716*100,IF($H716="Stock",$M716*$N716,""))))</f>
        <v/>
      </c>
      <c r="U716" s="19">
        <f>IF(OR($A716="",$C716&lt;&gt;"Closed",$D716="",$E716="",$T716=0),"",$R716/$T716*365/MAX(1,$E716-$D716))</f>
        <v/>
      </c>
      <c r="V716" s="14" t="n"/>
      <c r="W716" s="12" t="n"/>
    </row>
    <row r="717">
      <c r="A717" s="12" t="n"/>
      <c r="B717" s="14" t="n"/>
      <c r="C717" s="14" t="n"/>
      <c r="D717" s="15" t="n"/>
      <c r="E717" s="15" t="n"/>
      <c r="F717" s="16">
        <f>IF($E717="","",DATE(YEAR($E717),MONTH($E717),1))</f>
        <v/>
      </c>
      <c r="G717" s="14" t="n"/>
      <c r="H717" s="14" t="n"/>
      <c r="I717" s="14" t="n"/>
      <c r="J717" s="14" t="n"/>
      <c r="K717" s="17" t="n"/>
      <c r="L717" s="15" t="n"/>
      <c r="M717" s="14" t="n"/>
      <c r="N717" s="17" t="n"/>
      <c r="O717" s="17" t="n"/>
      <c r="P717" s="18" t="n"/>
      <c r="Q717" s="11">
        <f>IF($A717="","",IF($H717="Stock",IF($I717="Buy",-$M717*$N717-$P717,IF($I717="Sell",IF($N717="", $M717*$O717-$P717,($O717-$N717)*$M717-$P717),"")),IF($I717="Sell",($N717-IF($O717="",0,$O717))*$M717*100-$P717,IF($I717="Buy",(IF($O717="",0,$O717)-$N717)*$M717*100-$P717,""))))</f>
        <v/>
      </c>
      <c r="R717" s="11">
        <f>IF($A717="","",IF($C717="Open","",$Q717))</f>
        <v/>
      </c>
      <c r="S717" s="12">
        <f>IF($A717="","",IFS($B717="Covered Call","Covered Call Premium",$B717="Cash Secured Put","Cash Secured Put Premium",$B717="Long Call/Put","Long Call/Put P/L",$B717="Debit Spread","Long Call/Put P/L",$B717="Stock Sale","Stock Sales",TRUE,"Other"))</f>
        <v/>
      </c>
      <c r="T717" s="11">
        <f>IF($A717="","",IF($B717="Cash Secured Put",$K717*$M717*100,IF($B717="Covered Call",$K717*$M717*100,IF($H717="Stock",$M717*$N717,""))))</f>
        <v/>
      </c>
      <c r="U717" s="19">
        <f>IF(OR($A717="",$C717&lt;&gt;"Closed",$D717="",$E717="",$T717=0),"",$R717/$T717*365/MAX(1,$E717-$D717))</f>
        <v/>
      </c>
      <c r="V717" s="14" t="n"/>
      <c r="W717" s="12" t="n"/>
    </row>
    <row r="718">
      <c r="A718" s="12" t="n"/>
      <c r="B718" s="14" t="n"/>
      <c r="C718" s="14" t="n"/>
      <c r="D718" s="15" t="n"/>
      <c r="E718" s="15" t="n"/>
      <c r="F718" s="16">
        <f>IF($E718="","",DATE(YEAR($E718),MONTH($E718),1))</f>
        <v/>
      </c>
      <c r="G718" s="14" t="n"/>
      <c r="H718" s="14" t="n"/>
      <c r="I718" s="14" t="n"/>
      <c r="J718" s="14" t="n"/>
      <c r="K718" s="17" t="n"/>
      <c r="L718" s="15" t="n"/>
      <c r="M718" s="14" t="n"/>
      <c r="N718" s="17" t="n"/>
      <c r="O718" s="17" t="n"/>
      <c r="P718" s="18" t="n"/>
      <c r="Q718" s="11">
        <f>IF($A718="","",IF($H718="Stock",IF($I718="Buy",-$M718*$N718-$P718,IF($I718="Sell",IF($N718="", $M718*$O718-$P718,($O718-$N718)*$M718-$P718),"")),IF($I718="Sell",($N718-IF($O718="",0,$O718))*$M718*100-$P718,IF($I718="Buy",(IF($O718="",0,$O718)-$N718)*$M718*100-$P718,""))))</f>
        <v/>
      </c>
      <c r="R718" s="11">
        <f>IF($A718="","",IF($C718="Open","",$Q718))</f>
        <v/>
      </c>
      <c r="S718" s="12">
        <f>IF($A718="","",IFS($B718="Covered Call","Covered Call Premium",$B718="Cash Secured Put","Cash Secured Put Premium",$B718="Long Call/Put","Long Call/Put P/L",$B718="Debit Spread","Long Call/Put P/L",$B718="Stock Sale","Stock Sales",TRUE,"Other"))</f>
        <v/>
      </c>
      <c r="T718" s="11">
        <f>IF($A718="","",IF($B718="Cash Secured Put",$K718*$M718*100,IF($B718="Covered Call",$K718*$M718*100,IF($H718="Stock",$M718*$N718,""))))</f>
        <v/>
      </c>
      <c r="U718" s="19">
        <f>IF(OR($A718="",$C718&lt;&gt;"Closed",$D718="",$E718="",$T718=0),"",$R718/$T718*365/MAX(1,$E718-$D718))</f>
        <v/>
      </c>
      <c r="V718" s="14" t="n"/>
      <c r="W718" s="12" t="n"/>
    </row>
    <row r="719">
      <c r="A719" s="12" t="n"/>
      <c r="B719" s="14" t="n"/>
      <c r="C719" s="14" t="n"/>
      <c r="D719" s="15" t="n"/>
      <c r="E719" s="15" t="n"/>
      <c r="F719" s="16">
        <f>IF($E719="","",DATE(YEAR($E719),MONTH($E719),1))</f>
        <v/>
      </c>
      <c r="G719" s="14" t="n"/>
      <c r="H719" s="14" t="n"/>
      <c r="I719" s="14" t="n"/>
      <c r="J719" s="14" t="n"/>
      <c r="K719" s="17" t="n"/>
      <c r="L719" s="15" t="n"/>
      <c r="M719" s="14" t="n"/>
      <c r="N719" s="17" t="n"/>
      <c r="O719" s="17" t="n"/>
      <c r="P719" s="18" t="n"/>
      <c r="Q719" s="11">
        <f>IF($A719="","",IF($H719="Stock",IF($I719="Buy",-$M719*$N719-$P719,IF($I719="Sell",IF($N719="", $M719*$O719-$P719,($O719-$N719)*$M719-$P719),"")),IF($I719="Sell",($N719-IF($O719="",0,$O719))*$M719*100-$P719,IF($I719="Buy",(IF($O719="",0,$O719)-$N719)*$M719*100-$P719,""))))</f>
        <v/>
      </c>
      <c r="R719" s="11">
        <f>IF($A719="","",IF($C719="Open","",$Q719))</f>
        <v/>
      </c>
      <c r="S719" s="12">
        <f>IF($A719="","",IFS($B719="Covered Call","Covered Call Premium",$B719="Cash Secured Put","Cash Secured Put Premium",$B719="Long Call/Put","Long Call/Put P/L",$B719="Debit Spread","Long Call/Put P/L",$B719="Stock Sale","Stock Sales",TRUE,"Other"))</f>
        <v/>
      </c>
      <c r="T719" s="11">
        <f>IF($A719="","",IF($B719="Cash Secured Put",$K719*$M719*100,IF($B719="Covered Call",$K719*$M719*100,IF($H719="Stock",$M719*$N719,""))))</f>
        <v/>
      </c>
      <c r="U719" s="19">
        <f>IF(OR($A719="",$C719&lt;&gt;"Closed",$D719="",$E719="",$T719=0),"",$R719/$T719*365/MAX(1,$E719-$D719))</f>
        <v/>
      </c>
      <c r="V719" s="14" t="n"/>
      <c r="W719" s="12" t="n"/>
    </row>
    <row r="720">
      <c r="A720" s="12" t="n"/>
      <c r="B720" s="14" t="n"/>
      <c r="C720" s="14" t="n"/>
      <c r="D720" s="15" t="n"/>
      <c r="E720" s="15" t="n"/>
      <c r="F720" s="16">
        <f>IF($E720="","",DATE(YEAR($E720),MONTH($E720),1))</f>
        <v/>
      </c>
      <c r="G720" s="14" t="n"/>
      <c r="H720" s="14" t="n"/>
      <c r="I720" s="14" t="n"/>
      <c r="J720" s="14" t="n"/>
      <c r="K720" s="17" t="n"/>
      <c r="L720" s="15" t="n"/>
      <c r="M720" s="14" t="n"/>
      <c r="N720" s="17" t="n"/>
      <c r="O720" s="17" t="n"/>
      <c r="P720" s="18" t="n"/>
      <c r="Q720" s="11">
        <f>IF($A720="","",IF($H720="Stock",IF($I720="Buy",-$M720*$N720-$P720,IF($I720="Sell",IF($N720="", $M720*$O720-$P720,($O720-$N720)*$M720-$P720),"")),IF($I720="Sell",($N720-IF($O720="",0,$O720))*$M720*100-$P720,IF($I720="Buy",(IF($O720="",0,$O720)-$N720)*$M720*100-$P720,""))))</f>
        <v/>
      </c>
      <c r="R720" s="11">
        <f>IF($A720="","",IF($C720="Open","",$Q720))</f>
        <v/>
      </c>
      <c r="S720" s="12">
        <f>IF($A720="","",IFS($B720="Covered Call","Covered Call Premium",$B720="Cash Secured Put","Cash Secured Put Premium",$B720="Long Call/Put","Long Call/Put P/L",$B720="Debit Spread","Long Call/Put P/L",$B720="Stock Sale","Stock Sales",TRUE,"Other"))</f>
        <v/>
      </c>
      <c r="T720" s="11">
        <f>IF($A720="","",IF($B720="Cash Secured Put",$K720*$M720*100,IF($B720="Covered Call",$K720*$M720*100,IF($H720="Stock",$M720*$N720,""))))</f>
        <v/>
      </c>
      <c r="U720" s="19">
        <f>IF(OR($A720="",$C720&lt;&gt;"Closed",$D720="",$E720="",$T720=0),"",$R720/$T720*365/MAX(1,$E720-$D720))</f>
        <v/>
      </c>
      <c r="V720" s="14" t="n"/>
      <c r="W720" s="12" t="n"/>
    </row>
    <row r="721">
      <c r="A721" s="12" t="n"/>
      <c r="B721" s="14" t="n"/>
      <c r="C721" s="14" t="n"/>
      <c r="D721" s="15" t="n"/>
      <c r="E721" s="15" t="n"/>
      <c r="F721" s="16">
        <f>IF($E721="","",DATE(YEAR($E721),MONTH($E721),1))</f>
        <v/>
      </c>
      <c r="G721" s="14" t="n"/>
      <c r="H721" s="14" t="n"/>
      <c r="I721" s="14" t="n"/>
      <c r="J721" s="14" t="n"/>
      <c r="K721" s="17" t="n"/>
      <c r="L721" s="15" t="n"/>
      <c r="M721" s="14" t="n"/>
      <c r="N721" s="17" t="n"/>
      <c r="O721" s="17" t="n"/>
      <c r="P721" s="18" t="n"/>
      <c r="Q721" s="11">
        <f>IF($A721="","",IF($H721="Stock",IF($I721="Buy",-$M721*$N721-$P721,IF($I721="Sell",IF($N721="", $M721*$O721-$P721,($O721-$N721)*$M721-$P721),"")),IF($I721="Sell",($N721-IF($O721="",0,$O721))*$M721*100-$P721,IF($I721="Buy",(IF($O721="",0,$O721)-$N721)*$M721*100-$P721,""))))</f>
        <v/>
      </c>
      <c r="R721" s="11">
        <f>IF($A721="","",IF($C721="Open","",$Q721))</f>
        <v/>
      </c>
      <c r="S721" s="12">
        <f>IF($A721="","",IFS($B721="Covered Call","Covered Call Premium",$B721="Cash Secured Put","Cash Secured Put Premium",$B721="Long Call/Put","Long Call/Put P/L",$B721="Debit Spread","Long Call/Put P/L",$B721="Stock Sale","Stock Sales",TRUE,"Other"))</f>
        <v/>
      </c>
      <c r="T721" s="11">
        <f>IF($A721="","",IF($B721="Cash Secured Put",$K721*$M721*100,IF($B721="Covered Call",$K721*$M721*100,IF($H721="Stock",$M721*$N721,""))))</f>
        <v/>
      </c>
      <c r="U721" s="19">
        <f>IF(OR($A721="",$C721&lt;&gt;"Closed",$D721="",$E721="",$T721=0),"",$R721/$T721*365/MAX(1,$E721-$D721))</f>
        <v/>
      </c>
      <c r="V721" s="14" t="n"/>
      <c r="W721" s="12" t="n"/>
    </row>
    <row r="722">
      <c r="A722" s="12" t="n"/>
      <c r="B722" s="14" t="n"/>
      <c r="C722" s="14" t="n"/>
      <c r="D722" s="15" t="n"/>
      <c r="E722" s="15" t="n"/>
      <c r="F722" s="16">
        <f>IF($E722="","",DATE(YEAR($E722),MONTH($E722),1))</f>
        <v/>
      </c>
      <c r="G722" s="14" t="n"/>
      <c r="H722" s="14" t="n"/>
      <c r="I722" s="14" t="n"/>
      <c r="J722" s="14" t="n"/>
      <c r="K722" s="17" t="n"/>
      <c r="L722" s="15" t="n"/>
      <c r="M722" s="14" t="n"/>
      <c r="N722" s="17" t="n"/>
      <c r="O722" s="17" t="n"/>
      <c r="P722" s="18" t="n"/>
      <c r="Q722" s="11">
        <f>IF($A722="","",IF($H722="Stock",IF($I722="Buy",-$M722*$N722-$P722,IF($I722="Sell",IF($N722="", $M722*$O722-$P722,($O722-$N722)*$M722-$P722),"")),IF($I722="Sell",($N722-IF($O722="",0,$O722))*$M722*100-$P722,IF($I722="Buy",(IF($O722="",0,$O722)-$N722)*$M722*100-$P722,""))))</f>
        <v/>
      </c>
      <c r="R722" s="11">
        <f>IF($A722="","",IF($C722="Open","",$Q722))</f>
        <v/>
      </c>
      <c r="S722" s="12">
        <f>IF($A722="","",IFS($B722="Covered Call","Covered Call Premium",$B722="Cash Secured Put","Cash Secured Put Premium",$B722="Long Call/Put","Long Call/Put P/L",$B722="Debit Spread","Long Call/Put P/L",$B722="Stock Sale","Stock Sales",TRUE,"Other"))</f>
        <v/>
      </c>
      <c r="T722" s="11">
        <f>IF($A722="","",IF($B722="Cash Secured Put",$K722*$M722*100,IF($B722="Covered Call",$K722*$M722*100,IF($H722="Stock",$M722*$N722,""))))</f>
        <v/>
      </c>
      <c r="U722" s="19">
        <f>IF(OR($A722="",$C722&lt;&gt;"Closed",$D722="",$E722="",$T722=0),"",$R722/$T722*365/MAX(1,$E722-$D722))</f>
        <v/>
      </c>
      <c r="V722" s="14" t="n"/>
      <c r="W722" s="12" t="n"/>
    </row>
    <row r="723">
      <c r="A723" s="12" t="n"/>
      <c r="B723" s="14" t="n"/>
      <c r="C723" s="14" t="n"/>
      <c r="D723" s="15" t="n"/>
      <c r="E723" s="15" t="n"/>
      <c r="F723" s="16">
        <f>IF($E723="","",DATE(YEAR($E723),MONTH($E723),1))</f>
        <v/>
      </c>
      <c r="G723" s="14" t="n"/>
      <c r="H723" s="14" t="n"/>
      <c r="I723" s="14" t="n"/>
      <c r="J723" s="14" t="n"/>
      <c r="K723" s="17" t="n"/>
      <c r="L723" s="15" t="n"/>
      <c r="M723" s="14" t="n"/>
      <c r="N723" s="17" t="n"/>
      <c r="O723" s="17" t="n"/>
      <c r="P723" s="18" t="n"/>
      <c r="Q723" s="11">
        <f>IF($A723="","",IF($H723="Stock",IF($I723="Buy",-$M723*$N723-$P723,IF($I723="Sell",IF($N723="", $M723*$O723-$P723,($O723-$N723)*$M723-$P723),"")),IF($I723="Sell",($N723-IF($O723="",0,$O723))*$M723*100-$P723,IF($I723="Buy",(IF($O723="",0,$O723)-$N723)*$M723*100-$P723,""))))</f>
        <v/>
      </c>
      <c r="R723" s="11">
        <f>IF($A723="","",IF($C723="Open","",$Q723))</f>
        <v/>
      </c>
      <c r="S723" s="12">
        <f>IF($A723="","",IFS($B723="Covered Call","Covered Call Premium",$B723="Cash Secured Put","Cash Secured Put Premium",$B723="Long Call/Put","Long Call/Put P/L",$B723="Debit Spread","Long Call/Put P/L",$B723="Stock Sale","Stock Sales",TRUE,"Other"))</f>
        <v/>
      </c>
      <c r="T723" s="11">
        <f>IF($A723="","",IF($B723="Cash Secured Put",$K723*$M723*100,IF($B723="Covered Call",$K723*$M723*100,IF($H723="Stock",$M723*$N723,""))))</f>
        <v/>
      </c>
      <c r="U723" s="19">
        <f>IF(OR($A723="",$C723&lt;&gt;"Closed",$D723="",$E723="",$T723=0),"",$R723/$T723*365/MAX(1,$E723-$D723))</f>
        <v/>
      </c>
      <c r="V723" s="14" t="n"/>
      <c r="W723" s="12" t="n"/>
    </row>
    <row r="724">
      <c r="A724" s="12" t="n"/>
      <c r="B724" s="14" t="n"/>
      <c r="C724" s="14" t="n"/>
      <c r="D724" s="15" t="n"/>
      <c r="E724" s="15" t="n"/>
      <c r="F724" s="16">
        <f>IF($E724="","",DATE(YEAR($E724),MONTH($E724),1))</f>
        <v/>
      </c>
      <c r="G724" s="14" t="n"/>
      <c r="H724" s="14" t="n"/>
      <c r="I724" s="14" t="n"/>
      <c r="J724" s="14" t="n"/>
      <c r="K724" s="17" t="n"/>
      <c r="L724" s="15" t="n"/>
      <c r="M724" s="14" t="n"/>
      <c r="N724" s="17" t="n"/>
      <c r="O724" s="17" t="n"/>
      <c r="P724" s="18" t="n"/>
      <c r="Q724" s="11">
        <f>IF($A724="","",IF($H724="Stock",IF($I724="Buy",-$M724*$N724-$P724,IF($I724="Sell",IF($N724="", $M724*$O724-$P724,($O724-$N724)*$M724-$P724),"")),IF($I724="Sell",($N724-IF($O724="",0,$O724))*$M724*100-$P724,IF($I724="Buy",(IF($O724="",0,$O724)-$N724)*$M724*100-$P724,""))))</f>
        <v/>
      </c>
      <c r="R724" s="11">
        <f>IF($A724="","",IF($C724="Open","",$Q724))</f>
        <v/>
      </c>
      <c r="S724" s="12">
        <f>IF($A724="","",IFS($B724="Covered Call","Covered Call Premium",$B724="Cash Secured Put","Cash Secured Put Premium",$B724="Long Call/Put","Long Call/Put P/L",$B724="Debit Spread","Long Call/Put P/L",$B724="Stock Sale","Stock Sales",TRUE,"Other"))</f>
        <v/>
      </c>
      <c r="T724" s="11">
        <f>IF($A724="","",IF($B724="Cash Secured Put",$K724*$M724*100,IF($B724="Covered Call",$K724*$M724*100,IF($H724="Stock",$M724*$N724,""))))</f>
        <v/>
      </c>
      <c r="U724" s="19">
        <f>IF(OR($A724="",$C724&lt;&gt;"Closed",$D724="",$E724="",$T724=0),"",$R724/$T724*365/MAX(1,$E724-$D724))</f>
        <v/>
      </c>
      <c r="V724" s="14" t="n"/>
      <c r="W724" s="12" t="n"/>
    </row>
    <row r="725">
      <c r="A725" s="12" t="n"/>
      <c r="B725" s="14" t="n"/>
      <c r="C725" s="14" t="n"/>
      <c r="D725" s="15" t="n"/>
      <c r="E725" s="15" t="n"/>
      <c r="F725" s="16">
        <f>IF($E725="","",DATE(YEAR($E725),MONTH($E725),1))</f>
        <v/>
      </c>
      <c r="G725" s="14" t="n"/>
      <c r="H725" s="14" t="n"/>
      <c r="I725" s="14" t="n"/>
      <c r="J725" s="14" t="n"/>
      <c r="K725" s="17" t="n"/>
      <c r="L725" s="15" t="n"/>
      <c r="M725" s="14" t="n"/>
      <c r="N725" s="17" t="n"/>
      <c r="O725" s="17" t="n"/>
      <c r="P725" s="18" t="n"/>
      <c r="Q725" s="11">
        <f>IF($A725="","",IF($H725="Stock",IF($I725="Buy",-$M725*$N725-$P725,IF($I725="Sell",IF($N725="", $M725*$O725-$P725,($O725-$N725)*$M725-$P725),"")),IF($I725="Sell",($N725-IF($O725="",0,$O725))*$M725*100-$P725,IF($I725="Buy",(IF($O725="",0,$O725)-$N725)*$M725*100-$P725,""))))</f>
        <v/>
      </c>
      <c r="R725" s="11">
        <f>IF($A725="","",IF($C725="Open","",$Q725))</f>
        <v/>
      </c>
      <c r="S725" s="12">
        <f>IF($A725="","",IFS($B725="Covered Call","Covered Call Premium",$B725="Cash Secured Put","Cash Secured Put Premium",$B725="Long Call/Put","Long Call/Put P/L",$B725="Debit Spread","Long Call/Put P/L",$B725="Stock Sale","Stock Sales",TRUE,"Other"))</f>
        <v/>
      </c>
      <c r="T725" s="11">
        <f>IF($A725="","",IF($B725="Cash Secured Put",$K725*$M725*100,IF($B725="Covered Call",$K725*$M725*100,IF($H725="Stock",$M725*$N725,""))))</f>
        <v/>
      </c>
      <c r="U725" s="19">
        <f>IF(OR($A725="",$C725&lt;&gt;"Closed",$D725="",$E725="",$T725=0),"",$R725/$T725*365/MAX(1,$E725-$D725))</f>
        <v/>
      </c>
      <c r="V725" s="14" t="n"/>
      <c r="W725" s="12" t="n"/>
    </row>
    <row r="726">
      <c r="A726" s="12" t="n"/>
      <c r="B726" s="14" t="n"/>
      <c r="C726" s="14" t="n"/>
      <c r="D726" s="15" t="n"/>
      <c r="E726" s="15" t="n"/>
      <c r="F726" s="16">
        <f>IF($E726="","",DATE(YEAR($E726),MONTH($E726),1))</f>
        <v/>
      </c>
      <c r="G726" s="14" t="n"/>
      <c r="H726" s="14" t="n"/>
      <c r="I726" s="14" t="n"/>
      <c r="J726" s="14" t="n"/>
      <c r="K726" s="17" t="n"/>
      <c r="L726" s="15" t="n"/>
      <c r="M726" s="14" t="n"/>
      <c r="N726" s="17" t="n"/>
      <c r="O726" s="17" t="n"/>
      <c r="P726" s="18" t="n"/>
      <c r="Q726" s="11">
        <f>IF($A726="","",IF($H726="Stock",IF($I726="Buy",-$M726*$N726-$P726,IF($I726="Sell",IF($N726="", $M726*$O726-$P726,($O726-$N726)*$M726-$P726),"")),IF($I726="Sell",($N726-IF($O726="",0,$O726))*$M726*100-$P726,IF($I726="Buy",(IF($O726="",0,$O726)-$N726)*$M726*100-$P726,""))))</f>
        <v/>
      </c>
      <c r="R726" s="11">
        <f>IF($A726="","",IF($C726="Open","",$Q726))</f>
        <v/>
      </c>
      <c r="S726" s="12">
        <f>IF($A726="","",IFS($B726="Covered Call","Covered Call Premium",$B726="Cash Secured Put","Cash Secured Put Premium",$B726="Long Call/Put","Long Call/Put P/L",$B726="Debit Spread","Long Call/Put P/L",$B726="Stock Sale","Stock Sales",TRUE,"Other"))</f>
        <v/>
      </c>
      <c r="T726" s="11">
        <f>IF($A726="","",IF($B726="Cash Secured Put",$K726*$M726*100,IF($B726="Covered Call",$K726*$M726*100,IF($H726="Stock",$M726*$N726,""))))</f>
        <v/>
      </c>
      <c r="U726" s="19">
        <f>IF(OR($A726="",$C726&lt;&gt;"Closed",$D726="",$E726="",$T726=0),"",$R726/$T726*365/MAX(1,$E726-$D726))</f>
        <v/>
      </c>
      <c r="V726" s="14" t="n"/>
      <c r="W726" s="12" t="n"/>
    </row>
    <row r="727">
      <c r="A727" s="12" t="n"/>
      <c r="B727" s="14" t="n"/>
      <c r="C727" s="14" t="n"/>
      <c r="D727" s="15" t="n"/>
      <c r="E727" s="15" t="n"/>
      <c r="F727" s="16">
        <f>IF($E727="","",DATE(YEAR($E727),MONTH($E727),1))</f>
        <v/>
      </c>
      <c r="G727" s="14" t="n"/>
      <c r="H727" s="14" t="n"/>
      <c r="I727" s="14" t="n"/>
      <c r="J727" s="14" t="n"/>
      <c r="K727" s="17" t="n"/>
      <c r="L727" s="15" t="n"/>
      <c r="M727" s="14" t="n"/>
      <c r="N727" s="17" t="n"/>
      <c r="O727" s="17" t="n"/>
      <c r="P727" s="18" t="n"/>
      <c r="Q727" s="11">
        <f>IF($A727="","",IF($H727="Stock",IF($I727="Buy",-$M727*$N727-$P727,IF($I727="Sell",IF($N727="", $M727*$O727-$P727,($O727-$N727)*$M727-$P727),"")),IF($I727="Sell",($N727-IF($O727="",0,$O727))*$M727*100-$P727,IF($I727="Buy",(IF($O727="",0,$O727)-$N727)*$M727*100-$P727,""))))</f>
        <v/>
      </c>
      <c r="R727" s="11">
        <f>IF($A727="","",IF($C727="Open","",$Q727))</f>
        <v/>
      </c>
      <c r="S727" s="12">
        <f>IF($A727="","",IFS($B727="Covered Call","Covered Call Premium",$B727="Cash Secured Put","Cash Secured Put Premium",$B727="Long Call/Put","Long Call/Put P/L",$B727="Debit Spread","Long Call/Put P/L",$B727="Stock Sale","Stock Sales",TRUE,"Other"))</f>
        <v/>
      </c>
      <c r="T727" s="11">
        <f>IF($A727="","",IF($B727="Cash Secured Put",$K727*$M727*100,IF($B727="Covered Call",$K727*$M727*100,IF($H727="Stock",$M727*$N727,""))))</f>
        <v/>
      </c>
      <c r="U727" s="19">
        <f>IF(OR($A727="",$C727&lt;&gt;"Closed",$D727="",$E727="",$T727=0),"",$R727/$T727*365/MAX(1,$E727-$D727))</f>
        <v/>
      </c>
      <c r="V727" s="14" t="n"/>
      <c r="W727" s="12" t="n"/>
    </row>
    <row r="728">
      <c r="A728" s="12" t="n"/>
      <c r="B728" s="14" t="n"/>
      <c r="C728" s="14" t="n"/>
      <c r="D728" s="15" t="n"/>
      <c r="E728" s="15" t="n"/>
      <c r="F728" s="16">
        <f>IF($E728="","",DATE(YEAR($E728),MONTH($E728),1))</f>
        <v/>
      </c>
      <c r="G728" s="14" t="n"/>
      <c r="H728" s="14" t="n"/>
      <c r="I728" s="14" t="n"/>
      <c r="J728" s="14" t="n"/>
      <c r="K728" s="17" t="n"/>
      <c r="L728" s="15" t="n"/>
      <c r="M728" s="14" t="n"/>
      <c r="N728" s="17" t="n"/>
      <c r="O728" s="17" t="n"/>
      <c r="P728" s="18" t="n"/>
      <c r="Q728" s="11">
        <f>IF($A728="","",IF($H728="Stock",IF($I728="Buy",-$M728*$N728-$P728,IF($I728="Sell",IF($N728="", $M728*$O728-$P728,($O728-$N728)*$M728-$P728),"")),IF($I728="Sell",($N728-IF($O728="",0,$O728))*$M728*100-$P728,IF($I728="Buy",(IF($O728="",0,$O728)-$N728)*$M728*100-$P728,""))))</f>
        <v/>
      </c>
      <c r="R728" s="11">
        <f>IF($A728="","",IF($C728="Open","",$Q728))</f>
        <v/>
      </c>
      <c r="S728" s="12">
        <f>IF($A728="","",IFS($B728="Covered Call","Covered Call Premium",$B728="Cash Secured Put","Cash Secured Put Premium",$B728="Long Call/Put","Long Call/Put P/L",$B728="Debit Spread","Long Call/Put P/L",$B728="Stock Sale","Stock Sales",TRUE,"Other"))</f>
        <v/>
      </c>
      <c r="T728" s="11">
        <f>IF($A728="","",IF($B728="Cash Secured Put",$K728*$M728*100,IF($B728="Covered Call",$K728*$M728*100,IF($H728="Stock",$M728*$N728,""))))</f>
        <v/>
      </c>
      <c r="U728" s="19">
        <f>IF(OR($A728="",$C728&lt;&gt;"Closed",$D728="",$E728="",$T728=0),"",$R728/$T728*365/MAX(1,$E728-$D728))</f>
        <v/>
      </c>
      <c r="V728" s="14" t="n"/>
      <c r="W728" s="12" t="n"/>
    </row>
    <row r="729">
      <c r="A729" s="12" t="n"/>
      <c r="B729" s="14" t="n"/>
      <c r="C729" s="14" t="n"/>
      <c r="D729" s="15" t="n"/>
      <c r="E729" s="15" t="n"/>
      <c r="F729" s="16">
        <f>IF($E729="","",DATE(YEAR($E729),MONTH($E729),1))</f>
        <v/>
      </c>
      <c r="G729" s="14" t="n"/>
      <c r="H729" s="14" t="n"/>
      <c r="I729" s="14" t="n"/>
      <c r="J729" s="14" t="n"/>
      <c r="K729" s="17" t="n"/>
      <c r="L729" s="15" t="n"/>
      <c r="M729" s="14" t="n"/>
      <c r="N729" s="17" t="n"/>
      <c r="O729" s="17" t="n"/>
      <c r="P729" s="18" t="n"/>
      <c r="Q729" s="11">
        <f>IF($A729="","",IF($H729="Stock",IF($I729="Buy",-$M729*$N729-$P729,IF($I729="Sell",IF($N729="", $M729*$O729-$P729,($O729-$N729)*$M729-$P729),"")),IF($I729="Sell",($N729-IF($O729="",0,$O729))*$M729*100-$P729,IF($I729="Buy",(IF($O729="",0,$O729)-$N729)*$M729*100-$P729,""))))</f>
        <v/>
      </c>
      <c r="R729" s="11">
        <f>IF($A729="","",IF($C729="Open","",$Q729))</f>
        <v/>
      </c>
      <c r="S729" s="12">
        <f>IF($A729="","",IFS($B729="Covered Call","Covered Call Premium",$B729="Cash Secured Put","Cash Secured Put Premium",$B729="Long Call/Put","Long Call/Put P/L",$B729="Debit Spread","Long Call/Put P/L",$B729="Stock Sale","Stock Sales",TRUE,"Other"))</f>
        <v/>
      </c>
      <c r="T729" s="11">
        <f>IF($A729="","",IF($B729="Cash Secured Put",$K729*$M729*100,IF($B729="Covered Call",$K729*$M729*100,IF($H729="Stock",$M729*$N729,""))))</f>
        <v/>
      </c>
      <c r="U729" s="19">
        <f>IF(OR($A729="",$C729&lt;&gt;"Closed",$D729="",$E729="",$T729=0),"",$R729/$T729*365/MAX(1,$E729-$D729))</f>
        <v/>
      </c>
      <c r="V729" s="14" t="n"/>
      <c r="W729" s="12" t="n"/>
    </row>
    <row r="730">
      <c r="A730" s="12" t="n"/>
      <c r="B730" s="14" t="n"/>
      <c r="C730" s="14" t="n"/>
      <c r="D730" s="15" t="n"/>
      <c r="E730" s="15" t="n"/>
      <c r="F730" s="16">
        <f>IF($E730="","",DATE(YEAR($E730),MONTH($E730),1))</f>
        <v/>
      </c>
      <c r="G730" s="14" t="n"/>
      <c r="H730" s="14" t="n"/>
      <c r="I730" s="14" t="n"/>
      <c r="J730" s="14" t="n"/>
      <c r="K730" s="17" t="n"/>
      <c r="L730" s="15" t="n"/>
      <c r="M730" s="14" t="n"/>
      <c r="N730" s="17" t="n"/>
      <c r="O730" s="17" t="n"/>
      <c r="P730" s="18" t="n"/>
      <c r="Q730" s="11">
        <f>IF($A730="","",IF($H730="Stock",IF($I730="Buy",-$M730*$N730-$P730,IF($I730="Sell",IF($N730="", $M730*$O730-$P730,($O730-$N730)*$M730-$P730),"")),IF($I730="Sell",($N730-IF($O730="",0,$O730))*$M730*100-$P730,IF($I730="Buy",(IF($O730="",0,$O730)-$N730)*$M730*100-$P730,""))))</f>
        <v/>
      </c>
      <c r="R730" s="11">
        <f>IF($A730="","",IF($C730="Open","",$Q730))</f>
        <v/>
      </c>
      <c r="S730" s="12">
        <f>IF($A730="","",IFS($B730="Covered Call","Covered Call Premium",$B730="Cash Secured Put","Cash Secured Put Premium",$B730="Long Call/Put","Long Call/Put P/L",$B730="Debit Spread","Long Call/Put P/L",$B730="Stock Sale","Stock Sales",TRUE,"Other"))</f>
        <v/>
      </c>
      <c r="T730" s="11">
        <f>IF($A730="","",IF($B730="Cash Secured Put",$K730*$M730*100,IF($B730="Covered Call",$K730*$M730*100,IF($H730="Stock",$M730*$N730,""))))</f>
        <v/>
      </c>
      <c r="U730" s="19">
        <f>IF(OR($A730="",$C730&lt;&gt;"Closed",$D730="",$E730="",$T730=0),"",$R730/$T730*365/MAX(1,$E730-$D730))</f>
        <v/>
      </c>
      <c r="V730" s="14" t="n"/>
      <c r="W730" s="12" t="n"/>
    </row>
    <row r="731">
      <c r="A731" s="12" t="n"/>
      <c r="B731" s="14" t="n"/>
      <c r="C731" s="14" t="n"/>
      <c r="D731" s="15" t="n"/>
      <c r="E731" s="15" t="n"/>
      <c r="F731" s="16">
        <f>IF($E731="","",DATE(YEAR($E731),MONTH($E731),1))</f>
        <v/>
      </c>
      <c r="G731" s="14" t="n"/>
      <c r="H731" s="14" t="n"/>
      <c r="I731" s="14" t="n"/>
      <c r="J731" s="14" t="n"/>
      <c r="K731" s="17" t="n"/>
      <c r="L731" s="15" t="n"/>
      <c r="M731" s="14" t="n"/>
      <c r="N731" s="17" t="n"/>
      <c r="O731" s="17" t="n"/>
      <c r="P731" s="18" t="n"/>
      <c r="Q731" s="11">
        <f>IF($A731="","",IF($H731="Stock",IF($I731="Buy",-$M731*$N731-$P731,IF($I731="Sell",IF($N731="", $M731*$O731-$P731,($O731-$N731)*$M731-$P731),"")),IF($I731="Sell",($N731-IF($O731="",0,$O731))*$M731*100-$P731,IF($I731="Buy",(IF($O731="",0,$O731)-$N731)*$M731*100-$P731,""))))</f>
        <v/>
      </c>
      <c r="R731" s="11">
        <f>IF($A731="","",IF($C731="Open","",$Q731))</f>
        <v/>
      </c>
      <c r="S731" s="12">
        <f>IF($A731="","",IFS($B731="Covered Call","Covered Call Premium",$B731="Cash Secured Put","Cash Secured Put Premium",$B731="Long Call/Put","Long Call/Put P/L",$B731="Debit Spread","Long Call/Put P/L",$B731="Stock Sale","Stock Sales",TRUE,"Other"))</f>
        <v/>
      </c>
      <c r="T731" s="11">
        <f>IF($A731="","",IF($B731="Cash Secured Put",$K731*$M731*100,IF($B731="Covered Call",$K731*$M731*100,IF($H731="Stock",$M731*$N731,""))))</f>
        <v/>
      </c>
      <c r="U731" s="19">
        <f>IF(OR($A731="",$C731&lt;&gt;"Closed",$D731="",$E731="",$T731=0),"",$R731/$T731*365/MAX(1,$E731-$D731))</f>
        <v/>
      </c>
      <c r="V731" s="14" t="n"/>
      <c r="W731" s="12" t="n"/>
    </row>
    <row r="732">
      <c r="A732" s="12" t="n"/>
      <c r="B732" s="14" t="n"/>
      <c r="C732" s="14" t="n"/>
      <c r="D732" s="15" t="n"/>
      <c r="E732" s="15" t="n"/>
      <c r="F732" s="16">
        <f>IF($E732="","",DATE(YEAR($E732),MONTH($E732),1))</f>
        <v/>
      </c>
      <c r="G732" s="14" t="n"/>
      <c r="H732" s="14" t="n"/>
      <c r="I732" s="14" t="n"/>
      <c r="J732" s="14" t="n"/>
      <c r="K732" s="17" t="n"/>
      <c r="L732" s="15" t="n"/>
      <c r="M732" s="14" t="n"/>
      <c r="N732" s="17" t="n"/>
      <c r="O732" s="17" t="n"/>
      <c r="P732" s="18" t="n"/>
      <c r="Q732" s="11">
        <f>IF($A732="","",IF($H732="Stock",IF($I732="Buy",-$M732*$N732-$P732,IF($I732="Sell",IF($N732="", $M732*$O732-$P732,($O732-$N732)*$M732-$P732),"")),IF($I732="Sell",($N732-IF($O732="",0,$O732))*$M732*100-$P732,IF($I732="Buy",(IF($O732="",0,$O732)-$N732)*$M732*100-$P732,""))))</f>
        <v/>
      </c>
      <c r="R732" s="11">
        <f>IF($A732="","",IF($C732="Open","",$Q732))</f>
        <v/>
      </c>
      <c r="S732" s="12">
        <f>IF($A732="","",IFS($B732="Covered Call","Covered Call Premium",$B732="Cash Secured Put","Cash Secured Put Premium",$B732="Long Call/Put","Long Call/Put P/L",$B732="Debit Spread","Long Call/Put P/L",$B732="Stock Sale","Stock Sales",TRUE,"Other"))</f>
        <v/>
      </c>
      <c r="T732" s="11">
        <f>IF($A732="","",IF($B732="Cash Secured Put",$K732*$M732*100,IF($B732="Covered Call",$K732*$M732*100,IF($H732="Stock",$M732*$N732,""))))</f>
        <v/>
      </c>
      <c r="U732" s="19">
        <f>IF(OR($A732="",$C732&lt;&gt;"Closed",$D732="",$E732="",$T732=0),"",$R732/$T732*365/MAX(1,$E732-$D732))</f>
        <v/>
      </c>
      <c r="V732" s="14" t="n"/>
      <c r="W732" s="12" t="n"/>
    </row>
    <row r="733">
      <c r="A733" s="12" t="n"/>
      <c r="B733" s="14" t="n"/>
      <c r="C733" s="14" t="n"/>
      <c r="D733" s="15" t="n"/>
      <c r="E733" s="15" t="n"/>
      <c r="F733" s="16">
        <f>IF($E733="","",DATE(YEAR($E733),MONTH($E733),1))</f>
        <v/>
      </c>
      <c r="G733" s="14" t="n"/>
      <c r="H733" s="14" t="n"/>
      <c r="I733" s="14" t="n"/>
      <c r="J733" s="14" t="n"/>
      <c r="K733" s="17" t="n"/>
      <c r="L733" s="15" t="n"/>
      <c r="M733" s="14" t="n"/>
      <c r="N733" s="17" t="n"/>
      <c r="O733" s="17" t="n"/>
      <c r="P733" s="18" t="n"/>
      <c r="Q733" s="11">
        <f>IF($A733="","",IF($H733="Stock",IF($I733="Buy",-$M733*$N733-$P733,IF($I733="Sell",IF($N733="", $M733*$O733-$P733,($O733-$N733)*$M733-$P733),"")),IF($I733="Sell",($N733-IF($O733="",0,$O733))*$M733*100-$P733,IF($I733="Buy",(IF($O733="",0,$O733)-$N733)*$M733*100-$P733,""))))</f>
        <v/>
      </c>
      <c r="R733" s="11">
        <f>IF($A733="","",IF($C733="Open","",$Q733))</f>
        <v/>
      </c>
      <c r="S733" s="12">
        <f>IF($A733="","",IFS($B733="Covered Call","Covered Call Premium",$B733="Cash Secured Put","Cash Secured Put Premium",$B733="Long Call/Put","Long Call/Put P/L",$B733="Debit Spread","Long Call/Put P/L",$B733="Stock Sale","Stock Sales",TRUE,"Other"))</f>
        <v/>
      </c>
      <c r="T733" s="11">
        <f>IF($A733="","",IF($B733="Cash Secured Put",$K733*$M733*100,IF($B733="Covered Call",$K733*$M733*100,IF($H733="Stock",$M733*$N733,""))))</f>
        <v/>
      </c>
      <c r="U733" s="19">
        <f>IF(OR($A733="",$C733&lt;&gt;"Closed",$D733="",$E733="",$T733=0),"",$R733/$T733*365/MAX(1,$E733-$D733))</f>
        <v/>
      </c>
      <c r="V733" s="14" t="n"/>
      <c r="W733" s="12" t="n"/>
    </row>
    <row r="734">
      <c r="A734" s="12" t="n"/>
      <c r="B734" s="14" t="n"/>
      <c r="C734" s="14" t="n"/>
      <c r="D734" s="15" t="n"/>
      <c r="E734" s="15" t="n"/>
      <c r="F734" s="16">
        <f>IF($E734="","",DATE(YEAR($E734),MONTH($E734),1))</f>
        <v/>
      </c>
      <c r="G734" s="14" t="n"/>
      <c r="H734" s="14" t="n"/>
      <c r="I734" s="14" t="n"/>
      <c r="J734" s="14" t="n"/>
      <c r="K734" s="17" t="n"/>
      <c r="L734" s="15" t="n"/>
      <c r="M734" s="14" t="n"/>
      <c r="N734" s="17" t="n"/>
      <c r="O734" s="17" t="n"/>
      <c r="P734" s="18" t="n"/>
      <c r="Q734" s="11">
        <f>IF($A734="","",IF($H734="Stock",IF($I734="Buy",-$M734*$N734-$P734,IF($I734="Sell",IF($N734="", $M734*$O734-$P734,($O734-$N734)*$M734-$P734),"")),IF($I734="Sell",($N734-IF($O734="",0,$O734))*$M734*100-$P734,IF($I734="Buy",(IF($O734="",0,$O734)-$N734)*$M734*100-$P734,""))))</f>
        <v/>
      </c>
      <c r="R734" s="11">
        <f>IF($A734="","",IF($C734="Open","",$Q734))</f>
        <v/>
      </c>
      <c r="S734" s="12">
        <f>IF($A734="","",IFS($B734="Covered Call","Covered Call Premium",$B734="Cash Secured Put","Cash Secured Put Premium",$B734="Long Call/Put","Long Call/Put P/L",$B734="Debit Spread","Long Call/Put P/L",$B734="Stock Sale","Stock Sales",TRUE,"Other"))</f>
        <v/>
      </c>
      <c r="T734" s="11">
        <f>IF($A734="","",IF($B734="Cash Secured Put",$K734*$M734*100,IF($B734="Covered Call",$K734*$M734*100,IF($H734="Stock",$M734*$N734,""))))</f>
        <v/>
      </c>
      <c r="U734" s="19">
        <f>IF(OR($A734="",$C734&lt;&gt;"Closed",$D734="",$E734="",$T734=0),"",$R734/$T734*365/MAX(1,$E734-$D734))</f>
        <v/>
      </c>
      <c r="V734" s="14" t="n"/>
      <c r="W734" s="12" t="n"/>
    </row>
    <row r="735">
      <c r="A735" s="12" t="n"/>
      <c r="B735" s="14" t="n"/>
      <c r="C735" s="14" t="n"/>
      <c r="D735" s="15" t="n"/>
      <c r="E735" s="15" t="n"/>
      <c r="F735" s="16">
        <f>IF($E735="","",DATE(YEAR($E735),MONTH($E735),1))</f>
        <v/>
      </c>
      <c r="G735" s="14" t="n"/>
      <c r="H735" s="14" t="n"/>
      <c r="I735" s="14" t="n"/>
      <c r="J735" s="14" t="n"/>
      <c r="K735" s="17" t="n"/>
      <c r="L735" s="15" t="n"/>
      <c r="M735" s="14" t="n"/>
      <c r="N735" s="17" t="n"/>
      <c r="O735" s="17" t="n"/>
      <c r="P735" s="18" t="n"/>
      <c r="Q735" s="11">
        <f>IF($A735="","",IF($H735="Stock",IF($I735="Buy",-$M735*$N735-$P735,IF($I735="Sell",IF($N735="", $M735*$O735-$P735,($O735-$N735)*$M735-$P735),"")),IF($I735="Sell",($N735-IF($O735="",0,$O735))*$M735*100-$P735,IF($I735="Buy",(IF($O735="",0,$O735)-$N735)*$M735*100-$P735,""))))</f>
        <v/>
      </c>
      <c r="R735" s="11">
        <f>IF($A735="","",IF($C735="Open","",$Q735))</f>
        <v/>
      </c>
      <c r="S735" s="12">
        <f>IF($A735="","",IFS($B735="Covered Call","Covered Call Premium",$B735="Cash Secured Put","Cash Secured Put Premium",$B735="Long Call/Put","Long Call/Put P/L",$B735="Debit Spread","Long Call/Put P/L",$B735="Stock Sale","Stock Sales",TRUE,"Other"))</f>
        <v/>
      </c>
      <c r="T735" s="11">
        <f>IF($A735="","",IF($B735="Cash Secured Put",$K735*$M735*100,IF($B735="Covered Call",$K735*$M735*100,IF($H735="Stock",$M735*$N735,""))))</f>
        <v/>
      </c>
      <c r="U735" s="19">
        <f>IF(OR($A735="",$C735&lt;&gt;"Closed",$D735="",$E735="",$T735=0),"",$R735/$T735*365/MAX(1,$E735-$D735))</f>
        <v/>
      </c>
      <c r="V735" s="14" t="n"/>
      <c r="W735" s="12" t="n"/>
    </row>
    <row r="736">
      <c r="A736" s="12" t="n"/>
      <c r="B736" s="14" t="n"/>
      <c r="C736" s="14" t="n"/>
      <c r="D736" s="15" t="n"/>
      <c r="E736" s="15" t="n"/>
      <c r="F736" s="16">
        <f>IF($E736="","",DATE(YEAR($E736),MONTH($E736),1))</f>
        <v/>
      </c>
      <c r="G736" s="14" t="n"/>
      <c r="H736" s="14" t="n"/>
      <c r="I736" s="14" t="n"/>
      <c r="J736" s="14" t="n"/>
      <c r="K736" s="17" t="n"/>
      <c r="L736" s="15" t="n"/>
      <c r="M736" s="14" t="n"/>
      <c r="N736" s="17" t="n"/>
      <c r="O736" s="17" t="n"/>
      <c r="P736" s="18" t="n"/>
      <c r="Q736" s="11">
        <f>IF($A736="","",IF($H736="Stock",IF($I736="Buy",-$M736*$N736-$P736,IF($I736="Sell",IF($N736="", $M736*$O736-$P736,($O736-$N736)*$M736-$P736),"")),IF($I736="Sell",($N736-IF($O736="",0,$O736))*$M736*100-$P736,IF($I736="Buy",(IF($O736="",0,$O736)-$N736)*$M736*100-$P736,""))))</f>
        <v/>
      </c>
      <c r="R736" s="11">
        <f>IF($A736="","",IF($C736="Open","",$Q736))</f>
        <v/>
      </c>
      <c r="S736" s="12">
        <f>IF($A736="","",IFS($B736="Covered Call","Covered Call Premium",$B736="Cash Secured Put","Cash Secured Put Premium",$B736="Long Call/Put","Long Call/Put P/L",$B736="Debit Spread","Long Call/Put P/L",$B736="Stock Sale","Stock Sales",TRUE,"Other"))</f>
        <v/>
      </c>
      <c r="T736" s="11">
        <f>IF($A736="","",IF($B736="Cash Secured Put",$K736*$M736*100,IF($B736="Covered Call",$K736*$M736*100,IF($H736="Stock",$M736*$N736,""))))</f>
        <v/>
      </c>
      <c r="U736" s="19">
        <f>IF(OR($A736="",$C736&lt;&gt;"Closed",$D736="",$E736="",$T736=0),"",$R736/$T736*365/MAX(1,$E736-$D736))</f>
        <v/>
      </c>
      <c r="V736" s="14" t="n"/>
      <c r="W736" s="12" t="n"/>
    </row>
    <row r="737">
      <c r="A737" s="12" t="n"/>
      <c r="B737" s="14" t="n"/>
      <c r="C737" s="14" t="n"/>
      <c r="D737" s="15" t="n"/>
      <c r="E737" s="15" t="n"/>
      <c r="F737" s="16">
        <f>IF($E737="","",DATE(YEAR($E737),MONTH($E737),1))</f>
        <v/>
      </c>
      <c r="G737" s="14" t="n"/>
      <c r="H737" s="14" t="n"/>
      <c r="I737" s="14" t="n"/>
      <c r="J737" s="14" t="n"/>
      <c r="K737" s="17" t="n"/>
      <c r="L737" s="15" t="n"/>
      <c r="M737" s="14" t="n"/>
      <c r="N737" s="17" t="n"/>
      <c r="O737" s="17" t="n"/>
      <c r="P737" s="18" t="n"/>
      <c r="Q737" s="11">
        <f>IF($A737="","",IF($H737="Stock",IF($I737="Buy",-$M737*$N737-$P737,IF($I737="Sell",IF($N737="", $M737*$O737-$P737,($O737-$N737)*$M737-$P737),"")),IF($I737="Sell",($N737-IF($O737="",0,$O737))*$M737*100-$P737,IF($I737="Buy",(IF($O737="",0,$O737)-$N737)*$M737*100-$P737,""))))</f>
        <v/>
      </c>
      <c r="R737" s="11">
        <f>IF($A737="","",IF($C737="Open","",$Q737))</f>
        <v/>
      </c>
      <c r="S737" s="12">
        <f>IF($A737="","",IFS($B737="Covered Call","Covered Call Premium",$B737="Cash Secured Put","Cash Secured Put Premium",$B737="Long Call/Put","Long Call/Put P/L",$B737="Debit Spread","Long Call/Put P/L",$B737="Stock Sale","Stock Sales",TRUE,"Other"))</f>
        <v/>
      </c>
      <c r="T737" s="11">
        <f>IF($A737="","",IF($B737="Cash Secured Put",$K737*$M737*100,IF($B737="Covered Call",$K737*$M737*100,IF($H737="Stock",$M737*$N737,""))))</f>
        <v/>
      </c>
      <c r="U737" s="19">
        <f>IF(OR($A737="",$C737&lt;&gt;"Closed",$D737="",$E737="",$T737=0),"",$R737/$T737*365/MAX(1,$E737-$D737))</f>
        <v/>
      </c>
      <c r="V737" s="14" t="n"/>
      <c r="W737" s="12" t="n"/>
    </row>
    <row r="738">
      <c r="A738" s="12" t="n"/>
      <c r="B738" s="14" t="n"/>
      <c r="C738" s="14" t="n"/>
      <c r="D738" s="15" t="n"/>
      <c r="E738" s="15" t="n"/>
      <c r="F738" s="16">
        <f>IF($E738="","",DATE(YEAR($E738),MONTH($E738),1))</f>
        <v/>
      </c>
      <c r="G738" s="14" t="n"/>
      <c r="H738" s="14" t="n"/>
      <c r="I738" s="14" t="n"/>
      <c r="J738" s="14" t="n"/>
      <c r="K738" s="17" t="n"/>
      <c r="L738" s="15" t="n"/>
      <c r="M738" s="14" t="n"/>
      <c r="N738" s="17" t="n"/>
      <c r="O738" s="17" t="n"/>
      <c r="P738" s="18" t="n"/>
      <c r="Q738" s="11">
        <f>IF($A738="","",IF($H738="Stock",IF($I738="Buy",-$M738*$N738-$P738,IF($I738="Sell",IF($N738="", $M738*$O738-$P738,($O738-$N738)*$M738-$P738),"")),IF($I738="Sell",($N738-IF($O738="",0,$O738))*$M738*100-$P738,IF($I738="Buy",(IF($O738="",0,$O738)-$N738)*$M738*100-$P738,""))))</f>
        <v/>
      </c>
      <c r="R738" s="11">
        <f>IF($A738="","",IF($C738="Open","",$Q738))</f>
        <v/>
      </c>
      <c r="S738" s="12">
        <f>IF($A738="","",IFS($B738="Covered Call","Covered Call Premium",$B738="Cash Secured Put","Cash Secured Put Premium",$B738="Long Call/Put","Long Call/Put P/L",$B738="Debit Spread","Long Call/Put P/L",$B738="Stock Sale","Stock Sales",TRUE,"Other"))</f>
        <v/>
      </c>
      <c r="T738" s="11">
        <f>IF($A738="","",IF($B738="Cash Secured Put",$K738*$M738*100,IF($B738="Covered Call",$K738*$M738*100,IF($H738="Stock",$M738*$N738,""))))</f>
        <v/>
      </c>
      <c r="U738" s="19">
        <f>IF(OR($A738="",$C738&lt;&gt;"Closed",$D738="",$E738="",$T738=0),"",$R738/$T738*365/MAX(1,$E738-$D738))</f>
        <v/>
      </c>
      <c r="V738" s="14" t="n"/>
      <c r="W738" s="12" t="n"/>
    </row>
    <row r="739">
      <c r="A739" s="12" t="n"/>
      <c r="B739" s="14" t="n"/>
      <c r="C739" s="14" t="n"/>
      <c r="D739" s="15" t="n"/>
      <c r="E739" s="15" t="n"/>
      <c r="F739" s="16">
        <f>IF($E739="","",DATE(YEAR($E739),MONTH($E739),1))</f>
        <v/>
      </c>
      <c r="G739" s="14" t="n"/>
      <c r="H739" s="14" t="n"/>
      <c r="I739" s="14" t="n"/>
      <c r="J739" s="14" t="n"/>
      <c r="K739" s="17" t="n"/>
      <c r="L739" s="15" t="n"/>
      <c r="M739" s="14" t="n"/>
      <c r="N739" s="17" t="n"/>
      <c r="O739" s="17" t="n"/>
      <c r="P739" s="18" t="n"/>
      <c r="Q739" s="11">
        <f>IF($A739="","",IF($H739="Stock",IF($I739="Buy",-$M739*$N739-$P739,IF($I739="Sell",IF($N739="", $M739*$O739-$P739,($O739-$N739)*$M739-$P739),"")),IF($I739="Sell",($N739-IF($O739="",0,$O739))*$M739*100-$P739,IF($I739="Buy",(IF($O739="",0,$O739)-$N739)*$M739*100-$P739,""))))</f>
        <v/>
      </c>
      <c r="R739" s="11">
        <f>IF($A739="","",IF($C739="Open","",$Q739))</f>
        <v/>
      </c>
      <c r="S739" s="12">
        <f>IF($A739="","",IFS($B739="Covered Call","Covered Call Premium",$B739="Cash Secured Put","Cash Secured Put Premium",$B739="Long Call/Put","Long Call/Put P/L",$B739="Debit Spread","Long Call/Put P/L",$B739="Stock Sale","Stock Sales",TRUE,"Other"))</f>
        <v/>
      </c>
      <c r="T739" s="11">
        <f>IF($A739="","",IF($B739="Cash Secured Put",$K739*$M739*100,IF($B739="Covered Call",$K739*$M739*100,IF($H739="Stock",$M739*$N739,""))))</f>
        <v/>
      </c>
      <c r="U739" s="19">
        <f>IF(OR($A739="",$C739&lt;&gt;"Closed",$D739="",$E739="",$T739=0),"",$R739/$T739*365/MAX(1,$E739-$D739))</f>
        <v/>
      </c>
      <c r="V739" s="14" t="n"/>
      <c r="W739" s="12" t="n"/>
    </row>
    <row r="740">
      <c r="A740" s="12" t="n"/>
      <c r="B740" s="14" t="n"/>
      <c r="C740" s="14" t="n"/>
      <c r="D740" s="15" t="n"/>
      <c r="E740" s="15" t="n"/>
      <c r="F740" s="16">
        <f>IF($E740="","",DATE(YEAR($E740),MONTH($E740),1))</f>
        <v/>
      </c>
      <c r="G740" s="14" t="n"/>
      <c r="H740" s="14" t="n"/>
      <c r="I740" s="14" t="n"/>
      <c r="J740" s="14" t="n"/>
      <c r="K740" s="17" t="n"/>
      <c r="L740" s="15" t="n"/>
      <c r="M740" s="14" t="n"/>
      <c r="N740" s="17" t="n"/>
      <c r="O740" s="17" t="n"/>
      <c r="P740" s="18" t="n"/>
      <c r="Q740" s="11">
        <f>IF($A740="","",IF($H740="Stock",IF($I740="Buy",-$M740*$N740-$P740,IF($I740="Sell",IF($N740="", $M740*$O740-$P740,($O740-$N740)*$M740-$P740),"")),IF($I740="Sell",($N740-IF($O740="",0,$O740))*$M740*100-$P740,IF($I740="Buy",(IF($O740="",0,$O740)-$N740)*$M740*100-$P740,""))))</f>
        <v/>
      </c>
      <c r="R740" s="11">
        <f>IF($A740="","",IF($C740="Open","",$Q740))</f>
        <v/>
      </c>
      <c r="S740" s="12">
        <f>IF($A740="","",IFS($B740="Covered Call","Covered Call Premium",$B740="Cash Secured Put","Cash Secured Put Premium",$B740="Long Call/Put","Long Call/Put P/L",$B740="Debit Spread","Long Call/Put P/L",$B740="Stock Sale","Stock Sales",TRUE,"Other"))</f>
        <v/>
      </c>
      <c r="T740" s="11">
        <f>IF($A740="","",IF($B740="Cash Secured Put",$K740*$M740*100,IF($B740="Covered Call",$K740*$M740*100,IF($H740="Stock",$M740*$N740,""))))</f>
        <v/>
      </c>
      <c r="U740" s="19">
        <f>IF(OR($A740="",$C740&lt;&gt;"Closed",$D740="",$E740="",$T740=0),"",$R740/$T740*365/MAX(1,$E740-$D740))</f>
        <v/>
      </c>
      <c r="V740" s="14" t="n"/>
      <c r="W740" s="12" t="n"/>
    </row>
    <row r="741">
      <c r="A741" s="12" t="n"/>
      <c r="B741" s="14" t="n"/>
      <c r="C741" s="14" t="n"/>
      <c r="D741" s="15" t="n"/>
      <c r="E741" s="15" t="n"/>
      <c r="F741" s="16">
        <f>IF($E741="","",DATE(YEAR($E741),MONTH($E741),1))</f>
        <v/>
      </c>
      <c r="G741" s="14" t="n"/>
      <c r="H741" s="14" t="n"/>
      <c r="I741" s="14" t="n"/>
      <c r="J741" s="14" t="n"/>
      <c r="K741" s="17" t="n"/>
      <c r="L741" s="15" t="n"/>
      <c r="M741" s="14" t="n"/>
      <c r="N741" s="17" t="n"/>
      <c r="O741" s="17" t="n"/>
      <c r="P741" s="18" t="n"/>
      <c r="Q741" s="11">
        <f>IF($A741="","",IF($H741="Stock",IF($I741="Buy",-$M741*$N741-$P741,IF($I741="Sell",IF($N741="", $M741*$O741-$P741,($O741-$N741)*$M741-$P741),"")),IF($I741="Sell",($N741-IF($O741="",0,$O741))*$M741*100-$P741,IF($I741="Buy",(IF($O741="",0,$O741)-$N741)*$M741*100-$P741,""))))</f>
        <v/>
      </c>
      <c r="R741" s="11">
        <f>IF($A741="","",IF($C741="Open","",$Q741))</f>
        <v/>
      </c>
      <c r="S741" s="12">
        <f>IF($A741="","",IFS($B741="Covered Call","Covered Call Premium",$B741="Cash Secured Put","Cash Secured Put Premium",$B741="Long Call/Put","Long Call/Put P/L",$B741="Debit Spread","Long Call/Put P/L",$B741="Stock Sale","Stock Sales",TRUE,"Other"))</f>
        <v/>
      </c>
      <c r="T741" s="11">
        <f>IF($A741="","",IF($B741="Cash Secured Put",$K741*$M741*100,IF($B741="Covered Call",$K741*$M741*100,IF($H741="Stock",$M741*$N741,""))))</f>
        <v/>
      </c>
      <c r="U741" s="19">
        <f>IF(OR($A741="",$C741&lt;&gt;"Closed",$D741="",$E741="",$T741=0),"",$R741/$T741*365/MAX(1,$E741-$D741))</f>
        <v/>
      </c>
      <c r="V741" s="14" t="n"/>
      <c r="W741" s="12" t="n"/>
    </row>
    <row r="742">
      <c r="A742" s="12" t="n"/>
      <c r="B742" s="14" t="n"/>
      <c r="C742" s="14" t="n"/>
      <c r="D742" s="15" t="n"/>
      <c r="E742" s="15" t="n"/>
      <c r="F742" s="16">
        <f>IF($E742="","",DATE(YEAR($E742),MONTH($E742),1))</f>
        <v/>
      </c>
      <c r="G742" s="14" t="n"/>
      <c r="H742" s="14" t="n"/>
      <c r="I742" s="14" t="n"/>
      <c r="J742" s="14" t="n"/>
      <c r="K742" s="17" t="n"/>
      <c r="L742" s="15" t="n"/>
      <c r="M742" s="14" t="n"/>
      <c r="N742" s="17" t="n"/>
      <c r="O742" s="17" t="n"/>
      <c r="P742" s="18" t="n"/>
      <c r="Q742" s="11">
        <f>IF($A742="","",IF($H742="Stock",IF($I742="Buy",-$M742*$N742-$P742,IF($I742="Sell",IF($N742="", $M742*$O742-$P742,($O742-$N742)*$M742-$P742),"")),IF($I742="Sell",($N742-IF($O742="",0,$O742))*$M742*100-$P742,IF($I742="Buy",(IF($O742="",0,$O742)-$N742)*$M742*100-$P742,""))))</f>
        <v/>
      </c>
      <c r="R742" s="11">
        <f>IF($A742="","",IF($C742="Open","",$Q742))</f>
        <v/>
      </c>
      <c r="S742" s="12">
        <f>IF($A742="","",IFS($B742="Covered Call","Covered Call Premium",$B742="Cash Secured Put","Cash Secured Put Premium",$B742="Long Call/Put","Long Call/Put P/L",$B742="Debit Spread","Long Call/Put P/L",$B742="Stock Sale","Stock Sales",TRUE,"Other"))</f>
        <v/>
      </c>
      <c r="T742" s="11">
        <f>IF($A742="","",IF($B742="Cash Secured Put",$K742*$M742*100,IF($B742="Covered Call",$K742*$M742*100,IF($H742="Stock",$M742*$N742,""))))</f>
        <v/>
      </c>
      <c r="U742" s="19">
        <f>IF(OR($A742="",$C742&lt;&gt;"Closed",$D742="",$E742="",$T742=0),"",$R742/$T742*365/MAX(1,$E742-$D742))</f>
        <v/>
      </c>
      <c r="V742" s="14" t="n"/>
      <c r="W742" s="12" t="n"/>
    </row>
    <row r="743">
      <c r="A743" s="12" t="n"/>
      <c r="B743" s="14" t="n"/>
      <c r="C743" s="14" t="n"/>
      <c r="D743" s="15" t="n"/>
      <c r="E743" s="15" t="n"/>
      <c r="F743" s="16">
        <f>IF($E743="","",DATE(YEAR($E743),MONTH($E743),1))</f>
        <v/>
      </c>
      <c r="G743" s="14" t="n"/>
      <c r="H743" s="14" t="n"/>
      <c r="I743" s="14" t="n"/>
      <c r="J743" s="14" t="n"/>
      <c r="K743" s="17" t="n"/>
      <c r="L743" s="15" t="n"/>
      <c r="M743" s="14" t="n"/>
      <c r="N743" s="17" t="n"/>
      <c r="O743" s="17" t="n"/>
      <c r="P743" s="18" t="n"/>
      <c r="Q743" s="11">
        <f>IF($A743="","",IF($H743="Stock",IF($I743="Buy",-$M743*$N743-$P743,IF($I743="Sell",IF($N743="", $M743*$O743-$P743,($O743-$N743)*$M743-$P743),"")),IF($I743="Sell",($N743-IF($O743="",0,$O743))*$M743*100-$P743,IF($I743="Buy",(IF($O743="",0,$O743)-$N743)*$M743*100-$P743,""))))</f>
        <v/>
      </c>
      <c r="R743" s="11">
        <f>IF($A743="","",IF($C743="Open","",$Q743))</f>
        <v/>
      </c>
      <c r="S743" s="12">
        <f>IF($A743="","",IFS($B743="Covered Call","Covered Call Premium",$B743="Cash Secured Put","Cash Secured Put Premium",$B743="Long Call/Put","Long Call/Put P/L",$B743="Debit Spread","Long Call/Put P/L",$B743="Stock Sale","Stock Sales",TRUE,"Other"))</f>
        <v/>
      </c>
      <c r="T743" s="11">
        <f>IF($A743="","",IF($B743="Cash Secured Put",$K743*$M743*100,IF($B743="Covered Call",$K743*$M743*100,IF($H743="Stock",$M743*$N743,""))))</f>
        <v/>
      </c>
      <c r="U743" s="19">
        <f>IF(OR($A743="",$C743&lt;&gt;"Closed",$D743="",$E743="",$T743=0),"",$R743/$T743*365/MAX(1,$E743-$D743))</f>
        <v/>
      </c>
      <c r="V743" s="14" t="n"/>
      <c r="W743" s="12" t="n"/>
    </row>
    <row r="744">
      <c r="A744" s="12" t="n"/>
      <c r="B744" s="14" t="n"/>
      <c r="C744" s="14" t="n"/>
      <c r="D744" s="15" t="n"/>
      <c r="E744" s="15" t="n"/>
      <c r="F744" s="16">
        <f>IF($E744="","",DATE(YEAR($E744),MONTH($E744),1))</f>
        <v/>
      </c>
      <c r="G744" s="14" t="n"/>
      <c r="H744" s="14" t="n"/>
      <c r="I744" s="14" t="n"/>
      <c r="J744" s="14" t="n"/>
      <c r="K744" s="17" t="n"/>
      <c r="L744" s="15" t="n"/>
      <c r="M744" s="14" t="n"/>
      <c r="N744" s="17" t="n"/>
      <c r="O744" s="17" t="n"/>
      <c r="P744" s="18" t="n"/>
      <c r="Q744" s="11">
        <f>IF($A744="","",IF($H744="Stock",IF($I744="Buy",-$M744*$N744-$P744,IF($I744="Sell",IF($N744="", $M744*$O744-$P744,($O744-$N744)*$M744-$P744),"")),IF($I744="Sell",($N744-IF($O744="",0,$O744))*$M744*100-$P744,IF($I744="Buy",(IF($O744="",0,$O744)-$N744)*$M744*100-$P744,""))))</f>
        <v/>
      </c>
      <c r="R744" s="11">
        <f>IF($A744="","",IF($C744="Open","",$Q744))</f>
        <v/>
      </c>
      <c r="S744" s="12">
        <f>IF($A744="","",IFS($B744="Covered Call","Covered Call Premium",$B744="Cash Secured Put","Cash Secured Put Premium",$B744="Long Call/Put","Long Call/Put P/L",$B744="Debit Spread","Long Call/Put P/L",$B744="Stock Sale","Stock Sales",TRUE,"Other"))</f>
        <v/>
      </c>
      <c r="T744" s="11">
        <f>IF($A744="","",IF($B744="Cash Secured Put",$K744*$M744*100,IF($B744="Covered Call",$K744*$M744*100,IF($H744="Stock",$M744*$N744,""))))</f>
        <v/>
      </c>
      <c r="U744" s="19">
        <f>IF(OR($A744="",$C744&lt;&gt;"Closed",$D744="",$E744="",$T744=0),"",$R744/$T744*365/MAX(1,$E744-$D744))</f>
        <v/>
      </c>
      <c r="V744" s="14" t="n"/>
      <c r="W744" s="12" t="n"/>
    </row>
    <row r="745">
      <c r="A745" s="12" t="n"/>
      <c r="B745" s="14" t="n"/>
      <c r="C745" s="14" t="n"/>
      <c r="D745" s="15" t="n"/>
      <c r="E745" s="15" t="n"/>
      <c r="F745" s="16">
        <f>IF($E745="","",DATE(YEAR($E745),MONTH($E745),1))</f>
        <v/>
      </c>
      <c r="G745" s="14" t="n"/>
      <c r="H745" s="14" t="n"/>
      <c r="I745" s="14" t="n"/>
      <c r="J745" s="14" t="n"/>
      <c r="K745" s="17" t="n"/>
      <c r="L745" s="15" t="n"/>
      <c r="M745" s="14" t="n"/>
      <c r="N745" s="17" t="n"/>
      <c r="O745" s="17" t="n"/>
      <c r="P745" s="18" t="n"/>
      <c r="Q745" s="11">
        <f>IF($A745="","",IF($H745="Stock",IF($I745="Buy",-$M745*$N745-$P745,IF($I745="Sell",IF($N745="", $M745*$O745-$P745,($O745-$N745)*$M745-$P745),"")),IF($I745="Sell",($N745-IF($O745="",0,$O745))*$M745*100-$P745,IF($I745="Buy",(IF($O745="",0,$O745)-$N745)*$M745*100-$P745,""))))</f>
        <v/>
      </c>
      <c r="R745" s="11">
        <f>IF($A745="","",IF($C745="Open","",$Q745))</f>
        <v/>
      </c>
      <c r="S745" s="12">
        <f>IF($A745="","",IFS($B745="Covered Call","Covered Call Premium",$B745="Cash Secured Put","Cash Secured Put Premium",$B745="Long Call/Put","Long Call/Put P/L",$B745="Debit Spread","Long Call/Put P/L",$B745="Stock Sale","Stock Sales",TRUE,"Other"))</f>
        <v/>
      </c>
      <c r="T745" s="11">
        <f>IF($A745="","",IF($B745="Cash Secured Put",$K745*$M745*100,IF($B745="Covered Call",$K745*$M745*100,IF($H745="Stock",$M745*$N745,""))))</f>
        <v/>
      </c>
      <c r="U745" s="19">
        <f>IF(OR($A745="",$C745&lt;&gt;"Closed",$D745="",$E745="",$T745=0),"",$R745/$T745*365/MAX(1,$E745-$D745))</f>
        <v/>
      </c>
      <c r="V745" s="14" t="n"/>
      <c r="W745" s="12" t="n"/>
    </row>
    <row r="746">
      <c r="A746" s="12" t="n"/>
      <c r="B746" s="14" t="n"/>
      <c r="C746" s="14" t="n"/>
      <c r="D746" s="15" t="n"/>
      <c r="E746" s="15" t="n"/>
      <c r="F746" s="16">
        <f>IF($E746="","",DATE(YEAR($E746),MONTH($E746),1))</f>
        <v/>
      </c>
      <c r="G746" s="14" t="n"/>
      <c r="H746" s="14" t="n"/>
      <c r="I746" s="14" t="n"/>
      <c r="J746" s="14" t="n"/>
      <c r="K746" s="17" t="n"/>
      <c r="L746" s="15" t="n"/>
      <c r="M746" s="14" t="n"/>
      <c r="N746" s="17" t="n"/>
      <c r="O746" s="17" t="n"/>
      <c r="P746" s="18" t="n"/>
      <c r="Q746" s="11">
        <f>IF($A746="","",IF($H746="Stock",IF($I746="Buy",-$M746*$N746-$P746,IF($I746="Sell",IF($N746="", $M746*$O746-$P746,($O746-$N746)*$M746-$P746),"")),IF($I746="Sell",($N746-IF($O746="",0,$O746))*$M746*100-$P746,IF($I746="Buy",(IF($O746="",0,$O746)-$N746)*$M746*100-$P746,""))))</f>
        <v/>
      </c>
      <c r="R746" s="11">
        <f>IF($A746="","",IF($C746="Open","",$Q746))</f>
        <v/>
      </c>
      <c r="S746" s="12">
        <f>IF($A746="","",IFS($B746="Covered Call","Covered Call Premium",$B746="Cash Secured Put","Cash Secured Put Premium",$B746="Long Call/Put","Long Call/Put P/L",$B746="Debit Spread","Long Call/Put P/L",$B746="Stock Sale","Stock Sales",TRUE,"Other"))</f>
        <v/>
      </c>
      <c r="T746" s="11">
        <f>IF($A746="","",IF($B746="Cash Secured Put",$K746*$M746*100,IF($B746="Covered Call",$K746*$M746*100,IF($H746="Stock",$M746*$N746,""))))</f>
        <v/>
      </c>
      <c r="U746" s="19">
        <f>IF(OR($A746="",$C746&lt;&gt;"Closed",$D746="",$E746="",$T746=0),"",$R746/$T746*365/MAX(1,$E746-$D746))</f>
        <v/>
      </c>
      <c r="V746" s="14" t="n"/>
      <c r="W746" s="12" t="n"/>
    </row>
    <row r="747">
      <c r="A747" s="12" t="n"/>
      <c r="B747" s="14" t="n"/>
      <c r="C747" s="14" t="n"/>
      <c r="D747" s="15" t="n"/>
      <c r="E747" s="15" t="n"/>
      <c r="F747" s="16">
        <f>IF($E747="","",DATE(YEAR($E747),MONTH($E747),1))</f>
        <v/>
      </c>
      <c r="G747" s="14" t="n"/>
      <c r="H747" s="14" t="n"/>
      <c r="I747" s="14" t="n"/>
      <c r="J747" s="14" t="n"/>
      <c r="K747" s="17" t="n"/>
      <c r="L747" s="15" t="n"/>
      <c r="M747" s="14" t="n"/>
      <c r="N747" s="17" t="n"/>
      <c r="O747" s="17" t="n"/>
      <c r="P747" s="18" t="n"/>
      <c r="Q747" s="11">
        <f>IF($A747="","",IF($H747="Stock",IF($I747="Buy",-$M747*$N747-$P747,IF($I747="Sell",IF($N747="", $M747*$O747-$P747,($O747-$N747)*$M747-$P747),"")),IF($I747="Sell",($N747-IF($O747="",0,$O747))*$M747*100-$P747,IF($I747="Buy",(IF($O747="",0,$O747)-$N747)*$M747*100-$P747,""))))</f>
        <v/>
      </c>
      <c r="R747" s="11">
        <f>IF($A747="","",IF($C747="Open","",$Q747))</f>
        <v/>
      </c>
      <c r="S747" s="12">
        <f>IF($A747="","",IFS($B747="Covered Call","Covered Call Premium",$B747="Cash Secured Put","Cash Secured Put Premium",$B747="Long Call/Put","Long Call/Put P/L",$B747="Debit Spread","Long Call/Put P/L",$B747="Stock Sale","Stock Sales",TRUE,"Other"))</f>
        <v/>
      </c>
      <c r="T747" s="11">
        <f>IF($A747="","",IF($B747="Cash Secured Put",$K747*$M747*100,IF($B747="Covered Call",$K747*$M747*100,IF($H747="Stock",$M747*$N747,""))))</f>
        <v/>
      </c>
      <c r="U747" s="19">
        <f>IF(OR($A747="",$C747&lt;&gt;"Closed",$D747="",$E747="",$T747=0),"",$R747/$T747*365/MAX(1,$E747-$D747))</f>
        <v/>
      </c>
      <c r="V747" s="14" t="n"/>
      <c r="W747" s="12" t="n"/>
    </row>
    <row r="748">
      <c r="A748" s="12" t="n"/>
      <c r="B748" s="14" t="n"/>
      <c r="C748" s="14" t="n"/>
      <c r="D748" s="15" t="n"/>
      <c r="E748" s="15" t="n"/>
      <c r="F748" s="16">
        <f>IF($E748="","",DATE(YEAR($E748),MONTH($E748),1))</f>
        <v/>
      </c>
      <c r="G748" s="14" t="n"/>
      <c r="H748" s="14" t="n"/>
      <c r="I748" s="14" t="n"/>
      <c r="J748" s="14" t="n"/>
      <c r="K748" s="17" t="n"/>
      <c r="L748" s="15" t="n"/>
      <c r="M748" s="14" t="n"/>
      <c r="N748" s="17" t="n"/>
      <c r="O748" s="17" t="n"/>
      <c r="P748" s="18" t="n"/>
      <c r="Q748" s="11">
        <f>IF($A748="","",IF($H748="Stock",IF($I748="Buy",-$M748*$N748-$P748,IF($I748="Sell",IF($N748="", $M748*$O748-$P748,($O748-$N748)*$M748-$P748),"")),IF($I748="Sell",($N748-IF($O748="",0,$O748))*$M748*100-$P748,IF($I748="Buy",(IF($O748="",0,$O748)-$N748)*$M748*100-$P748,""))))</f>
        <v/>
      </c>
      <c r="R748" s="11">
        <f>IF($A748="","",IF($C748="Open","",$Q748))</f>
        <v/>
      </c>
      <c r="S748" s="12">
        <f>IF($A748="","",IFS($B748="Covered Call","Covered Call Premium",$B748="Cash Secured Put","Cash Secured Put Premium",$B748="Long Call/Put","Long Call/Put P/L",$B748="Debit Spread","Long Call/Put P/L",$B748="Stock Sale","Stock Sales",TRUE,"Other"))</f>
        <v/>
      </c>
      <c r="T748" s="11">
        <f>IF($A748="","",IF($B748="Cash Secured Put",$K748*$M748*100,IF($B748="Covered Call",$K748*$M748*100,IF($H748="Stock",$M748*$N748,""))))</f>
        <v/>
      </c>
      <c r="U748" s="19">
        <f>IF(OR($A748="",$C748&lt;&gt;"Closed",$D748="",$E748="",$T748=0),"",$R748/$T748*365/MAX(1,$E748-$D748))</f>
        <v/>
      </c>
      <c r="V748" s="14" t="n"/>
      <c r="W748" s="12" t="n"/>
    </row>
    <row r="749">
      <c r="A749" s="12" t="n"/>
      <c r="B749" s="14" t="n"/>
      <c r="C749" s="14" t="n"/>
      <c r="D749" s="15" t="n"/>
      <c r="E749" s="15" t="n"/>
      <c r="F749" s="16">
        <f>IF($E749="","",DATE(YEAR($E749),MONTH($E749),1))</f>
        <v/>
      </c>
      <c r="G749" s="14" t="n"/>
      <c r="H749" s="14" t="n"/>
      <c r="I749" s="14" t="n"/>
      <c r="J749" s="14" t="n"/>
      <c r="K749" s="17" t="n"/>
      <c r="L749" s="15" t="n"/>
      <c r="M749" s="14" t="n"/>
      <c r="N749" s="17" t="n"/>
      <c r="O749" s="17" t="n"/>
      <c r="P749" s="18" t="n"/>
      <c r="Q749" s="11">
        <f>IF($A749="","",IF($H749="Stock",IF($I749="Buy",-$M749*$N749-$P749,IF($I749="Sell",IF($N749="", $M749*$O749-$P749,($O749-$N749)*$M749-$P749),"")),IF($I749="Sell",($N749-IF($O749="",0,$O749))*$M749*100-$P749,IF($I749="Buy",(IF($O749="",0,$O749)-$N749)*$M749*100-$P749,""))))</f>
        <v/>
      </c>
      <c r="R749" s="11">
        <f>IF($A749="","",IF($C749="Open","",$Q749))</f>
        <v/>
      </c>
      <c r="S749" s="12">
        <f>IF($A749="","",IFS($B749="Covered Call","Covered Call Premium",$B749="Cash Secured Put","Cash Secured Put Premium",$B749="Long Call/Put","Long Call/Put P/L",$B749="Debit Spread","Long Call/Put P/L",$B749="Stock Sale","Stock Sales",TRUE,"Other"))</f>
        <v/>
      </c>
      <c r="T749" s="11">
        <f>IF($A749="","",IF($B749="Cash Secured Put",$K749*$M749*100,IF($B749="Covered Call",$K749*$M749*100,IF($H749="Stock",$M749*$N749,""))))</f>
        <v/>
      </c>
      <c r="U749" s="19">
        <f>IF(OR($A749="",$C749&lt;&gt;"Closed",$D749="",$E749="",$T749=0),"",$R749/$T749*365/MAX(1,$E749-$D749))</f>
        <v/>
      </c>
      <c r="V749" s="14" t="n"/>
      <c r="W749" s="12" t="n"/>
    </row>
    <row r="750">
      <c r="A750" s="12" t="n"/>
      <c r="B750" s="14" t="n"/>
      <c r="C750" s="14" t="n"/>
      <c r="D750" s="15" t="n"/>
      <c r="E750" s="15" t="n"/>
      <c r="F750" s="16">
        <f>IF($E750="","",DATE(YEAR($E750),MONTH($E750),1))</f>
        <v/>
      </c>
      <c r="G750" s="14" t="n"/>
      <c r="H750" s="14" t="n"/>
      <c r="I750" s="14" t="n"/>
      <c r="J750" s="14" t="n"/>
      <c r="K750" s="17" t="n"/>
      <c r="L750" s="15" t="n"/>
      <c r="M750" s="14" t="n"/>
      <c r="N750" s="17" t="n"/>
      <c r="O750" s="17" t="n"/>
      <c r="P750" s="18" t="n"/>
      <c r="Q750" s="11">
        <f>IF($A750="","",IF($H750="Stock",IF($I750="Buy",-$M750*$N750-$P750,IF($I750="Sell",IF($N750="", $M750*$O750-$P750,($O750-$N750)*$M750-$P750),"")),IF($I750="Sell",($N750-IF($O750="",0,$O750))*$M750*100-$P750,IF($I750="Buy",(IF($O750="",0,$O750)-$N750)*$M750*100-$P750,""))))</f>
        <v/>
      </c>
      <c r="R750" s="11">
        <f>IF($A750="","",IF($C750="Open","",$Q750))</f>
        <v/>
      </c>
      <c r="S750" s="12">
        <f>IF($A750="","",IFS($B750="Covered Call","Covered Call Premium",$B750="Cash Secured Put","Cash Secured Put Premium",$B750="Long Call/Put","Long Call/Put P/L",$B750="Debit Spread","Long Call/Put P/L",$B750="Stock Sale","Stock Sales",TRUE,"Other"))</f>
        <v/>
      </c>
      <c r="T750" s="11">
        <f>IF($A750="","",IF($B750="Cash Secured Put",$K750*$M750*100,IF($B750="Covered Call",$K750*$M750*100,IF($H750="Stock",$M750*$N750,""))))</f>
        <v/>
      </c>
      <c r="U750" s="19">
        <f>IF(OR($A750="",$C750&lt;&gt;"Closed",$D750="",$E750="",$T750=0),"",$R750/$T750*365/MAX(1,$E750-$D750))</f>
        <v/>
      </c>
      <c r="V750" s="14" t="n"/>
      <c r="W750" s="12" t="n"/>
    </row>
    <row r="751">
      <c r="A751" s="12" t="n"/>
      <c r="B751" s="14" t="n"/>
      <c r="C751" s="14" t="n"/>
      <c r="D751" s="15" t="n"/>
      <c r="E751" s="15" t="n"/>
      <c r="F751" s="16">
        <f>IF($E751="","",DATE(YEAR($E751),MONTH($E751),1))</f>
        <v/>
      </c>
      <c r="G751" s="14" t="n"/>
      <c r="H751" s="14" t="n"/>
      <c r="I751" s="14" t="n"/>
      <c r="J751" s="14" t="n"/>
      <c r="K751" s="17" t="n"/>
      <c r="L751" s="15" t="n"/>
      <c r="M751" s="14" t="n"/>
      <c r="N751" s="17" t="n"/>
      <c r="O751" s="17" t="n"/>
      <c r="P751" s="18" t="n"/>
      <c r="Q751" s="11">
        <f>IF($A751="","",IF($H751="Stock",IF($I751="Buy",-$M751*$N751-$P751,IF($I751="Sell",IF($N751="", $M751*$O751-$P751,($O751-$N751)*$M751-$P751),"")),IF($I751="Sell",($N751-IF($O751="",0,$O751))*$M751*100-$P751,IF($I751="Buy",(IF($O751="",0,$O751)-$N751)*$M751*100-$P751,""))))</f>
        <v/>
      </c>
      <c r="R751" s="11">
        <f>IF($A751="","",IF($C751="Open","",$Q751))</f>
        <v/>
      </c>
      <c r="S751" s="12">
        <f>IF($A751="","",IFS($B751="Covered Call","Covered Call Premium",$B751="Cash Secured Put","Cash Secured Put Premium",$B751="Long Call/Put","Long Call/Put P/L",$B751="Debit Spread","Long Call/Put P/L",$B751="Stock Sale","Stock Sales",TRUE,"Other"))</f>
        <v/>
      </c>
      <c r="T751" s="11">
        <f>IF($A751="","",IF($B751="Cash Secured Put",$K751*$M751*100,IF($B751="Covered Call",$K751*$M751*100,IF($H751="Stock",$M751*$N751,""))))</f>
        <v/>
      </c>
      <c r="U751" s="19">
        <f>IF(OR($A751="",$C751&lt;&gt;"Closed",$D751="",$E751="",$T751=0),"",$R751/$T751*365/MAX(1,$E751-$D751))</f>
        <v/>
      </c>
      <c r="V751" s="14" t="n"/>
      <c r="W751" s="12" t="n"/>
    </row>
    <row r="752">
      <c r="A752" s="12" t="n"/>
      <c r="B752" s="14" t="n"/>
      <c r="C752" s="14" t="n"/>
      <c r="D752" s="15" t="n"/>
      <c r="E752" s="15" t="n"/>
      <c r="F752" s="16">
        <f>IF($E752="","",DATE(YEAR($E752),MONTH($E752),1))</f>
        <v/>
      </c>
      <c r="G752" s="14" t="n"/>
      <c r="H752" s="14" t="n"/>
      <c r="I752" s="14" t="n"/>
      <c r="J752" s="14" t="n"/>
      <c r="K752" s="17" t="n"/>
      <c r="L752" s="15" t="n"/>
      <c r="M752" s="14" t="n"/>
      <c r="N752" s="17" t="n"/>
      <c r="O752" s="17" t="n"/>
      <c r="P752" s="18" t="n"/>
      <c r="Q752" s="11">
        <f>IF($A752="","",IF($H752="Stock",IF($I752="Buy",-$M752*$N752-$P752,IF($I752="Sell",IF($N752="", $M752*$O752-$P752,($O752-$N752)*$M752-$P752),"")),IF($I752="Sell",($N752-IF($O752="",0,$O752))*$M752*100-$P752,IF($I752="Buy",(IF($O752="",0,$O752)-$N752)*$M752*100-$P752,""))))</f>
        <v/>
      </c>
      <c r="R752" s="11">
        <f>IF($A752="","",IF($C752="Open","",$Q752))</f>
        <v/>
      </c>
      <c r="S752" s="12">
        <f>IF($A752="","",IFS($B752="Covered Call","Covered Call Premium",$B752="Cash Secured Put","Cash Secured Put Premium",$B752="Long Call/Put","Long Call/Put P/L",$B752="Debit Spread","Long Call/Put P/L",$B752="Stock Sale","Stock Sales",TRUE,"Other"))</f>
        <v/>
      </c>
      <c r="T752" s="11">
        <f>IF($A752="","",IF($B752="Cash Secured Put",$K752*$M752*100,IF($B752="Covered Call",$K752*$M752*100,IF($H752="Stock",$M752*$N752,""))))</f>
        <v/>
      </c>
      <c r="U752" s="19">
        <f>IF(OR($A752="",$C752&lt;&gt;"Closed",$D752="",$E752="",$T752=0),"",$R752/$T752*365/MAX(1,$E752-$D752))</f>
        <v/>
      </c>
      <c r="V752" s="14" t="n"/>
      <c r="W752" s="12" t="n"/>
    </row>
    <row r="753">
      <c r="A753" s="12" t="n"/>
      <c r="B753" s="14" t="n"/>
      <c r="C753" s="14" t="n"/>
      <c r="D753" s="15" t="n"/>
      <c r="E753" s="15" t="n"/>
      <c r="F753" s="16">
        <f>IF($E753="","",DATE(YEAR($E753),MONTH($E753),1))</f>
        <v/>
      </c>
      <c r="G753" s="14" t="n"/>
      <c r="H753" s="14" t="n"/>
      <c r="I753" s="14" t="n"/>
      <c r="J753" s="14" t="n"/>
      <c r="K753" s="17" t="n"/>
      <c r="L753" s="15" t="n"/>
      <c r="M753" s="14" t="n"/>
      <c r="N753" s="17" t="n"/>
      <c r="O753" s="17" t="n"/>
      <c r="P753" s="18" t="n"/>
      <c r="Q753" s="11">
        <f>IF($A753="","",IF($H753="Stock",IF($I753="Buy",-$M753*$N753-$P753,IF($I753="Sell",IF($N753="", $M753*$O753-$P753,($O753-$N753)*$M753-$P753),"")),IF($I753="Sell",($N753-IF($O753="",0,$O753))*$M753*100-$P753,IF($I753="Buy",(IF($O753="",0,$O753)-$N753)*$M753*100-$P753,""))))</f>
        <v/>
      </c>
      <c r="R753" s="11">
        <f>IF($A753="","",IF($C753="Open","",$Q753))</f>
        <v/>
      </c>
      <c r="S753" s="12">
        <f>IF($A753="","",IFS($B753="Covered Call","Covered Call Premium",$B753="Cash Secured Put","Cash Secured Put Premium",$B753="Long Call/Put","Long Call/Put P/L",$B753="Debit Spread","Long Call/Put P/L",$B753="Stock Sale","Stock Sales",TRUE,"Other"))</f>
        <v/>
      </c>
      <c r="T753" s="11">
        <f>IF($A753="","",IF($B753="Cash Secured Put",$K753*$M753*100,IF($B753="Covered Call",$K753*$M753*100,IF($H753="Stock",$M753*$N753,""))))</f>
        <v/>
      </c>
      <c r="U753" s="19">
        <f>IF(OR($A753="",$C753&lt;&gt;"Closed",$D753="",$E753="",$T753=0),"",$R753/$T753*365/MAX(1,$E753-$D753))</f>
        <v/>
      </c>
      <c r="V753" s="14" t="n"/>
      <c r="W753" s="12" t="n"/>
    </row>
    <row r="754">
      <c r="A754" s="12" t="n"/>
      <c r="B754" s="14" t="n"/>
      <c r="C754" s="14" t="n"/>
      <c r="D754" s="15" t="n"/>
      <c r="E754" s="15" t="n"/>
      <c r="F754" s="16">
        <f>IF($E754="","",DATE(YEAR($E754),MONTH($E754),1))</f>
        <v/>
      </c>
      <c r="G754" s="14" t="n"/>
      <c r="H754" s="14" t="n"/>
      <c r="I754" s="14" t="n"/>
      <c r="J754" s="14" t="n"/>
      <c r="K754" s="17" t="n"/>
      <c r="L754" s="15" t="n"/>
      <c r="M754" s="14" t="n"/>
      <c r="N754" s="17" t="n"/>
      <c r="O754" s="17" t="n"/>
      <c r="P754" s="18" t="n"/>
      <c r="Q754" s="11">
        <f>IF($A754="","",IF($H754="Stock",IF($I754="Buy",-$M754*$N754-$P754,IF($I754="Sell",IF($N754="", $M754*$O754-$P754,($O754-$N754)*$M754-$P754),"")),IF($I754="Sell",($N754-IF($O754="",0,$O754))*$M754*100-$P754,IF($I754="Buy",(IF($O754="",0,$O754)-$N754)*$M754*100-$P754,""))))</f>
        <v/>
      </c>
      <c r="R754" s="11">
        <f>IF($A754="","",IF($C754="Open","",$Q754))</f>
        <v/>
      </c>
      <c r="S754" s="12">
        <f>IF($A754="","",IFS($B754="Covered Call","Covered Call Premium",$B754="Cash Secured Put","Cash Secured Put Premium",$B754="Long Call/Put","Long Call/Put P/L",$B754="Debit Spread","Long Call/Put P/L",$B754="Stock Sale","Stock Sales",TRUE,"Other"))</f>
        <v/>
      </c>
      <c r="T754" s="11">
        <f>IF($A754="","",IF($B754="Cash Secured Put",$K754*$M754*100,IF($B754="Covered Call",$K754*$M754*100,IF($H754="Stock",$M754*$N754,""))))</f>
        <v/>
      </c>
      <c r="U754" s="19">
        <f>IF(OR($A754="",$C754&lt;&gt;"Closed",$D754="",$E754="",$T754=0),"",$R754/$T754*365/MAX(1,$E754-$D754))</f>
        <v/>
      </c>
      <c r="V754" s="14" t="n"/>
      <c r="W754" s="12" t="n"/>
    </row>
    <row r="755">
      <c r="A755" s="12" t="n"/>
      <c r="B755" s="14" t="n"/>
      <c r="C755" s="14" t="n"/>
      <c r="D755" s="15" t="n"/>
      <c r="E755" s="15" t="n"/>
      <c r="F755" s="16">
        <f>IF($E755="","",DATE(YEAR($E755),MONTH($E755),1))</f>
        <v/>
      </c>
      <c r="G755" s="14" t="n"/>
      <c r="H755" s="14" t="n"/>
      <c r="I755" s="14" t="n"/>
      <c r="J755" s="14" t="n"/>
      <c r="K755" s="17" t="n"/>
      <c r="L755" s="15" t="n"/>
      <c r="M755" s="14" t="n"/>
      <c r="N755" s="17" t="n"/>
      <c r="O755" s="17" t="n"/>
      <c r="P755" s="18" t="n"/>
      <c r="Q755" s="11">
        <f>IF($A755="","",IF($H755="Stock",IF($I755="Buy",-$M755*$N755-$P755,IF($I755="Sell",IF($N755="", $M755*$O755-$P755,($O755-$N755)*$M755-$P755),"")),IF($I755="Sell",($N755-IF($O755="",0,$O755))*$M755*100-$P755,IF($I755="Buy",(IF($O755="",0,$O755)-$N755)*$M755*100-$P755,""))))</f>
        <v/>
      </c>
      <c r="R755" s="11">
        <f>IF($A755="","",IF($C755="Open","",$Q755))</f>
        <v/>
      </c>
      <c r="S755" s="12">
        <f>IF($A755="","",IFS($B755="Covered Call","Covered Call Premium",$B755="Cash Secured Put","Cash Secured Put Premium",$B755="Long Call/Put","Long Call/Put P/L",$B755="Debit Spread","Long Call/Put P/L",$B755="Stock Sale","Stock Sales",TRUE,"Other"))</f>
        <v/>
      </c>
      <c r="T755" s="11">
        <f>IF($A755="","",IF($B755="Cash Secured Put",$K755*$M755*100,IF($B755="Covered Call",$K755*$M755*100,IF($H755="Stock",$M755*$N755,""))))</f>
        <v/>
      </c>
      <c r="U755" s="19">
        <f>IF(OR($A755="",$C755&lt;&gt;"Closed",$D755="",$E755="",$T755=0),"",$R755/$T755*365/MAX(1,$E755-$D755))</f>
        <v/>
      </c>
      <c r="V755" s="14" t="n"/>
      <c r="W755" s="12" t="n"/>
    </row>
    <row r="756">
      <c r="A756" s="12" t="n"/>
      <c r="B756" s="14" t="n"/>
      <c r="C756" s="14" t="n"/>
      <c r="D756" s="15" t="n"/>
      <c r="E756" s="15" t="n"/>
      <c r="F756" s="16">
        <f>IF($E756="","",DATE(YEAR($E756),MONTH($E756),1))</f>
        <v/>
      </c>
      <c r="G756" s="14" t="n"/>
      <c r="H756" s="14" t="n"/>
      <c r="I756" s="14" t="n"/>
      <c r="J756" s="14" t="n"/>
      <c r="K756" s="17" t="n"/>
      <c r="L756" s="15" t="n"/>
      <c r="M756" s="14" t="n"/>
      <c r="N756" s="17" t="n"/>
      <c r="O756" s="17" t="n"/>
      <c r="P756" s="18" t="n"/>
      <c r="Q756" s="11">
        <f>IF($A756="","",IF($H756="Stock",IF($I756="Buy",-$M756*$N756-$P756,IF($I756="Sell",IF($N756="", $M756*$O756-$P756,($O756-$N756)*$M756-$P756),"")),IF($I756="Sell",($N756-IF($O756="",0,$O756))*$M756*100-$P756,IF($I756="Buy",(IF($O756="",0,$O756)-$N756)*$M756*100-$P756,""))))</f>
        <v/>
      </c>
      <c r="R756" s="11">
        <f>IF($A756="","",IF($C756="Open","",$Q756))</f>
        <v/>
      </c>
      <c r="S756" s="12">
        <f>IF($A756="","",IFS($B756="Covered Call","Covered Call Premium",$B756="Cash Secured Put","Cash Secured Put Premium",$B756="Long Call/Put","Long Call/Put P/L",$B756="Debit Spread","Long Call/Put P/L",$B756="Stock Sale","Stock Sales",TRUE,"Other"))</f>
        <v/>
      </c>
      <c r="T756" s="11">
        <f>IF($A756="","",IF($B756="Cash Secured Put",$K756*$M756*100,IF($B756="Covered Call",$K756*$M756*100,IF($H756="Stock",$M756*$N756,""))))</f>
        <v/>
      </c>
      <c r="U756" s="19">
        <f>IF(OR($A756="",$C756&lt;&gt;"Closed",$D756="",$E756="",$T756=0),"",$R756/$T756*365/MAX(1,$E756-$D756))</f>
        <v/>
      </c>
      <c r="V756" s="14" t="n"/>
      <c r="W756" s="12" t="n"/>
    </row>
    <row r="757">
      <c r="A757" s="12" t="n"/>
      <c r="B757" s="14" t="n"/>
      <c r="C757" s="14" t="n"/>
      <c r="D757" s="15" t="n"/>
      <c r="E757" s="15" t="n"/>
      <c r="F757" s="16">
        <f>IF($E757="","",DATE(YEAR($E757),MONTH($E757),1))</f>
        <v/>
      </c>
      <c r="G757" s="14" t="n"/>
      <c r="H757" s="14" t="n"/>
      <c r="I757" s="14" t="n"/>
      <c r="J757" s="14" t="n"/>
      <c r="K757" s="17" t="n"/>
      <c r="L757" s="15" t="n"/>
      <c r="M757" s="14" t="n"/>
      <c r="N757" s="17" t="n"/>
      <c r="O757" s="17" t="n"/>
      <c r="P757" s="18" t="n"/>
      <c r="Q757" s="11">
        <f>IF($A757="","",IF($H757="Stock",IF($I757="Buy",-$M757*$N757-$P757,IF($I757="Sell",IF($N757="", $M757*$O757-$P757,($O757-$N757)*$M757-$P757),"")),IF($I757="Sell",($N757-IF($O757="",0,$O757))*$M757*100-$P757,IF($I757="Buy",(IF($O757="",0,$O757)-$N757)*$M757*100-$P757,""))))</f>
        <v/>
      </c>
      <c r="R757" s="11">
        <f>IF($A757="","",IF($C757="Open","",$Q757))</f>
        <v/>
      </c>
      <c r="S757" s="12">
        <f>IF($A757="","",IFS($B757="Covered Call","Covered Call Premium",$B757="Cash Secured Put","Cash Secured Put Premium",$B757="Long Call/Put","Long Call/Put P/L",$B757="Debit Spread","Long Call/Put P/L",$B757="Stock Sale","Stock Sales",TRUE,"Other"))</f>
        <v/>
      </c>
      <c r="T757" s="11">
        <f>IF($A757="","",IF($B757="Cash Secured Put",$K757*$M757*100,IF($B757="Covered Call",$K757*$M757*100,IF($H757="Stock",$M757*$N757,""))))</f>
        <v/>
      </c>
      <c r="U757" s="19">
        <f>IF(OR($A757="",$C757&lt;&gt;"Closed",$D757="",$E757="",$T757=0),"",$R757/$T757*365/MAX(1,$E757-$D757))</f>
        <v/>
      </c>
      <c r="V757" s="14" t="n"/>
      <c r="W757" s="12" t="n"/>
    </row>
    <row r="758">
      <c r="A758" s="12" t="n"/>
      <c r="B758" s="14" t="n"/>
      <c r="C758" s="14" t="n"/>
      <c r="D758" s="15" t="n"/>
      <c r="E758" s="15" t="n"/>
      <c r="F758" s="16">
        <f>IF($E758="","",DATE(YEAR($E758),MONTH($E758),1))</f>
        <v/>
      </c>
      <c r="G758" s="14" t="n"/>
      <c r="H758" s="14" t="n"/>
      <c r="I758" s="14" t="n"/>
      <c r="J758" s="14" t="n"/>
      <c r="K758" s="17" t="n"/>
      <c r="L758" s="15" t="n"/>
      <c r="M758" s="14" t="n"/>
      <c r="N758" s="17" t="n"/>
      <c r="O758" s="17" t="n"/>
      <c r="P758" s="18" t="n"/>
      <c r="Q758" s="11">
        <f>IF($A758="","",IF($H758="Stock",IF($I758="Buy",-$M758*$N758-$P758,IF($I758="Sell",IF($N758="", $M758*$O758-$P758,($O758-$N758)*$M758-$P758),"")),IF($I758="Sell",($N758-IF($O758="",0,$O758))*$M758*100-$P758,IF($I758="Buy",(IF($O758="",0,$O758)-$N758)*$M758*100-$P758,""))))</f>
        <v/>
      </c>
      <c r="R758" s="11">
        <f>IF($A758="","",IF($C758="Open","",$Q758))</f>
        <v/>
      </c>
      <c r="S758" s="12">
        <f>IF($A758="","",IFS($B758="Covered Call","Covered Call Premium",$B758="Cash Secured Put","Cash Secured Put Premium",$B758="Long Call/Put","Long Call/Put P/L",$B758="Debit Spread","Long Call/Put P/L",$B758="Stock Sale","Stock Sales",TRUE,"Other"))</f>
        <v/>
      </c>
      <c r="T758" s="11">
        <f>IF($A758="","",IF($B758="Cash Secured Put",$K758*$M758*100,IF($B758="Covered Call",$K758*$M758*100,IF($H758="Stock",$M758*$N758,""))))</f>
        <v/>
      </c>
      <c r="U758" s="19">
        <f>IF(OR($A758="",$C758&lt;&gt;"Closed",$D758="",$E758="",$T758=0),"",$R758/$T758*365/MAX(1,$E758-$D758))</f>
        <v/>
      </c>
      <c r="V758" s="14" t="n"/>
      <c r="W758" s="12" t="n"/>
    </row>
    <row r="759">
      <c r="A759" s="12" t="n"/>
      <c r="B759" s="14" t="n"/>
      <c r="C759" s="14" t="n"/>
      <c r="D759" s="15" t="n"/>
      <c r="E759" s="15" t="n"/>
      <c r="F759" s="16">
        <f>IF($E759="","",DATE(YEAR($E759),MONTH($E759),1))</f>
        <v/>
      </c>
      <c r="G759" s="14" t="n"/>
      <c r="H759" s="14" t="n"/>
      <c r="I759" s="14" t="n"/>
      <c r="J759" s="14" t="n"/>
      <c r="K759" s="17" t="n"/>
      <c r="L759" s="15" t="n"/>
      <c r="M759" s="14" t="n"/>
      <c r="N759" s="17" t="n"/>
      <c r="O759" s="17" t="n"/>
      <c r="P759" s="18" t="n"/>
      <c r="Q759" s="11">
        <f>IF($A759="","",IF($H759="Stock",IF($I759="Buy",-$M759*$N759-$P759,IF($I759="Sell",IF($N759="", $M759*$O759-$P759,($O759-$N759)*$M759-$P759),"")),IF($I759="Sell",($N759-IF($O759="",0,$O759))*$M759*100-$P759,IF($I759="Buy",(IF($O759="",0,$O759)-$N759)*$M759*100-$P759,""))))</f>
        <v/>
      </c>
      <c r="R759" s="11">
        <f>IF($A759="","",IF($C759="Open","",$Q759))</f>
        <v/>
      </c>
      <c r="S759" s="12">
        <f>IF($A759="","",IFS($B759="Covered Call","Covered Call Premium",$B759="Cash Secured Put","Cash Secured Put Premium",$B759="Long Call/Put","Long Call/Put P/L",$B759="Debit Spread","Long Call/Put P/L",$B759="Stock Sale","Stock Sales",TRUE,"Other"))</f>
        <v/>
      </c>
      <c r="T759" s="11">
        <f>IF($A759="","",IF($B759="Cash Secured Put",$K759*$M759*100,IF($B759="Covered Call",$K759*$M759*100,IF($H759="Stock",$M759*$N759,""))))</f>
        <v/>
      </c>
      <c r="U759" s="19">
        <f>IF(OR($A759="",$C759&lt;&gt;"Closed",$D759="",$E759="",$T759=0),"",$R759/$T759*365/MAX(1,$E759-$D759))</f>
        <v/>
      </c>
      <c r="V759" s="14" t="n"/>
      <c r="W759" s="12" t="n"/>
    </row>
    <row r="760">
      <c r="A760" s="12" t="n"/>
      <c r="B760" s="14" t="n"/>
      <c r="C760" s="14" t="n"/>
      <c r="D760" s="15" t="n"/>
      <c r="E760" s="15" t="n"/>
      <c r="F760" s="16">
        <f>IF($E760="","",DATE(YEAR($E760),MONTH($E760),1))</f>
        <v/>
      </c>
      <c r="G760" s="14" t="n"/>
      <c r="H760" s="14" t="n"/>
      <c r="I760" s="14" t="n"/>
      <c r="J760" s="14" t="n"/>
      <c r="K760" s="17" t="n"/>
      <c r="L760" s="15" t="n"/>
      <c r="M760" s="14" t="n"/>
      <c r="N760" s="17" t="n"/>
      <c r="O760" s="17" t="n"/>
      <c r="P760" s="18" t="n"/>
      <c r="Q760" s="11">
        <f>IF($A760="","",IF($H760="Stock",IF($I760="Buy",-$M760*$N760-$P760,IF($I760="Sell",IF($N760="", $M760*$O760-$P760,($O760-$N760)*$M760-$P760),"")),IF($I760="Sell",($N760-IF($O760="",0,$O760))*$M760*100-$P760,IF($I760="Buy",(IF($O760="",0,$O760)-$N760)*$M760*100-$P760,""))))</f>
        <v/>
      </c>
      <c r="R760" s="11">
        <f>IF($A760="","",IF($C760="Open","",$Q760))</f>
        <v/>
      </c>
      <c r="S760" s="12">
        <f>IF($A760="","",IFS($B760="Covered Call","Covered Call Premium",$B760="Cash Secured Put","Cash Secured Put Premium",$B760="Long Call/Put","Long Call/Put P/L",$B760="Debit Spread","Long Call/Put P/L",$B760="Stock Sale","Stock Sales",TRUE,"Other"))</f>
        <v/>
      </c>
      <c r="T760" s="11">
        <f>IF($A760="","",IF($B760="Cash Secured Put",$K760*$M760*100,IF($B760="Covered Call",$K760*$M760*100,IF($H760="Stock",$M760*$N760,""))))</f>
        <v/>
      </c>
      <c r="U760" s="19">
        <f>IF(OR($A760="",$C760&lt;&gt;"Closed",$D760="",$E760="",$T760=0),"",$R760/$T760*365/MAX(1,$E760-$D760))</f>
        <v/>
      </c>
      <c r="V760" s="14" t="n"/>
      <c r="W760" s="12" t="n"/>
    </row>
    <row r="761">
      <c r="A761" s="12" t="n"/>
      <c r="B761" s="14" t="n"/>
      <c r="C761" s="14" t="n"/>
      <c r="D761" s="15" t="n"/>
      <c r="E761" s="15" t="n"/>
      <c r="F761" s="16">
        <f>IF($E761="","",DATE(YEAR($E761),MONTH($E761),1))</f>
        <v/>
      </c>
      <c r="G761" s="14" t="n"/>
      <c r="H761" s="14" t="n"/>
      <c r="I761" s="14" t="n"/>
      <c r="J761" s="14" t="n"/>
      <c r="K761" s="17" t="n"/>
      <c r="L761" s="15" t="n"/>
      <c r="M761" s="14" t="n"/>
      <c r="N761" s="17" t="n"/>
      <c r="O761" s="17" t="n"/>
      <c r="P761" s="18" t="n"/>
      <c r="Q761" s="11">
        <f>IF($A761="","",IF($H761="Stock",IF($I761="Buy",-$M761*$N761-$P761,IF($I761="Sell",IF($N761="", $M761*$O761-$P761,($O761-$N761)*$M761-$P761),"")),IF($I761="Sell",($N761-IF($O761="",0,$O761))*$M761*100-$P761,IF($I761="Buy",(IF($O761="",0,$O761)-$N761)*$M761*100-$P761,""))))</f>
        <v/>
      </c>
      <c r="R761" s="11">
        <f>IF($A761="","",IF($C761="Open","",$Q761))</f>
        <v/>
      </c>
      <c r="S761" s="12">
        <f>IF($A761="","",IFS($B761="Covered Call","Covered Call Premium",$B761="Cash Secured Put","Cash Secured Put Premium",$B761="Long Call/Put","Long Call/Put P/L",$B761="Debit Spread","Long Call/Put P/L",$B761="Stock Sale","Stock Sales",TRUE,"Other"))</f>
        <v/>
      </c>
      <c r="T761" s="11">
        <f>IF($A761="","",IF($B761="Cash Secured Put",$K761*$M761*100,IF($B761="Covered Call",$K761*$M761*100,IF($H761="Stock",$M761*$N761,""))))</f>
        <v/>
      </c>
      <c r="U761" s="19">
        <f>IF(OR($A761="",$C761&lt;&gt;"Closed",$D761="",$E761="",$T761=0),"",$R761/$T761*365/MAX(1,$E761-$D761))</f>
        <v/>
      </c>
      <c r="V761" s="14" t="n"/>
      <c r="W761" s="12" t="n"/>
    </row>
    <row r="762">
      <c r="A762" s="12" t="n"/>
      <c r="B762" s="14" t="n"/>
      <c r="C762" s="14" t="n"/>
      <c r="D762" s="15" t="n"/>
      <c r="E762" s="15" t="n"/>
      <c r="F762" s="16">
        <f>IF($E762="","",DATE(YEAR($E762),MONTH($E762),1))</f>
        <v/>
      </c>
      <c r="G762" s="14" t="n"/>
      <c r="H762" s="14" t="n"/>
      <c r="I762" s="14" t="n"/>
      <c r="J762" s="14" t="n"/>
      <c r="K762" s="17" t="n"/>
      <c r="L762" s="15" t="n"/>
      <c r="M762" s="14" t="n"/>
      <c r="N762" s="17" t="n"/>
      <c r="O762" s="17" t="n"/>
      <c r="P762" s="18" t="n"/>
      <c r="Q762" s="11">
        <f>IF($A762="","",IF($H762="Stock",IF($I762="Buy",-$M762*$N762-$P762,IF($I762="Sell",IF($N762="", $M762*$O762-$P762,($O762-$N762)*$M762-$P762),"")),IF($I762="Sell",($N762-IF($O762="",0,$O762))*$M762*100-$P762,IF($I762="Buy",(IF($O762="",0,$O762)-$N762)*$M762*100-$P762,""))))</f>
        <v/>
      </c>
      <c r="R762" s="11">
        <f>IF($A762="","",IF($C762="Open","",$Q762))</f>
        <v/>
      </c>
      <c r="S762" s="12">
        <f>IF($A762="","",IFS($B762="Covered Call","Covered Call Premium",$B762="Cash Secured Put","Cash Secured Put Premium",$B762="Long Call/Put","Long Call/Put P/L",$B762="Debit Spread","Long Call/Put P/L",$B762="Stock Sale","Stock Sales",TRUE,"Other"))</f>
        <v/>
      </c>
      <c r="T762" s="11">
        <f>IF($A762="","",IF($B762="Cash Secured Put",$K762*$M762*100,IF($B762="Covered Call",$K762*$M762*100,IF($H762="Stock",$M762*$N762,""))))</f>
        <v/>
      </c>
      <c r="U762" s="19">
        <f>IF(OR($A762="",$C762&lt;&gt;"Closed",$D762="",$E762="",$T762=0),"",$R762/$T762*365/MAX(1,$E762-$D762))</f>
        <v/>
      </c>
      <c r="V762" s="14" t="n"/>
      <c r="W762" s="12" t="n"/>
    </row>
    <row r="763">
      <c r="A763" s="12" t="n"/>
      <c r="B763" s="14" t="n"/>
      <c r="C763" s="14" t="n"/>
      <c r="D763" s="15" t="n"/>
      <c r="E763" s="15" t="n"/>
      <c r="F763" s="16">
        <f>IF($E763="","",DATE(YEAR($E763),MONTH($E763),1))</f>
        <v/>
      </c>
      <c r="G763" s="14" t="n"/>
      <c r="H763" s="14" t="n"/>
      <c r="I763" s="14" t="n"/>
      <c r="J763" s="14" t="n"/>
      <c r="K763" s="17" t="n"/>
      <c r="L763" s="15" t="n"/>
      <c r="M763" s="14" t="n"/>
      <c r="N763" s="17" t="n"/>
      <c r="O763" s="17" t="n"/>
      <c r="P763" s="18" t="n"/>
      <c r="Q763" s="11">
        <f>IF($A763="","",IF($H763="Stock",IF($I763="Buy",-$M763*$N763-$P763,IF($I763="Sell",IF($N763="", $M763*$O763-$P763,($O763-$N763)*$M763-$P763),"")),IF($I763="Sell",($N763-IF($O763="",0,$O763))*$M763*100-$P763,IF($I763="Buy",(IF($O763="",0,$O763)-$N763)*$M763*100-$P763,""))))</f>
        <v/>
      </c>
      <c r="R763" s="11">
        <f>IF($A763="","",IF($C763="Open","",$Q763))</f>
        <v/>
      </c>
      <c r="S763" s="12">
        <f>IF($A763="","",IFS($B763="Covered Call","Covered Call Premium",$B763="Cash Secured Put","Cash Secured Put Premium",$B763="Long Call/Put","Long Call/Put P/L",$B763="Debit Spread","Long Call/Put P/L",$B763="Stock Sale","Stock Sales",TRUE,"Other"))</f>
        <v/>
      </c>
      <c r="T763" s="11">
        <f>IF($A763="","",IF($B763="Cash Secured Put",$K763*$M763*100,IF($B763="Covered Call",$K763*$M763*100,IF($H763="Stock",$M763*$N763,""))))</f>
        <v/>
      </c>
      <c r="U763" s="19">
        <f>IF(OR($A763="",$C763&lt;&gt;"Closed",$D763="",$E763="",$T763=0),"",$R763/$T763*365/MAX(1,$E763-$D763))</f>
        <v/>
      </c>
      <c r="V763" s="14" t="n"/>
      <c r="W763" s="12" t="n"/>
    </row>
    <row r="764">
      <c r="A764" s="12" t="n"/>
      <c r="B764" s="14" t="n"/>
      <c r="C764" s="14" t="n"/>
      <c r="D764" s="15" t="n"/>
      <c r="E764" s="15" t="n"/>
      <c r="F764" s="16">
        <f>IF($E764="","",DATE(YEAR($E764),MONTH($E764),1))</f>
        <v/>
      </c>
      <c r="G764" s="14" t="n"/>
      <c r="H764" s="14" t="n"/>
      <c r="I764" s="14" t="n"/>
      <c r="J764" s="14" t="n"/>
      <c r="K764" s="17" t="n"/>
      <c r="L764" s="15" t="n"/>
      <c r="M764" s="14" t="n"/>
      <c r="N764" s="17" t="n"/>
      <c r="O764" s="17" t="n"/>
      <c r="P764" s="18" t="n"/>
      <c r="Q764" s="11">
        <f>IF($A764="","",IF($H764="Stock",IF($I764="Buy",-$M764*$N764-$P764,IF($I764="Sell",IF($N764="", $M764*$O764-$P764,($O764-$N764)*$M764-$P764),"")),IF($I764="Sell",($N764-IF($O764="",0,$O764))*$M764*100-$P764,IF($I764="Buy",(IF($O764="",0,$O764)-$N764)*$M764*100-$P764,""))))</f>
        <v/>
      </c>
      <c r="R764" s="11">
        <f>IF($A764="","",IF($C764="Open","",$Q764))</f>
        <v/>
      </c>
      <c r="S764" s="12">
        <f>IF($A764="","",IFS($B764="Covered Call","Covered Call Premium",$B764="Cash Secured Put","Cash Secured Put Premium",$B764="Long Call/Put","Long Call/Put P/L",$B764="Debit Spread","Long Call/Put P/L",$B764="Stock Sale","Stock Sales",TRUE,"Other"))</f>
        <v/>
      </c>
      <c r="T764" s="11">
        <f>IF($A764="","",IF($B764="Cash Secured Put",$K764*$M764*100,IF($B764="Covered Call",$K764*$M764*100,IF($H764="Stock",$M764*$N764,""))))</f>
        <v/>
      </c>
      <c r="U764" s="19">
        <f>IF(OR($A764="",$C764&lt;&gt;"Closed",$D764="",$E764="",$T764=0),"",$R764/$T764*365/MAX(1,$E764-$D764))</f>
        <v/>
      </c>
      <c r="V764" s="14" t="n"/>
      <c r="W764" s="12" t="n"/>
    </row>
    <row r="765">
      <c r="A765" s="12" t="n"/>
      <c r="B765" s="14" t="n"/>
      <c r="C765" s="14" t="n"/>
      <c r="D765" s="15" t="n"/>
      <c r="E765" s="15" t="n"/>
      <c r="F765" s="16">
        <f>IF($E765="","",DATE(YEAR($E765),MONTH($E765),1))</f>
        <v/>
      </c>
      <c r="G765" s="14" t="n"/>
      <c r="H765" s="14" t="n"/>
      <c r="I765" s="14" t="n"/>
      <c r="J765" s="14" t="n"/>
      <c r="K765" s="17" t="n"/>
      <c r="L765" s="15" t="n"/>
      <c r="M765" s="14" t="n"/>
      <c r="N765" s="17" t="n"/>
      <c r="O765" s="17" t="n"/>
      <c r="P765" s="18" t="n"/>
      <c r="Q765" s="11">
        <f>IF($A765="","",IF($H765="Stock",IF($I765="Buy",-$M765*$N765-$P765,IF($I765="Sell",IF($N765="", $M765*$O765-$P765,($O765-$N765)*$M765-$P765),"")),IF($I765="Sell",($N765-IF($O765="",0,$O765))*$M765*100-$P765,IF($I765="Buy",(IF($O765="",0,$O765)-$N765)*$M765*100-$P765,""))))</f>
        <v/>
      </c>
      <c r="R765" s="11">
        <f>IF($A765="","",IF($C765="Open","",$Q765))</f>
        <v/>
      </c>
      <c r="S765" s="12">
        <f>IF($A765="","",IFS($B765="Covered Call","Covered Call Premium",$B765="Cash Secured Put","Cash Secured Put Premium",$B765="Long Call/Put","Long Call/Put P/L",$B765="Debit Spread","Long Call/Put P/L",$B765="Stock Sale","Stock Sales",TRUE,"Other"))</f>
        <v/>
      </c>
      <c r="T765" s="11">
        <f>IF($A765="","",IF($B765="Cash Secured Put",$K765*$M765*100,IF($B765="Covered Call",$K765*$M765*100,IF($H765="Stock",$M765*$N765,""))))</f>
        <v/>
      </c>
      <c r="U765" s="19">
        <f>IF(OR($A765="",$C765&lt;&gt;"Closed",$D765="",$E765="",$T765=0),"",$R765/$T765*365/MAX(1,$E765-$D765))</f>
        <v/>
      </c>
      <c r="V765" s="14" t="n"/>
      <c r="W765" s="12" t="n"/>
    </row>
    <row r="766">
      <c r="A766" s="12" t="n"/>
      <c r="B766" s="14" t="n"/>
      <c r="C766" s="14" t="n"/>
      <c r="D766" s="15" t="n"/>
      <c r="E766" s="15" t="n"/>
      <c r="F766" s="16">
        <f>IF($E766="","",DATE(YEAR($E766),MONTH($E766),1))</f>
        <v/>
      </c>
      <c r="G766" s="14" t="n"/>
      <c r="H766" s="14" t="n"/>
      <c r="I766" s="14" t="n"/>
      <c r="J766" s="14" t="n"/>
      <c r="K766" s="17" t="n"/>
      <c r="L766" s="15" t="n"/>
      <c r="M766" s="14" t="n"/>
      <c r="N766" s="17" t="n"/>
      <c r="O766" s="17" t="n"/>
      <c r="P766" s="18" t="n"/>
      <c r="Q766" s="11">
        <f>IF($A766="","",IF($H766="Stock",IF($I766="Buy",-$M766*$N766-$P766,IF($I766="Sell",IF($N766="", $M766*$O766-$P766,($O766-$N766)*$M766-$P766),"")),IF($I766="Sell",($N766-IF($O766="",0,$O766))*$M766*100-$P766,IF($I766="Buy",(IF($O766="",0,$O766)-$N766)*$M766*100-$P766,""))))</f>
        <v/>
      </c>
      <c r="R766" s="11">
        <f>IF($A766="","",IF($C766="Open","",$Q766))</f>
        <v/>
      </c>
      <c r="S766" s="12">
        <f>IF($A766="","",IFS($B766="Covered Call","Covered Call Premium",$B766="Cash Secured Put","Cash Secured Put Premium",$B766="Long Call/Put","Long Call/Put P/L",$B766="Debit Spread","Long Call/Put P/L",$B766="Stock Sale","Stock Sales",TRUE,"Other"))</f>
        <v/>
      </c>
      <c r="T766" s="11">
        <f>IF($A766="","",IF($B766="Cash Secured Put",$K766*$M766*100,IF($B766="Covered Call",$K766*$M766*100,IF($H766="Stock",$M766*$N766,""))))</f>
        <v/>
      </c>
      <c r="U766" s="19">
        <f>IF(OR($A766="",$C766&lt;&gt;"Closed",$D766="",$E766="",$T766=0),"",$R766/$T766*365/MAX(1,$E766-$D766))</f>
        <v/>
      </c>
      <c r="V766" s="14" t="n"/>
      <c r="W766" s="12" t="n"/>
    </row>
    <row r="767">
      <c r="A767" s="12" t="n"/>
      <c r="B767" s="14" t="n"/>
      <c r="C767" s="14" t="n"/>
      <c r="D767" s="15" t="n"/>
      <c r="E767" s="15" t="n"/>
      <c r="F767" s="16">
        <f>IF($E767="","",DATE(YEAR($E767),MONTH($E767),1))</f>
        <v/>
      </c>
      <c r="G767" s="14" t="n"/>
      <c r="H767" s="14" t="n"/>
      <c r="I767" s="14" t="n"/>
      <c r="J767" s="14" t="n"/>
      <c r="K767" s="17" t="n"/>
      <c r="L767" s="15" t="n"/>
      <c r="M767" s="14" t="n"/>
      <c r="N767" s="17" t="n"/>
      <c r="O767" s="17" t="n"/>
      <c r="P767" s="18" t="n"/>
      <c r="Q767" s="11">
        <f>IF($A767="","",IF($H767="Stock",IF($I767="Buy",-$M767*$N767-$P767,IF($I767="Sell",IF($N767="", $M767*$O767-$P767,($O767-$N767)*$M767-$P767),"")),IF($I767="Sell",($N767-IF($O767="",0,$O767))*$M767*100-$P767,IF($I767="Buy",(IF($O767="",0,$O767)-$N767)*$M767*100-$P767,""))))</f>
        <v/>
      </c>
      <c r="R767" s="11">
        <f>IF($A767="","",IF($C767="Open","",$Q767))</f>
        <v/>
      </c>
      <c r="S767" s="12">
        <f>IF($A767="","",IFS($B767="Covered Call","Covered Call Premium",$B767="Cash Secured Put","Cash Secured Put Premium",$B767="Long Call/Put","Long Call/Put P/L",$B767="Debit Spread","Long Call/Put P/L",$B767="Stock Sale","Stock Sales",TRUE,"Other"))</f>
        <v/>
      </c>
      <c r="T767" s="11">
        <f>IF($A767="","",IF($B767="Cash Secured Put",$K767*$M767*100,IF($B767="Covered Call",$K767*$M767*100,IF($H767="Stock",$M767*$N767,""))))</f>
        <v/>
      </c>
      <c r="U767" s="19">
        <f>IF(OR($A767="",$C767&lt;&gt;"Closed",$D767="",$E767="",$T767=0),"",$R767/$T767*365/MAX(1,$E767-$D767))</f>
        <v/>
      </c>
      <c r="V767" s="14" t="n"/>
      <c r="W767" s="12" t="n"/>
    </row>
    <row r="768">
      <c r="A768" s="12" t="n"/>
      <c r="B768" s="14" t="n"/>
      <c r="C768" s="14" t="n"/>
      <c r="D768" s="15" t="n"/>
      <c r="E768" s="15" t="n"/>
      <c r="F768" s="16">
        <f>IF($E768="","",DATE(YEAR($E768),MONTH($E768),1))</f>
        <v/>
      </c>
      <c r="G768" s="14" t="n"/>
      <c r="H768" s="14" t="n"/>
      <c r="I768" s="14" t="n"/>
      <c r="J768" s="14" t="n"/>
      <c r="K768" s="17" t="n"/>
      <c r="L768" s="15" t="n"/>
      <c r="M768" s="14" t="n"/>
      <c r="N768" s="17" t="n"/>
      <c r="O768" s="17" t="n"/>
      <c r="P768" s="18" t="n"/>
      <c r="Q768" s="11">
        <f>IF($A768="","",IF($H768="Stock",IF($I768="Buy",-$M768*$N768-$P768,IF($I768="Sell",IF($N768="", $M768*$O768-$P768,($O768-$N768)*$M768-$P768),"")),IF($I768="Sell",($N768-IF($O768="",0,$O768))*$M768*100-$P768,IF($I768="Buy",(IF($O768="",0,$O768)-$N768)*$M768*100-$P768,""))))</f>
        <v/>
      </c>
      <c r="R768" s="11">
        <f>IF($A768="","",IF($C768="Open","",$Q768))</f>
        <v/>
      </c>
      <c r="S768" s="12">
        <f>IF($A768="","",IFS($B768="Covered Call","Covered Call Premium",$B768="Cash Secured Put","Cash Secured Put Premium",$B768="Long Call/Put","Long Call/Put P/L",$B768="Debit Spread","Long Call/Put P/L",$B768="Stock Sale","Stock Sales",TRUE,"Other"))</f>
        <v/>
      </c>
      <c r="T768" s="11">
        <f>IF($A768="","",IF($B768="Cash Secured Put",$K768*$M768*100,IF($B768="Covered Call",$K768*$M768*100,IF($H768="Stock",$M768*$N768,""))))</f>
        <v/>
      </c>
      <c r="U768" s="19">
        <f>IF(OR($A768="",$C768&lt;&gt;"Closed",$D768="",$E768="",$T768=0),"",$R768/$T768*365/MAX(1,$E768-$D768))</f>
        <v/>
      </c>
      <c r="V768" s="14" t="n"/>
      <c r="W768" s="12" t="n"/>
    </row>
    <row r="769">
      <c r="A769" s="12" t="n"/>
      <c r="B769" s="14" t="n"/>
      <c r="C769" s="14" t="n"/>
      <c r="D769" s="15" t="n"/>
      <c r="E769" s="15" t="n"/>
      <c r="F769" s="16">
        <f>IF($E769="","",DATE(YEAR($E769),MONTH($E769),1))</f>
        <v/>
      </c>
      <c r="G769" s="14" t="n"/>
      <c r="H769" s="14" t="n"/>
      <c r="I769" s="14" t="n"/>
      <c r="J769" s="14" t="n"/>
      <c r="K769" s="17" t="n"/>
      <c r="L769" s="15" t="n"/>
      <c r="M769" s="14" t="n"/>
      <c r="N769" s="17" t="n"/>
      <c r="O769" s="17" t="n"/>
      <c r="P769" s="18" t="n"/>
      <c r="Q769" s="11">
        <f>IF($A769="","",IF($H769="Stock",IF($I769="Buy",-$M769*$N769-$P769,IF($I769="Sell",IF($N769="", $M769*$O769-$P769,($O769-$N769)*$M769-$P769),"")),IF($I769="Sell",($N769-IF($O769="",0,$O769))*$M769*100-$P769,IF($I769="Buy",(IF($O769="",0,$O769)-$N769)*$M769*100-$P769,""))))</f>
        <v/>
      </c>
      <c r="R769" s="11">
        <f>IF($A769="","",IF($C769="Open","",$Q769))</f>
        <v/>
      </c>
      <c r="S769" s="12">
        <f>IF($A769="","",IFS($B769="Covered Call","Covered Call Premium",$B769="Cash Secured Put","Cash Secured Put Premium",$B769="Long Call/Put","Long Call/Put P/L",$B769="Debit Spread","Long Call/Put P/L",$B769="Stock Sale","Stock Sales",TRUE,"Other"))</f>
        <v/>
      </c>
      <c r="T769" s="11">
        <f>IF($A769="","",IF($B769="Cash Secured Put",$K769*$M769*100,IF($B769="Covered Call",$K769*$M769*100,IF($H769="Stock",$M769*$N769,""))))</f>
        <v/>
      </c>
      <c r="U769" s="19">
        <f>IF(OR($A769="",$C769&lt;&gt;"Closed",$D769="",$E769="",$T769=0),"",$R769/$T769*365/MAX(1,$E769-$D769))</f>
        <v/>
      </c>
      <c r="V769" s="14" t="n"/>
      <c r="W769" s="12" t="n"/>
    </row>
    <row r="770">
      <c r="A770" s="12" t="n"/>
      <c r="B770" s="14" t="n"/>
      <c r="C770" s="14" t="n"/>
      <c r="D770" s="15" t="n"/>
      <c r="E770" s="15" t="n"/>
      <c r="F770" s="16">
        <f>IF($E770="","",DATE(YEAR($E770),MONTH($E770),1))</f>
        <v/>
      </c>
      <c r="G770" s="14" t="n"/>
      <c r="H770" s="14" t="n"/>
      <c r="I770" s="14" t="n"/>
      <c r="J770" s="14" t="n"/>
      <c r="K770" s="17" t="n"/>
      <c r="L770" s="15" t="n"/>
      <c r="M770" s="14" t="n"/>
      <c r="N770" s="17" t="n"/>
      <c r="O770" s="17" t="n"/>
      <c r="P770" s="18" t="n"/>
      <c r="Q770" s="11">
        <f>IF($A770="","",IF($H770="Stock",IF($I770="Buy",-$M770*$N770-$P770,IF($I770="Sell",IF($N770="", $M770*$O770-$P770,($O770-$N770)*$M770-$P770),"")),IF($I770="Sell",($N770-IF($O770="",0,$O770))*$M770*100-$P770,IF($I770="Buy",(IF($O770="",0,$O770)-$N770)*$M770*100-$P770,""))))</f>
        <v/>
      </c>
      <c r="R770" s="11">
        <f>IF($A770="","",IF($C770="Open","",$Q770))</f>
        <v/>
      </c>
      <c r="S770" s="12">
        <f>IF($A770="","",IFS($B770="Covered Call","Covered Call Premium",$B770="Cash Secured Put","Cash Secured Put Premium",$B770="Long Call/Put","Long Call/Put P/L",$B770="Debit Spread","Long Call/Put P/L",$B770="Stock Sale","Stock Sales",TRUE,"Other"))</f>
        <v/>
      </c>
      <c r="T770" s="11">
        <f>IF($A770="","",IF($B770="Cash Secured Put",$K770*$M770*100,IF($B770="Covered Call",$K770*$M770*100,IF($H770="Stock",$M770*$N770,""))))</f>
        <v/>
      </c>
      <c r="U770" s="19">
        <f>IF(OR($A770="",$C770&lt;&gt;"Closed",$D770="",$E770="",$T770=0),"",$R770/$T770*365/MAX(1,$E770-$D770))</f>
        <v/>
      </c>
      <c r="V770" s="14" t="n"/>
      <c r="W770" s="12" t="n"/>
    </row>
    <row r="771">
      <c r="A771" s="12" t="n"/>
      <c r="B771" s="14" t="n"/>
      <c r="C771" s="14" t="n"/>
      <c r="D771" s="15" t="n"/>
      <c r="E771" s="15" t="n"/>
      <c r="F771" s="16">
        <f>IF($E771="","",DATE(YEAR($E771),MONTH($E771),1))</f>
        <v/>
      </c>
      <c r="G771" s="14" t="n"/>
      <c r="H771" s="14" t="n"/>
      <c r="I771" s="14" t="n"/>
      <c r="J771" s="14" t="n"/>
      <c r="K771" s="17" t="n"/>
      <c r="L771" s="15" t="n"/>
      <c r="M771" s="14" t="n"/>
      <c r="N771" s="17" t="n"/>
      <c r="O771" s="17" t="n"/>
      <c r="P771" s="18" t="n"/>
      <c r="Q771" s="11">
        <f>IF($A771="","",IF($H771="Stock",IF($I771="Buy",-$M771*$N771-$P771,IF($I771="Sell",IF($N771="", $M771*$O771-$P771,($O771-$N771)*$M771-$P771),"")),IF($I771="Sell",($N771-IF($O771="",0,$O771))*$M771*100-$P771,IF($I771="Buy",(IF($O771="",0,$O771)-$N771)*$M771*100-$P771,""))))</f>
        <v/>
      </c>
      <c r="R771" s="11">
        <f>IF($A771="","",IF($C771="Open","",$Q771))</f>
        <v/>
      </c>
      <c r="S771" s="12">
        <f>IF($A771="","",IFS($B771="Covered Call","Covered Call Premium",$B771="Cash Secured Put","Cash Secured Put Premium",$B771="Long Call/Put","Long Call/Put P/L",$B771="Debit Spread","Long Call/Put P/L",$B771="Stock Sale","Stock Sales",TRUE,"Other"))</f>
        <v/>
      </c>
      <c r="T771" s="11">
        <f>IF($A771="","",IF($B771="Cash Secured Put",$K771*$M771*100,IF($B771="Covered Call",$K771*$M771*100,IF($H771="Stock",$M771*$N771,""))))</f>
        <v/>
      </c>
      <c r="U771" s="19">
        <f>IF(OR($A771="",$C771&lt;&gt;"Closed",$D771="",$E771="",$T771=0),"",$R771/$T771*365/MAX(1,$E771-$D771))</f>
        <v/>
      </c>
      <c r="V771" s="14" t="n"/>
      <c r="W771" s="12" t="n"/>
    </row>
    <row r="772">
      <c r="A772" s="12" t="n"/>
      <c r="B772" s="14" t="n"/>
      <c r="C772" s="14" t="n"/>
      <c r="D772" s="15" t="n"/>
      <c r="E772" s="15" t="n"/>
      <c r="F772" s="16">
        <f>IF($E772="","",DATE(YEAR($E772),MONTH($E772),1))</f>
        <v/>
      </c>
      <c r="G772" s="14" t="n"/>
      <c r="H772" s="14" t="n"/>
      <c r="I772" s="14" t="n"/>
      <c r="J772" s="14" t="n"/>
      <c r="K772" s="17" t="n"/>
      <c r="L772" s="15" t="n"/>
      <c r="M772" s="14" t="n"/>
      <c r="N772" s="17" t="n"/>
      <c r="O772" s="17" t="n"/>
      <c r="P772" s="18" t="n"/>
      <c r="Q772" s="11">
        <f>IF($A772="","",IF($H772="Stock",IF($I772="Buy",-$M772*$N772-$P772,IF($I772="Sell",IF($N772="", $M772*$O772-$P772,($O772-$N772)*$M772-$P772),"")),IF($I772="Sell",($N772-IF($O772="",0,$O772))*$M772*100-$P772,IF($I772="Buy",(IF($O772="",0,$O772)-$N772)*$M772*100-$P772,""))))</f>
        <v/>
      </c>
      <c r="R772" s="11">
        <f>IF($A772="","",IF($C772="Open","",$Q772))</f>
        <v/>
      </c>
      <c r="S772" s="12">
        <f>IF($A772="","",IFS($B772="Covered Call","Covered Call Premium",$B772="Cash Secured Put","Cash Secured Put Premium",$B772="Long Call/Put","Long Call/Put P/L",$B772="Debit Spread","Long Call/Put P/L",$B772="Stock Sale","Stock Sales",TRUE,"Other"))</f>
        <v/>
      </c>
      <c r="T772" s="11">
        <f>IF($A772="","",IF($B772="Cash Secured Put",$K772*$M772*100,IF($B772="Covered Call",$K772*$M772*100,IF($H772="Stock",$M772*$N772,""))))</f>
        <v/>
      </c>
      <c r="U772" s="19">
        <f>IF(OR($A772="",$C772&lt;&gt;"Closed",$D772="",$E772="",$T772=0),"",$R772/$T772*365/MAX(1,$E772-$D772))</f>
        <v/>
      </c>
      <c r="V772" s="14" t="n"/>
      <c r="W772" s="12" t="n"/>
    </row>
    <row r="773">
      <c r="A773" s="12" t="n"/>
      <c r="B773" s="14" t="n"/>
      <c r="C773" s="14" t="n"/>
      <c r="D773" s="15" t="n"/>
      <c r="E773" s="15" t="n"/>
      <c r="F773" s="16">
        <f>IF($E773="","",DATE(YEAR($E773),MONTH($E773),1))</f>
        <v/>
      </c>
      <c r="G773" s="14" t="n"/>
      <c r="H773" s="14" t="n"/>
      <c r="I773" s="14" t="n"/>
      <c r="J773" s="14" t="n"/>
      <c r="K773" s="17" t="n"/>
      <c r="L773" s="15" t="n"/>
      <c r="M773" s="14" t="n"/>
      <c r="N773" s="17" t="n"/>
      <c r="O773" s="17" t="n"/>
      <c r="P773" s="18" t="n"/>
      <c r="Q773" s="11">
        <f>IF($A773="","",IF($H773="Stock",IF($I773="Buy",-$M773*$N773-$P773,IF($I773="Sell",IF($N773="", $M773*$O773-$P773,($O773-$N773)*$M773-$P773),"")),IF($I773="Sell",($N773-IF($O773="",0,$O773))*$M773*100-$P773,IF($I773="Buy",(IF($O773="",0,$O773)-$N773)*$M773*100-$P773,""))))</f>
        <v/>
      </c>
      <c r="R773" s="11">
        <f>IF($A773="","",IF($C773="Open","",$Q773))</f>
        <v/>
      </c>
      <c r="S773" s="12">
        <f>IF($A773="","",IFS($B773="Covered Call","Covered Call Premium",$B773="Cash Secured Put","Cash Secured Put Premium",$B773="Long Call/Put","Long Call/Put P/L",$B773="Debit Spread","Long Call/Put P/L",$B773="Stock Sale","Stock Sales",TRUE,"Other"))</f>
        <v/>
      </c>
      <c r="T773" s="11">
        <f>IF($A773="","",IF($B773="Cash Secured Put",$K773*$M773*100,IF($B773="Covered Call",$K773*$M773*100,IF($H773="Stock",$M773*$N773,""))))</f>
        <v/>
      </c>
      <c r="U773" s="19">
        <f>IF(OR($A773="",$C773&lt;&gt;"Closed",$D773="",$E773="",$T773=0),"",$R773/$T773*365/MAX(1,$E773-$D773))</f>
        <v/>
      </c>
      <c r="V773" s="14" t="n"/>
      <c r="W773" s="12" t="n"/>
    </row>
    <row r="774">
      <c r="A774" s="12" t="n"/>
      <c r="B774" s="14" t="n"/>
      <c r="C774" s="14" t="n"/>
      <c r="D774" s="15" t="n"/>
      <c r="E774" s="15" t="n"/>
      <c r="F774" s="16">
        <f>IF($E774="","",DATE(YEAR($E774),MONTH($E774),1))</f>
        <v/>
      </c>
      <c r="G774" s="14" t="n"/>
      <c r="H774" s="14" t="n"/>
      <c r="I774" s="14" t="n"/>
      <c r="J774" s="14" t="n"/>
      <c r="K774" s="17" t="n"/>
      <c r="L774" s="15" t="n"/>
      <c r="M774" s="14" t="n"/>
      <c r="N774" s="17" t="n"/>
      <c r="O774" s="17" t="n"/>
      <c r="P774" s="18" t="n"/>
      <c r="Q774" s="11">
        <f>IF($A774="","",IF($H774="Stock",IF($I774="Buy",-$M774*$N774-$P774,IF($I774="Sell",IF($N774="", $M774*$O774-$P774,($O774-$N774)*$M774-$P774),"")),IF($I774="Sell",($N774-IF($O774="",0,$O774))*$M774*100-$P774,IF($I774="Buy",(IF($O774="",0,$O774)-$N774)*$M774*100-$P774,""))))</f>
        <v/>
      </c>
      <c r="R774" s="11">
        <f>IF($A774="","",IF($C774="Open","",$Q774))</f>
        <v/>
      </c>
      <c r="S774" s="12">
        <f>IF($A774="","",IFS($B774="Covered Call","Covered Call Premium",$B774="Cash Secured Put","Cash Secured Put Premium",$B774="Long Call/Put","Long Call/Put P/L",$B774="Debit Spread","Long Call/Put P/L",$B774="Stock Sale","Stock Sales",TRUE,"Other"))</f>
        <v/>
      </c>
      <c r="T774" s="11">
        <f>IF($A774="","",IF($B774="Cash Secured Put",$K774*$M774*100,IF($B774="Covered Call",$K774*$M774*100,IF($H774="Stock",$M774*$N774,""))))</f>
        <v/>
      </c>
      <c r="U774" s="19">
        <f>IF(OR($A774="",$C774&lt;&gt;"Closed",$D774="",$E774="",$T774=0),"",$R774/$T774*365/MAX(1,$E774-$D774))</f>
        <v/>
      </c>
      <c r="V774" s="14" t="n"/>
      <c r="W774" s="12" t="n"/>
    </row>
    <row r="775">
      <c r="A775" s="12" t="n"/>
      <c r="B775" s="14" t="n"/>
      <c r="C775" s="14" t="n"/>
      <c r="D775" s="15" t="n"/>
      <c r="E775" s="15" t="n"/>
      <c r="F775" s="16">
        <f>IF($E775="","",DATE(YEAR($E775),MONTH($E775),1))</f>
        <v/>
      </c>
      <c r="G775" s="14" t="n"/>
      <c r="H775" s="14" t="n"/>
      <c r="I775" s="14" t="n"/>
      <c r="J775" s="14" t="n"/>
      <c r="K775" s="17" t="n"/>
      <c r="L775" s="15" t="n"/>
      <c r="M775" s="14" t="n"/>
      <c r="N775" s="17" t="n"/>
      <c r="O775" s="17" t="n"/>
      <c r="P775" s="18" t="n"/>
      <c r="Q775" s="11">
        <f>IF($A775="","",IF($H775="Stock",IF($I775="Buy",-$M775*$N775-$P775,IF($I775="Sell",IF($N775="", $M775*$O775-$P775,($O775-$N775)*$M775-$P775),"")),IF($I775="Sell",($N775-IF($O775="",0,$O775))*$M775*100-$P775,IF($I775="Buy",(IF($O775="",0,$O775)-$N775)*$M775*100-$P775,""))))</f>
        <v/>
      </c>
      <c r="R775" s="11">
        <f>IF($A775="","",IF($C775="Open","",$Q775))</f>
        <v/>
      </c>
      <c r="S775" s="12">
        <f>IF($A775="","",IFS($B775="Covered Call","Covered Call Premium",$B775="Cash Secured Put","Cash Secured Put Premium",$B775="Long Call/Put","Long Call/Put P/L",$B775="Debit Spread","Long Call/Put P/L",$B775="Stock Sale","Stock Sales",TRUE,"Other"))</f>
        <v/>
      </c>
      <c r="T775" s="11">
        <f>IF($A775="","",IF($B775="Cash Secured Put",$K775*$M775*100,IF($B775="Covered Call",$K775*$M775*100,IF($H775="Stock",$M775*$N775,""))))</f>
        <v/>
      </c>
      <c r="U775" s="19">
        <f>IF(OR($A775="",$C775&lt;&gt;"Closed",$D775="",$E775="",$T775=0),"",$R775/$T775*365/MAX(1,$E775-$D775))</f>
        <v/>
      </c>
      <c r="V775" s="14" t="n"/>
      <c r="W775" s="12" t="n"/>
    </row>
    <row r="776">
      <c r="A776" s="12" t="n"/>
      <c r="B776" s="14" t="n"/>
      <c r="C776" s="14" t="n"/>
      <c r="D776" s="15" t="n"/>
      <c r="E776" s="15" t="n"/>
      <c r="F776" s="16">
        <f>IF($E776="","",DATE(YEAR($E776),MONTH($E776),1))</f>
        <v/>
      </c>
      <c r="G776" s="14" t="n"/>
      <c r="H776" s="14" t="n"/>
      <c r="I776" s="14" t="n"/>
      <c r="J776" s="14" t="n"/>
      <c r="K776" s="17" t="n"/>
      <c r="L776" s="15" t="n"/>
      <c r="M776" s="14" t="n"/>
      <c r="N776" s="17" t="n"/>
      <c r="O776" s="17" t="n"/>
      <c r="P776" s="18" t="n"/>
      <c r="Q776" s="11">
        <f>IF($A776="","",IF($H776="Stock",IF($I776="Buy",-$M776*$N776-$P776,IF($I776="Sell",IF($N776="", $M776*$O776-$P776,($O776-$N776)*$M776-$P776),"")),IF($I776="Sell",($N776-IF($O776="",0,$O776))*$M776*100-$P776,IF($I776="Buy",(IF($O776="",0,$O776)-$N776)*$M776*100-$P776,""))))</f>
        <v/>
      </c>
      <c r="R776" s="11">
        <f>IF($A776="","",IF($C776="Open","",$Q776))</f>
        <v/>
      </c>
      <c r="S776" s="12">
        <f>IF($A776="","",IFS($B776="Covered Call","Covered Call Premium",$B776="Cash Secured Put","Cash Secured Put Premium",$B776="Long Call/Put","Long Call/Put P/L",$B776="Debit Spread","Long Call/Put P/L",$B776="Stock Sale","Stock Sales",TRUE,"Other"))</f>
        <v/>
      </c>
      <c r="T776" s="11">
        <f>IF($A776="","",IF($B776="Cash Secured Put",$K776*$M776*100,IF($B776="Covered Call",$K776*$M776*100,IF($H776="Stock",$M776*$N776,""))))</f>
        <v/>
      </c>
      <c r="U776" s="19">
        <f>IF(OR($A776="",$C776&lt;&gt;"Closed",$D776="",$E776="",$T776=0),"",$R776/$T776*365/MAX(1,$E776-$D776))</f>
        <v/>
      </c>
      <c r="V776" s="14" t="n"/>
      <c r="W776" s="12" t="n"/>
    </row>
    <row r="777">
      <c r="A777" s="12" t="n"/>
      <c r="B777" s="14" t="n"/>
      <c r="C777" s="14" t="n"/>
      <c r="D777" s="15" t="n"/>
      <c r="E777" s="15" t="n"/>
      <c r="F777" s="16">
        <f>IF($E777="","",DATE(YEAR($E777),MONTH($E777),1))</f>
        <v/>
      </c>
      <c r="G777" s="14" t="n"/>
      <c r="H777" s="14" t="n"/>
      <c r="I777" s="14" t="n"/>
      <c r="J777" s="14" t="n"/>
      <c r="K777" s="17" t="n"/>
      <c r="L777" s="15" t="n"/>
      <c r="M777" s="14" t="n"/>
      <c r="N777" s="17" t="n"/>
      <c r="O777" s="17" t="n"/>
      <c r="P777" s="18" t="n"/>
      <c r="Q777" s="11">
        <f>IF($A777="","",IF($H777="Stock",IF($I777="Buy",-$M777*$N777-$P777,IF($I777="Sell",IF($N777="", $M777*$O777-$P777,($O777-$N777)*$M777-$P777),"")),IF($I777="Sell",($N777-IF($O777="",0,$O777))*$M777*100-$P777,IF($I777="Buy",(IF($O777="",0,$O777)-$N777)*$M777*100-$P777,""))))</f>
        <v/>
      </c>
      <c r="R777" s="11">
        <f>IF($A777="","",IF($C777="Open","",$Q777))</f>
        <v/>
      </c>
      <c r="S777" s="12">
        <f>IF($A777="","",IFS($B777="Covered Call","Covered Call Premium",$B777="Cash Secured Put","Cash Secured Put Premium",$B777="Long Call/Put","Long Call/Put P/L",$B777="Debit Spread","Long Call/Put P/L",$B777="Stock Sale","Stock Sales",TRUE,"Other"))</f>
        <v/>
      </c>
      <c r="T777" s="11">
        <f>IF($A777="","",IF($B777="Cash Secured Put",$K777*$M777*100,IF($B777="Covered Call",$K777*$M777*100,IF($H777="Stock",$M777*$N777,""))))</f>
        <v/>
      </c>
      <c r="U777" s="19">
        <f>IF(OR($A777="",$C777&lt;&gt;"Closed",$D777="",$E777="",$T777=0),"",$R777/$T777*365/MAX(1,$E777-$D777))</f>
        <v/>
      </c>
      <c r="V777" s="14" t="n"/>
      <c r="W777" s="12" t="n"/>
    </row>
    <row r="778">
      <c r="A778" s="12" t="n"/>
      <c r="B778" s="14" t="n"/>
      <c r="C778" s="14" t="n"/>
      <c r="D778" s="15" t="n"/>
      <c r="E778" s="15" t="n"/>
      <c r="F778" s="16">
        <f>IF($E778="","",DATE(YEAR($E778),MONTH($E778),1))</f>
        <v/>
      </c>
      <c r="G778" s="14" t="n"/>
      <c r="H778" s="14" t="n"/>
      <c r="I778" s="14" t="n"/>
      <c r="J778" s="14" t="n"/>
      <c r="K778" s="17" t="n"/>
      <c r="L778" s="15" t="n"/>
      <c r="M778" s="14" t="n"/>
      <c r="N778" s="17" t="n"/>
      <c r="O778" s="17" t="n"/>
      <c r="P778" s="18" t="n"/>
      <c r="Q778" s="11">
        <f>IF($A778="","",IF($H778="Stock",IF($I778="Buy",-$M778*$N778-$P778,IF($I778="Sell",IF($N778="", $M778*$O778-$P778,($O778-$N778)*$M778-$P778),"")),IF($I778="Sell",($N778-IF($O778="",0,$O778))*$M778*100-$P778,IF($I778="Buy",(IF($O778="",0,$O778)-$N778)*$M778*100-$P778,""))))</f>
        <v/>
      </c>
      <c r="R778" s="11">
        <f>IF($A778="","",IF($C778="Open","",$Q778))</f>
        <v/>
      </c>
      <c r="S778" s="12">
        <f>IF($A778="","",IFS($B778="Covered Call","Covered Call Premium",$B778="Cash Secured Put","Cash Secured Put Premium",$B778="Long Call/Put","Long Call/Put P/L",$B778="Debit Spread","Long Call/Put P/L",$B778="Stock Sale","Stock Sales",TRUE,"Other"))</f>
        <v/>
      </c>
      <c r="T778" s="11">
        <f>IF($A778="","",IF($B778="Cash Secured Put",$K778*$M778*100,IF($B778="Covered Call",$K778*$M778*100,IF($H778="Stock",$M778*$N778,""))))</f>
        <v/>
      </c>
      <c r="U778" s="19">
        <f>IF(OR($A778="",$C778&lt;&gt;"Closed",$D778="",$E778="",$T778=0),"",$R778/$T778*365/MAX(1,$E778-$D778))</f>
        <v/>
      </c>
      <c r="V778" s="14" t="n"/>
      <c r="W778" s="12" t="n"/>
    </row>
    <row r="779">
      <c r="A779" s="12" t="n"/>
      <c r="B779" s="14" t="n"/>
      <c r="C779" s="14" t="n"/>
      <c r="D779" s="15" t="n"/>
      <c r="E779" s="15" t="n"/>
      <c r="F779" s="16">
        <f>IF($E779="","",DATE(YEAR($E779),MONTH($E779),1))</f>
        <v/>
      </c>
      <c r="G779" s="14" t="n"/>
      <c r="H779" s="14" t="n"/>
      <c r="I779" s="14" t="n"/>
      <c r="J779" s="14" t="n"/>
      <c r="K779" s="17" t="n"/>
      <c r="L779" s="15" t="n"/>
      <c r="M779" s="14" t="n"/>
      <c r="N779" s="17" t="n"/>
      <c r="O779" s="17" t="n"/>
      <c r="P779" s="18" t="n"/>
      <c r="Q779" s="11">
        <f>IF($A779="","",IF($H779="Stock",IF($I779="Buy",-$M779*$N779-$P779,IF($I779="Sell",IF($N779="", $M779*$O779-$P779,($O779-$N779)*$M779-$P779),"")),IF($I779="Sell",($N779-IF($O779="",0,$O779))*$M779*100-$P779,IF($I779="Buy",(IF($O779="",0,$O779)-$N779)*$M779*100-$P779,""))))</f>
        <v/>
      </c>
      <c r="R779" s="11">
        <f>IF($A779="","",IF($C779="Open","",$Q779))</f>
        <v/>
      </c>
      <c r="S779" s="12">
        <f>IF($A779="","",IFS($B779="Covered Call","Covered Call Premium",$B779="Cash Secured Put","Cash Secured Put Premium",$B779="Long Call/Put","Long Call/Put P/L",$B779="Debit Spread","Long Call/Put P/L",$B779="Stock Sale","Stock Sales",TRUE,"Other"))</f>
        <v/>
      </c>
      <c r="T779" s="11">
        <f>IF($A779="","",IF($B779="Cash Secured Put",$K779*$M779*100,IF($B779="Covered Call",$K779*$M779*100,IF($H779="Stock",$M779*$N779,""))))</f>
        <v/>
      </c>
      <c r="U779" s="19">
        <f>IF(OR($A779="",$C779&lt;&gt;"Closed",$D779="",$E779="",$T779=0),"",$R779/$T779*365/MAX(1,$E779-$D779))</f>
        <v/>
      </c>
      <c r="V779" s="14" t="n"/>
      <c r="W779" s="12" t="n"/>
    </row>
    <row r="780">
      <c r="A780" s="12" t="n"/>
      <c r="B780" s="14" t="n"/>
      <c r="C780" s="14" t="n"/>
      <c r="D780" s="15" t="n"/>
      <c r="E780" s="15" t="n"/>
      <c r="F780" s="16">
        <f>IF($E780="","",DATE(YEAR($E780),MONTH($E780),1))</f>
        <v/>
      </c>
      <c r="G780" s="14" t="n"/>
      <c r="H780" s="14" t="n"/>
      <c r="I780" s="14" t="n"/>
      <c r="J780" s="14" t="n"/>
      <c r="K780" s="17" t="n"/>
      <c r="L780" s="15" t="n"/>
      <c r="M780" s="14" t="n"/>
      <c r="N780" s="17" t="n"/>
      <c r="O780" s="17" t="n"/>
      <c r="P780" s="18" t="n"/>
      <c r="Q780" s="11">
        <f>IF($A780="","",IF($H780="Stock",IF($I780="Buy",-$M780*$N780-$P780,IF($I780="Sell",IF($N780="", $M780*$O780-$P780,($O780-$N780)*$M780-$P780),"")),IF($I780="Sell",($N780-IF($O780="",0,$O780))*$M780*100-$P780,IF($I780="Buy",(IF($O780="",0,$O780)-$N780)*$M780*100-$P780,""))))</f>
        <v/>
      </c>
      <c r="R780" s="11">
        <f>IF($A780="","",IF($C780="Open","",$Q780))</f>
        <v/>
      </c>
      <c r="S780" s="12">
        <f>IF($A780="","",IFS($B780="Covered Call","Covered Call Premium",$B780="Cash Secured Put","Cash Secured Put Premium",$B780="Long Call/Put","Long Call/Put P/L",$B780="Debit Spread","Long Call/Put P/L",$B780="Stock Sale","Stock Sales",TRUE,"Other"))</f>
        <v/>
      </c>
      <c r="T780" s="11">
        <f>IF($A780="","",IF($B780="Cash Secured Put",$K780*$M780*100,IF($B780="Covered Call",$K780*$M780*100,IF($H780="Stock",$M780*$N780,""))))</f>
        <v/>
      </c>
      <c r="U780" s="19">
        <f>IF(OR($A780="",$C780&lt;&gt;"Closed",$D780="",$E780="",$T780=0),"",$R780/$T780*365/MAX(1,$E780-$D780))</f>
        <v/>
      </c>
      <c r="V780" s="14" t="n"/>
      <c r="W780" s="12" t="n"/>
    </row>
    <row r="781">
      <c r="A781" s="12" t="n"/>
      <c r="B781" s="14" t="n"/>
      <c r="C781" s="14" t="n"/>
      <c r="D781" s="15" t="n"/>
      <c r="E781" s="15" t="n"/>
      <c r="F781" s="16">
        <f>IF($E781="","",DATE(YEAR($E781),MONTH($E781),1))</f>
        <v/>
      </c>
      <c r="G781" s="14" t="n"/>
      <c r="H781" s="14" t="n"/>
      <c r="I781" s="14" t="n"/>
      <c r="J781" s="14" t="n"/>
      <c r="K781" s="17" t="n"/>
      <c r="L781" s="15" t="n"/>
      <c r="M781" s="14" t="n"/>
      <c r="N781" s="17" t="n"/>
      <c r="O781" s="17" t="n"/>
      <c r="P781" s="18" t="n"/>
      <c r="Q781" s="11">
        <f>IF($A781="","",IF($H781="Stock",IF($I781="Buy",-$M781*$N781-$P781,IF($I781="Sell",IF($N781="", $M781*$O781-$P781,($O781-$N781)*$M781-$P781),"")),IF($I781="Sell",($N781-IF($O781="",0,$O781))*$M781*100-$P781,IF($I781="Buy",(IF($O781="",0,$O781)-$N781)*$M781*100-$P781,""))))</f>
        <v/>
      </c>
      <c r="R781" s="11">
        <f>IF($A781="","",IF($C781="Open","",$Q781))</f>
        <v/>
      </c>
      <c r="S781" s="12">
        <f>IF($A781="","",IFS($B781="Covered Call","Covered Call Premium",$B781="Cash Secured Put","Cash Secured Put Premium",$B781="Long Call/Put","Long Call/Put P/L",$B781="Debit Spread","Long Call/Put P/L",$B781="Stock Sale","Stock Sales",TRUE,"Other"))</f>
        <v/>
      </c>
      <c r="T781" s="11">
        <f>IF($A781="","",IF($B781="Cash Secured Put",$K781*$M781*100,IF($B781="Covered Call",$K781*$M781*100,IF($H781="Stock",$M781*$N781,""))))</f>
        <v/>
      </c>
      <c r="U781" s="19">
        <f>IF(OR($A781="",$C781&lt;&gt;"Closed",$D781="",$E781="",$T781=0),"",$R781/$T781*365/MAX(1,$E781-$D781))</f>
        <v/>
      </c>
      <c r="V781" s="14" t="n"/>
      <c r="W781" s="12" t="n"/>
    </row>
    <row r="782">
      <c r="A782" s="12" t="n"/>
      <c r="B782" s="14" t="n"/>
      <c r="C782" s="14" t="n"/>
      <c r="D782" s="15" t="n"/>
      <c r="E782" s="15" t="n"/>
      <c r="F782" s="16">
        <f>IF($E782="","",DATE(YEAR($E782),MONTH($E782),1))</f>
        <v/>
      </c>
      <c r="G782" s="14" t="n"/>
      <c r="H782" s="14" t="n"/>
      <c r="I782" s="14" t="n"/>
      <c r="J782" s="14" t="n"/>
      <c r="K782" s="17" t="n"/>
      <c r="L782" s="15" t="n"/>
      <c r="M782" s="14" t="n"/>
      <c r="N782" s="17" t="n"/>
      <c r="O782" s="17" t="n"/>
      <c r="P782" s="18" t="n"/>
      <c r="Q782" s="11">
        <f>IF($A782="","",IF($H782="Stock",IF($I782="Buy",-$M782*$N782-$P782,IF($I782="Sell",IF($N782="", $M782*$O782-$P782,($O782-$N782)*$M782-$P782),"")),IF($I782="Sell",($N782-IF($O782="",0,$O782))*$M782*100-$P782,IF($I782="Buy",(IF($O782="",0,$O782)-$N782)*$M782*100-$P782,""))))</f>
        <v/>
      </c>
      <c r="R782" s="11">
        <f>IF($A782="","",IF($C782="Open","",$Q782))</f>
        <v/>
      </c>
      <c r="S782" s="12">
        <f>IF($A782="","",IFS($B782="Covered Call","Covered Call Premium",$B782="Cash Secured Put","Cash Secured Put Premium",$B782="Long Call/Put","Long Call/Put P/L",$B782="Debit Spread","Long Call/Put P/L",$B782="Stock Sale","Stock Sales",TRUE,"Other"))</f>
        <v/>
      </c>
      <c r="T782" s="11">
        <f>IF($A782="","",IF($B782="Cash Secured Put",$K782*$M782*100,IF($B782="Covered Call",$K782*$M782*100,IF($H782="Stock",$M782*$N782,""))))</f>
        <v/>
      </c>
      <c r="U782" s="19">
        <f>IF(OR($A782="",$C782&lt;&gt;"Closed",$D782="",$E782="",$T782=0),"",$R782/$T782*365/MAX(1,$E782-$D782))</f>
        <v/>
      </c>
      <c r="V782" s="14" t="n"/>
      <c r="W782" s="12" t="n"/>
    </row>
    <row r="783">
      <c r="A783" s="12" t="n"/>
      <c r="B783" s="14" t="n"/>
      <c r="C783" s="14" t="n"/>
      <c r="D783" s="15" t="n"/>
      <c r="E783" s="15" t="n"/>
      <c r="F783" s="16">
        <f>IF($E783="","",DATE(YEAR($E783),MONTH($E783),1))</f>
        <v/>
      </c>
      <c r="G783" s="14" t="n"/>
      <c r="H783" s="14" t="n"/>
      <c r="I783" s="14" t="n"/>
      <c r="J783" s="14" t="n"/>
      <c r="K783" s="17" t="n"/>
      <c r="L783" s="15" t="n"/>
      <c r="M783" s="14" t="n"/>
      <c r="N783" s="17" t="n"/>
      <c r="O783" s="17" t="n"/>
      <c r="P783" s="18" t="n"/>
      <c r="Q783" s="11">
        <f>IF($A783="","",IF($H783="Stock",IF($I783="Buy",-$M783*$N783-$P783,IF($I783="Sell",IF($N783="", $M783*$O783-$P783,($O783-$N783)*$M783-$P783),"")),IF($I783="Sell",($N783-IF($O783="",0,$O783))*$M783*100-$P783,IF($I783="Buy",(IF($O783="",0,$O783)-$N783)*$M783*100-$P783,""))))</f>
        <v/>
      </c>
      <c r="R783" s="11">
        <f>IF($A783="","",IF($C783="Open","",$Q783))</f>
        <v/>
      </c>
      <c r="S783" s="12">
        <f>IF($A783="","",IFS($B783="Covered Call","Covered Call Premium",$B783="Cash Secured Put","Cash Secured Put Premium",$B783="Long Call/Put","Long Call/Put P/L",$B783="Debit Spread","Long Call/Put P/L",$B783="Stock Sale","Stock Sales",TRUE,"Other"))</f>
        <v/>
      </c>
      <c r="T783" s="11">
        <f>IF($A783="","",IF($B783="Cash Secured Put",$K783*$M783*100,IF($B783="Covered Call",$K783*$M783*100,IF($H783="Stock",$M783*$N783,""))))</f>
        <v/>
      </c>
      <c r="U783" s="19">
        <f>IF(OR($A783="",$C783&lt;&gt;"Closed",$D783="",$E783="",$T783=0),"",$R783/$T783*365/MAX(1,$E783-$D783))</f>
        <v/>
      </c>
      <c r="V783" s="14" t="n"/>
      <c r="W783" s="12" t="n"/>
    </row>
    <row r="784">
      <c r="A784" s="12" t="n"/>
      <c r="B784" s="14" t="n"/>
      <c r="C784" s="14" t="n"/>
      <c r="D784" s="15" t="n"/>
      <c r="E784" s="15" t="n"/>
      <c r="F784" s="16">
        <f>IF($E784="","",DATE(YEAR($E784),MONTH($E784),1))</f>
        <v/>
      </c>
      <c r="G784" s="14" t="n"/>
      <c r="H784" s="14" t="n"/>
      <c r="I784" s="14" t="n"/>
      <c r="J784" s="14" t="n"/>
      <c r="K784" s="17" t="n"/>
      <c r="L784" s="15" t="n"/>
      <c r="M784" s="14" t="n"/>
      <c r="N784" s="17" t="n"/>
      <c r="O784" s="17" t="n"/>
      <c r="P784" s="18" t="n"/>
      <c r="Q784" s="11">
        <f>IF($A784="","",IF($H784="Stock",IF($I784="Buy",-$M784*$N784-$P784,IF($I784="Sell",IF($N784="", $M784*$O784-$P784,($O784-$N784)*$M784-$P784),"")),IF($I784="Sell",($N784-IF($O784="",0,$O784))*$M784*100-$P784,IF($I784="Buy",(IF($O784="",0,$O784)-$N784)*$M784*100-$P784,""))))</f>
        <v/>
      </c>
      <c r="R784" s="11">
        <f>IF($A784="","",IF($C784="Open","",$Q784))</f>
        <v/>
      </c>
      <c r="S784" s="12">
        <f>IF($A784="","",IFS($B784="Covered Call","Covered Call Premium",$B784="Cash Secured Put","Cash Secured Put Premium",$B784="Long Call/Put","Long Call/Put P/L",$B784="Debit Spread","Long Call/Put P/L",$B784="Stock Sale","Stock Sales",TRUE,"Other"))</f>
        <v/>
      </c>
      <c r="T784" s="11">
        <f>IF($A784="","",IF($B784="Cash Secured Put",$K784*$M784*100,IF($B784="Covered Call",$K784*$M784*100,IF($H784="Stock",$M784*$N784,""))))</f>
        <v/>
      </c>
      <c r="U784" s="19">
        <f>IF(OR($A784="",$C784&lt;&gt;"Closed",$D784="",$E784="",$T784=0),"",$R784/$T784*365/MAX(1,$E784-$D784))</f>
        <v/>
      </c>
      <c r="V784" s="14" t="n"/>
      <c r="W784" s="12" t="n"/>
    </row>
    <row r="785">
      <c r="A785" s="12" t="n"/>
      <c r="B785" s="14" t="n"/>
      <c r="C785" s="14" t="n"/>
      <c r="D785" s="15" t="n"/>
      <c r="E785" s="15" t="n"/>
      <c r="F785" s="16">
        <f>IF($E785="","",DATE(YEAR($E785),MONTH($E785),1))</f>
        <v/>
      </c>
      <c r="G785" s="14" t="n"/>
      <c r="H785" s="14" t="n"/>
      <c r="I785" s="14" t="n"/>
      <c r="J785" s="14" t="n"/>
      <c r="K785" s="17" t="n"/>
      <c r="L785" s="15" t="n"/>
      <c r="M785" s="14" t="n"/>
      <c r="N785" s="17" t="n"/>
      <c r="O785" s="17" t="n"/>
      <c r="P785" s="18" t="n"/>
      <c r="Q785" s="11">
        <f>IF($A785="","",IF($H785="Stock",IF($I785="Buy",-$M785*$N785-$P785,IF($I785="Sell",IF($N785="", $M785*$O785-$P785,($O785-$N785)*$M785-$P785),"")),IF($I785="Sell",($N785-IF($O785="",0,$O785))*$M785*100-$P785,IF($I785="Buy",(IF($O785="",0,$O785)-$N785)*$M785*100-$P785,""))))</f>
        <v/>
      </c>
      <c r="R785" s="11">
        <f>IF($A785="","",IF($C785="Open","",$Q785))</f>
        <v/>
      </c>
      <c r="S785" s="12">
        <f>IF($A785="","",IFS($B785="Covered Call","Covered Call Premium",$B785="Cash Secured Put","Cash Secured Put Premium",$B785="Long Call/Put","Long Call/Put P/L",$B785="Debit Spread","Long Call/Put P/L",$B785="Stock Sale","Stock Sales",TRUE,"Other"))</f>
        <v/>
      </c>
      <c r="T785" s="11">
        <f>IF($A785="","",IF($B785="Cash Secured Put",$K785*$M785*100,IF($B785="Covered Call",$K785*$M785*100,IF($H785="Stock",$M785*$N785,""))))</f>
        <v/>
      </c>
      <c r="U785" s="19">
        <f>IF(OR($A785="",$C785&lt;&gt;"Closed",$D785="",$E785="",$T785=0),"",$R785/$T785*365/MAX(1,$E785-$D785))</f>
        <v/>
      </c>
      <c r="V785" s="14" t="n"/>
      <c r="W785" s="12" t="n"/>
    </row>
    <row r="786">
      <c r="A786" s="12" t="n"/>
      <c r="B786" s="14" t="n"/>
      <c r="C786" s="14" t="n"/>
      <c r="D786" s="15" t="n"/>
      <c r="E786" s="15" t="n"/>
      <c r="F786" s="16">
        <f>IF($E786="","",DATE(YEAR($E786),MONTH($E786),1))</f>
        <v/>
      </c>
      <c r="G786" s="14" t="n"/>
      <c r="H786" s="14" t="n"/>
      <c r="I786" s="14" t="n"/>
      <c r="J786" s="14" t="n"/>
      <c r="K786" s="17" t="n"/>
      <c r="L786" s="15" t="n"/>
      <c r="M786" s="14" t="n"/>
      <c r="N786" s="17" t="n"/>
      <c r="O786" s="17" t="n"/>
      <c r="P786" s="18" t="n"/>
      <c r="Q786" s="11">
        <f>IF($A786="","",IF($H786="Stock",IF($I786="Buy",-$M786*$N786-$P786,IF($I786="Sell",IF($N786="", $M786*$O786-$P786,($O786-$N786)*$M786-$P786),"")),IF($I786="Sell",($N786-IF($O786="",0,$O786))*$M786*100-$P786,IF($I786="Buy",(IF($O786="",0,$O786)-$N786)*$M786*100-$P786,""))))</f>
        <v/>
      </c>
      <c r="R786" s="11">
        <f>IF($A786="","",IF($C786="Open","",$Q786))</f>
        <v/>
      </c>
      <c r="S786" s="12">
        <f>IF($A786="","",IFS($B786="Covered Call","Covered Call Premium",$B786="Cash Secured Put","Cash Secured Put Premium",$B786="Long Call/Put","Long Call/Put P/L",$B786="Debit Spread","Long Call/Put P/L",$B786="Stock Sale","Stock Sales",TRUE,"Other"))</f>
        <v/>
      </c>
      <c r="T786" s="11">
        <f>IF($A786="","",IF($B786="Cash Secured Put",$K786*$M786*100,IF($B786="Covered Call",$K786*$M786*100,IF($H786="Stock",$M786*$N786,""))))</f>
        <v/>
      </c>
      <c r="U786" s="19">
        <f>IF(OR($A786="",$C786&lt;&gt;"Closed",$D786="",$E786="",$T786=0),"",$R786/$T786*365/MAX(1,$E786-$D786))</f>
        <v/>
      </c>
      <c r="V786" s="14" t="n"/>
      <c r="W786" s="12" t="n"/>
    </row>
    <row r="787">
      <c r="A787" s="12" t="n"/>
      <c r="B787" s="14" t="n"/>
      <c r="C787" s="14" t="n"/>
      <c r="D787" s="15" t="n"/>
      <c r="E787" s="15" t="n"/>
      <c r="F787" s="16">
        <f>IF($E787="","",DATE(YEAR($E787),MONTH($E787),1))</f>
        <v/>
      </c>
      <c r="G787" s="14" t="n"/>
      <c r="H787" s="14" t="n"/>
      <c r="I787" s="14" t="n"/>
      <c r="J787" s="14" t="n"/>
      <c r="K787" s="17" t="n"/>
      <c r="L787" s="15" t="n"/>
      <c r="M787" s="14" t="n"/>
      <c r="N787" s="17" t="n"/>
      <c r="O787" s="17" t="n"/>
      <c r="P787" s="18" t="n"/>
      <c r="Q787" s="11">
        <f>IF($A787="","",IF($H787="Stock",IF($I787="Buy",-$M787*$N787-$P787,IF($I787="Sell",IF($N787="", $M787*$O787-$P787,($O787-$N787)*$M787-$P787),"")),IF($I787="Sell",($N787-IF($O787="",0,$O787))*$M787*100-$P787,IF($I787="Buy",(IF($O787="",0,$O787)-$N787)*$M787*100-$P787,""))))</f>
        <v/>
      </c>
      <c r="R787" s="11">
        <f>IF($A787="","",IF($C787="Open","",$Q787))</f>
        <v/>
      </c>
      <c r="S787" s="12">
        <f>IF($A787="","",IFS($B787="Covered Call","Covered Call Premium",$B787="Cash Secured Put","Cash Secured Put Premium",$B787="Long Call/Put","Long Call/Put P/L",$B787="Debit Spread","Long Call/Put P/L",$B787="Stock Sale","Stock Sales",TRUE,"Other"))</f>
        <v/>
      </c>
      <c r="T787" s="11">
        <f>IF($A787="","",IF($B787="Cash Secured Put",$K787*$M787*100,IF($B787="Covered Call",$K787*$M787*100,IF($H787="Stock",$M787*$N787,""))))</f>
        <v/>
      </c>
      <c r="U787" s="19">
        <f>IF(OR($A787="",$C787&lt;&gt;"Closed",$D787="",$E787="",$T787=0),"",$R787/$T787*365/MAX(1,$E787-$D787))</f>
        <v/>
      </c>
      <c r="V787" s="14" t="n"/>
      <c r="W787" s="12" t="n"/>
    </row>
    <row r="788">
      <c r="A788" s="12" t="n"/>
      <c r="B788" s="14" t="n"/>
      <c r="C788" s="14" t="n"/>
      <c r="D788" s="15" t="n"/>
      <c r="E788" s="15" t="n"/>
      <c r="F788" s="16">
        <f>IF($E788="","",DATE(YEAR($E788),MONTH($E788),1))</f>
        <v/>
      </c>
      <c r="G788" s="14" t="n"/>
      <c r="H788" s="14" t="n"/>
      <c r="I788" s="14" t="n"/>
      <c r="J788" s="14" t="n"/>
      <c r="K788" s="17" t="n"/>
      <c r="L788" s="15" t="n"/>
      <c r="M788" s="14" t="n"/>
      <c r="N788" s="17" t="n"/>
      <c r="O788" s="17" t="n"/>
      <c r="P788" s="18" t="n"/>
      <c r="Q788" s="11">
        <f>IF($A788="","",IF($H788="Stock",IF($I788="Buy",-$M788*$N788-$P788,IF($I788="Sell",IF($N788="", $M788*$O788-$P788,($O788-$N788)*$M788-$P788),"")),IF($I788="Sell",($N788-IF($O788="",0,$O788))*$M788*100-$P788,IF($I788="Buy",(IF($O788="",0,$O788)-$N788)*$M788*100-$P788,""))))</f>
        <v/>
      </c>
      <c r="R788" s="11">
        <f>IF($A788="","",IF($C788="Open","",$Q788))</f>
        <v/>
      </c>
      <c r="S788" s="12">
        <f>IF($A788="","",IFS($B788="Covered Call","Covered Call Premium",$B788="Cash Secured Put","Cash Secured Put Premium",$B788="Long Call/Put","Long Call/Put P/L",$B788="Debit Spread","Long Call/Put P/L",$B788="Stock Sale","Stock Sales",TRUE,"Other"))</f>
        <v/>
      </c>
      <c r="T788" s="11">
        <f>IF($A788="","",IF($B788="Cash Secured Put",$K788*$M788*100,IF($B788="Covered Call",$K788*$M788*100,IF($H788="Stock",$M788*$N788,""))))</f>
        <v/>
      </c>
      <c r="U788" s="19">
        <f>IF(OR($A788="",$C788&lt;&gt;"Closed",$D788="",$E788="",$T788=0),"",$R788/$T788*365/MAX(1,$E788-$D788))</f>
        <v/>
      </c>
      <c r="V788" s="14" t="n"/>
      <c r="W788" s="12" t="n"/>
    </row>
    <row r="789">
      <c r="A789" s="12" t="n"/>
      <c r="B789" s="14" t="n"/>
      <c r="C789" s="14" t="n"/>
      <c r="D789" s="15" t="n"/>
      <c r="E789" s="15" t="n"/>
      <c r="F789" s="16">
        <f>IF($E789="","",DATE(YEAR($E789),MONTH($E789),1))</f>
        <v/>
      </c>
      <c r="G789" s="14" t="n"/>
      <c r="H789" s="14" t="n"/>
      <c r="I789" s="14" t="n"/>
      <c r="J789" s="14" t="n"/>
      <c r="K789" s="17" t="n"/>
      <c r="L789" s="15" t="n"/>
      <c r="M789" s="14" t="n"/>
      <c r="N789" s="17" t="n"/>
      <c r="O789" s="17" t="n"/>
      <c r="P789" s="18" t="n"/>
      <c r="Q789" s="11">
        <f>IF($A789="","",IF($H789="Stock",IF($I789="Buy",-$M789*$N789-$P789,IF($I789="Sell",IF($N789="", $M789*$O789-$P789,($O789-$N789)*$M789-$P789),"")),IF($I789="Sell",($N789-IF($O789="",0,$O789))*$M789*100-$P789,IF($I789="Buy",(IF($O789="",0,$O789)-$N789)*$M789*100-$P789,""))))</f>
        <v/>
      </c>
      <c r="R789" s="11">
        <f>IF($A789="","",IF($C789="Open","",$Q789))</f>
        <v/>
      </c>
      <c r="S789" s="12">
        <f>IF($A789="","",IFS($B789="Covered Call","Covered Call Premium",$B789="Cash Secured Put","Cash Secured Put Premium",$B789="Long Call/Put","Long Call/Put P/L",$B789="Debit Spread","Long Call/Put P/L",$B789="Stock Sale","Stock Sales",TRUE,"Other"))</f>
        <v/>
      </c>
      <c r="T789" s="11">
        <f>IF($A789="","",IF($B789="Cash Secured Put",$K789*$M789*100,IF($B789="Covered Call",$K789*$M789*100,IF($H789="Stock",$M789*$N789,""))))</f>
        <v/>
      </c>
      <c r="U789" s="19">
        <f>IF(OR($A789="",$C789&lt;&gt;"Closed",$D789="",$E789="",$T789=0),"",$R789/$T789*365/MAX(1,$E789-$D789))</f>
        <v/>
      </c>
      <c r="V789" s="14" t="n"/>
      <c r="W789" s="12" t="n"/>
    </row>
    <row r="790">
      <c r="A790" s="12" t="n"/>
      <c r="B790" s="14" t="n"/>
      <c r="C790" s="14" t="n"/>
      <c r="D790" s="15" t="n"/>
      <c r="E790" s="15" t="n"/>
      <c r="F790" s="16">
        <f>IF($E790="","",DATE(YEAR($E790),MONTH($E790),1))</f>
        <v/>
      </c>
      <c r="G790" s="14" t="n"/>
      <c r="H790" s="14" t="n"/>
      <c r="I790" s="14" t="n"/>
      <c r="J790" s="14" t="n"/>
      <c r="K790" s="17" t="n"/>
      <c r="L790" s="15" t="n"/>
      <c r="M790" s="14" t="n"/>
      <c r="N790" s="17" t="n"/>
      <c r="O790" s="17" t="n"/>
      <c r="P790" s="18" t="n"/>
      <c r="Q790" s="11">
        <f>IF($A790="","",IF($H790="Stock",IF($I790="Buy",-$M790*$N790-$P790,IF($I790="Sell",IF($N790="", $M790*$O790-$P790,($O790-$N790)*$M790-$P790),"")),IF($I790="Sell",($N790-IF($O790="",0,$O790))*$M790*100-$P790,IF($I790="Buy",(IF($O790="",0,$O790)-$N790)*$M790*100-$P790,""))))</f>
        <v/>
      </c>
      <c r="R790" s="11">
        <f>IF($A790="","",IF($C790="Open","",$Q790))</f>
        <v/>
      </c>
      <c r="S790" s="12">
        <f>IF($A790="","",IFS($B790="Covered Call","Covered Call Premium",$B790="Cash Secured Put","Cash Secured Put Premium",$B790="Long Call/Put","Long Call/Put P/L",$B790="Debit Spread","Long Call/Put P/L",$B790="Stock Sale","Stock Sales",TRUE,"Other"))</f>
        <v/>
      </c>
      <c r="T790" s="11">
        <f>IF($A790="","",IF($B790="Cash Secured Put",$K790*$M790*100,IF($B790="Covered Call",$K790*$M790*100,IF($H790="Stock",$M790*$N790,""))))</f>
        <v/>
      </c>
      <c r="U790" s="19">
        <f>IF(OR($A790="",$C790&lt;&gt;"Closed",$D790="",$E790="",$T790=0),"",$R790/$T790*365/MAX(1,$E790-$D790))</f>
        <v/>
      </c>
      <c r="V790" s="14" t="n"/>
      <c r="W790" s="12" t="n"/>
    </row>
    <row r="791">
      <c r="A791" s="12" t="n"/>
      <c r="B791" s="14" t="n"/>
      <c r="C791" s="14" t="n"/>
      <c r="D791" s="15" t="n"/>
      <c r="E791" s="15" t="n"/>
      <c r="F791" s="16">
        <f>IF($E791="","",DATE(YEAR($E791),MONTH($E791),1))</f>
        <v/>
      </c>
      <c r="G791" s="14" t="n"/>
      <c r="H791" s="14" t="n"/>
      <c r="I791" s="14" t="n"/>
      <c r="J791" s="14" t="n"/>
      <c r="K791" s="17" t="n"/>
      <c r="L791" s="15" t="n"/>
      <c r="M791" s="14" t="n"/>
      <c r="N791" s="17" t="n"/>
      <c r="O791" s="17" t="n"/>
      <c r="P791" s="18" t="n"/>
      <c r="Q791" s="11">
        <f>IF($A791="","",IF($H791="Stock",IF($I791="Buy",-$M791*$N791-$P791,IF($I791="Sell",IF($N791="", $M791*$O791-$P791,($O791-$N791)*$M791-$P791),"")),IF($I791="Sell",($N791-IF($O791="",0,$O791))*$M791*100-$P791,IF($I791="Buy",(IF($O791="",0,$O791)-$N791)*$M791*100-$P791,""))))</f>
        <v/>
      </c>
      <c r="R791" s="11">
        <f>IF($A791="","",IF($C791="Open","",$Q791))</f>
        <v/>
      </c>
      <c r="S791" s="12">
        <f>IF($A791="","",IFS($B791="Covered Call","Covered Call Premium",$B791="Cash Secured Put","Cash Secured Put Premium",$B791="Long Call/Put","Long Call/Put P/L",$B791="Debit Spread","Long Call/Put P/L",$B791="Stock Sale","Stock Sales",TRUE,"Other"))</f>
        <v/>
      </c>
      <c r="T791" s="11">
        <f>IF($A791="","",IF($B791="Cash Secured Put",$K791*$M791*100,IF($B791="Covered Call",$K791*$M791*100,IF($H791="Stock",$M791*$N791,""))))</f>
        <v/>
      </c>
      <c r="U791" s="19">
        <f>IF(OR($A791="",$C791&lt;&gt;"Closed",$D791="",$E791="",$T791=0),"",$R791/$T791*365/MAX(1,$E791-$D791))</f>
        <v/>
      </c>
      <c r="V791" s="14" t="n"/>
      <c r="W791" s="12" t="n"/>
    </row>
    <row r="792">
      <c r="A792" s="12" t="n"/>
      <c r="B792" s="14" t="n"/>
      <c r="C792" s="14" t="n"/>
      <c r="D792" s="15" t="n"/>
      <c r="E792" s="15" t="n"/>
      <c r="F792" s="16">
        <f>IF($E792="","",DATE(YEAR($E792),MONTH($E792),1))</f>
        <v/>
      </c>
      <c r="G792" s="14" t="n"/>
      <c r="H792" s="14" t="n"/>
      <c r="I792" s="14" t="n"/>
      <c r="J792" s="14" t="n"/>
      <c r="K792" s="17" t="n"/>
      <c r="L792" s="15" t="n"/>
      <c r="M792" s="14" t="n"/>
      <c r="N792" s="17" t="n"/>
      <c r="O792" s="17" t="n"/>
      <c r="P792" s="18" t="n"/>
      <c r="Q792" s="11">
        <f>IF($A792="","",IF($H792="Stock",IF($I792="Buy",-$M792*$N792-$P792,IF($I792="Sell",IF($N792="", $M792*$O792-$P792,($O792-$N792)*$M792-$P792),"")),IF($I792="Sell",($N792-IF($O792="",0,$O792))*$M792*100-$P792,IF($I792="Buy",(IF($O792="",0,$O792)-$N792)*$M792*100-$P792,""))))</f>
        <v/>
      </c>
      <c r="R792" s="11">
        <f>IF($A792="","",IF($C792="Open","",$Q792))</f>
        <v/>
      </c>
      <c r="S792" s="12">
        <f>IF($A792="","",IFS($B792="Covered Call","Covered Call Premium",$B792="Cash Secured Put","Cash Secured Put Premium",$B792="Long Call/Put","Long Call/Put P/L",$B792="Debit Spread","Long Call/Put P/L",$B792="Stock Sale","Stock Sales",TRUE,"Other"))</f>
        <v/>
      </c>
      <c r="T792" s="11">
        <f>IF($A792="","",IF($B792="Cash Secured Put",$K792*$M792*100,IF($B792="Covered Call",$K792*$M792*100,IF($H792="Stock",$M792*$N792,""))))</f>
        <v/>
      </c>
      <c r="U792" s="19">
        <f>IF(OR($A792="",$C792&lt;&gt;"Closed",$D792="",$E792="",$T792=0),"",$R792/$T792*365/MAX(1,$E792-$D792))</f>
        <v/>
      </c>
      <c r="V792" s="14" t="n"/>
      <c r="W792" s="12" t="n"/>
    </row>
    <row r="793">
      <c r="A793" s="12" t="n"/>
      <c r="B793" s="14" t="n"/>
      <c r="C793" s="14" t="n"/>
      <c r="D793" s="15" t="n"/>
      <c r="E793" s="15" t="n"/>
      <c r="F793" s="16">
        <f>IF($E793="","",DATE(YEAR($E793),MONTH($E793),1))</f>
        <v/>
      </c>
      <c r="G793" s="14" t="n"/>
      <c r="H793" s="14" t="n"/>
      <c r="I793" s="14" t="n"/>
      <c r="J793" s="14" t="n"/>
      <c r="K793" s="17" t="n"/>
      <c r="L793" s="15" t="n"/>
      <c r="M793" s="14" t="n"/>
      <c r="N793" s="17" t="n"/>
      <c r="O793" s="17" t="n"/>
      <c r="P793" s="18" t="n"/>
      <c r="Q793" s="11">
        <f>IF($A793="","",IF($H793="Stock",IF($I793="Buy",-$M793*$N793-$P793,IF($I793="Sell",IF($N793="", $M793*$O793-$P793,($O793-$N793)*$M793-$P793),"")),IF($I793="Sell",($N793-IF($O793="",0,$O793))*$M793*100-$P793,IF($I793="Buy",(IF($O793="",0,$O793)-$N793)*$M793*100-$P793,""))))</f>
        <v/>
      </c>
      <c r="R793" s="11">
        <f>IF($A793="","",IF($C793="Open","",$Q793))</f>
        <v/>
      </c>
      <c r="S793" s="12">
        <f>IF($A793="","",IFS($B793="Covered Call","Covered Call Premium",$B793="Cash Secured Put","Cash Secured Put Premium",$B793="Long Call/Put","Long Call/Put P/L",$B793="Debit Spread","Long Call/Put P/L",$B793="Stock Sale","Stock Sales",TRUE,"Other"))</f>
        <v/>
      </c>
      <c r="T793" s="11">
        <f>IF($A793="","",IF($B793="Cash Secured Put",$K793*$M793*100,IF($B793="Covered Call",$K793*$M793*100,IF($H793="Stock",$M793*$N793,""))))</f>
        <v/>
      </c>
      <c r="U793" s="19">
        <f>IF(OR($A793="",$C793&lt;&gt;"Closed",$D793="",$E793="",$T793=0),"",$R793/$T793*365/MAX(1,$E793-$D793))</f>
        <v/>
      </c>
      <c r="V793" s="14" t="n"/>
      <c r="W793" s="12" t="n"/>
    </row>
    <row r="794">
      <c r="A794" s="12" t="n"/>
      <c r="B794" s="14" t="n"/>
      <c r="C794" s="14" t="n"/>
      <c r="D794" s="15" t="n"/>
      <c r="E794" s="15" t="n"/>
      <c r="F794" s="16">
        <f>IF($E794="","",DATE(YEAR($E794),MONTH($E794),1))</f>
        <v/>
      </c>
      <c r="G794" s="14" t="n"/>
      <c r="H794" s="14" t="n"/>
      <c r="I794" s="14" t="n"/>
      <c r="J794" s="14" t="n"/>
      <c r="K794" s="17" t="n"/>
      <c r="L794" s="15" t="n"/>
      <c r="M794" s="14" t="n"/>
      <c r="N794" s="17" t="n"/>
      <c r="O794" s="17" t="n"/>
      <c r="P794" s="18" t="n"/>
      <c r="Q794" s="11">
        <f>IF($A794="","",IF($H794="Stock",IF($I794="Buy",-$M794*$N794-$P794,IF($I794="Sell",IF($N794="", $M794*$O794-$P794,($O794-$N794)*$M794-$P794),"")),IF($I794="Sell",($N794-IF($O794="",0,$O794))*$M794*100-$P794,IF($I794="Buy",(IF($O794="",0,$O794)-$N794)*$M794*100-$P794,""))))</f>
        <v/>
      </c>
      <c r="R794" s="11">
        <f>IF($A794="","",IF($C794="Open","",$Q794))</f>
        <v/>
      </c>
      <c r="S794" s="12">
        <f>IF($A794="","",IFS($B794="Covered Call","Covered Call Premium",$B794="Cash Secured Put","Cash Secured Put Premium",$B794="Long Call/Put","Long Call/Put P/L",$B794="Debit Spread","Long Call/Put P/L",$B794="Stock Sale","Stock Sales",TRUE,"Other"))</f>
        <v/>
      </c>
      <c r="T794" s="11">
        <f>IF($A794="","",IF($B794="Cash Secured Put",$K794*$M794*100,IF($B794="Covered Call",$K794*$M794*100,IF($H794="Stock",$M794*$N794,""))))</f>
        <v/>
      </c>
      <c r="U794" s="19">
        <f>IF(OR($A794="",$C794&lt;&gt;"Closed",$D794="",$E794="",$T794=0),"",$R794/$T794*365/MAX(1,$E794-$D794))</f>
        <v/>
      </c>
      <c r="V794" s="14" t="n"/>
      <c r="W794" s="12" t="n"/>
    </row>
    <row r="795">
      <c r="A795" s="12" t="n"/>
      <c r="B795" s="14" t="n"/>
      <c r="C795" s="14" t="n"/>
      <c r="D795" s="15" t="n"/>
      <c r="E795" s="15" t="n"/>
      <c r="F795" s="16">
        <f>IF($E795="","",DATE(YEAR($E795),MONTH($E795),1))</f>
        <v/>
      </c>
      <c r="G795" s="14" t="n"/>
      <c r="H795" s="14" t="n"/>
      <c r="I795" s="14" t="n"/>
      <c r="J795" s="14" t="n"/>
      <c r="K795" s="17" t="n"/>
      <c r="L795" s="15" t="n"/>
      <c r="M795" s="14" t="n"/>
      <c r="N795" s="17" t="n"/>
      <c r="O795" s="17" t="n"/>
      <c r="P795" s="18" t="n"/>
      <c r="Q795" s="11">
        <f>IF($A795="","",IF($H795="Stock",IF($I795="Buy",-$M795*$N795-$P795,IF($I795="Sell",IF($N795="", $M795*$O795-$P795,($O795-$N795)*$M795-$P795),"")),IF($I795="Sell",($N795-IF($O795="",0,$O795))*$M795*100-$P795,IF($I795="Buy",(IF($O795="",0,$O795)-$N795)*$M795*100-$P795,""))))</f>
        <v/>
      </c>
      <c r="R795" s="11">
        <f>IF($A795="","",IF($C795="Open","",$Q795))</f>
        <v/>
      </c>
      <c r="S795" s="12">
        <f>IF($A795="","",IFS($B795="Covered Call","Covered Call Premium",$B795="Cash Secured Put","Cash Secured Put Premium",$B795="Long Call/Put","Long Call/Put P/L",$B795="Debit Spread","Long Call/Put P/L",$B795="Stock Sale","Stock Sales",TRUE,"Other"))</f>
        <v/>
      </c>
      <c r="T795" s="11">
        <f>IF($A795="","",IF($B795="Cash Secured Put",$K795*$M795*100,IF($B795="Covered Call",$K795*$M795*100,IF($H795="Stock",$M795*$N795,""))))</f>
        <v/>
      </c>
      <c r="U795" s="19">
        <f>IF(OR($A795="",$C795&lt;&gt;"Closed",$D795="",$E795="",$T795=0),"",$R795/$T795*365/MAX(1,$E795-$D795))</f>
        <v/>
      </c>
      <c r="V795" s="14" t="n"/>
      <c r="W795" s="12" t="n"/>
    </row>
    <row r="796">
      <c r="A796" s="12" t="n"/>
      <c r="B796" s="14" t="n"/>
      <c r="C796" s="14" t="n"/>
      <c r="D796" s="15" t="n"/>
      <c r="E796" s="15" t="n"/>
      <c r="F796" s="16">
        <f>IF($E796="","",DATE(YEAR($E796),MONTH($E796),1))</f>
        <v/>
      </c>
      <c r="G796" s="14" t="n"/>
      <c r="H796" s="14" t="n"/>
      <c r="I796" s="14" t="n"/>
      <c r="J796" s="14" t="n"/>
      <c r="K796" s="17" t="n"/>
      <c r="L796" s="15" t="n"/>
      <c r="M796" s="14" t="n"/>
      <c r="N796" s="17" t="n"/>
      <c r="O796" s="17" t="n"/>
      <c r="P796" s="18" t="n"/>
      <c r="Q796" s="11">
        <f>IF($A796="","",IF($H796="Stock",IF($I796="Buy",-$M796*$N796-$P796,IF($I796="Sell",IF($N796="", $M796*$O796-$P796,($O796-$N796)*$M796-$P796),"")),IF($I796="Sell",($N796-IF($O796="",0,$O796))*$M796*100-$P796,IF($I796="Buy",(IF($O796="",0,$O796)-$N796)*$M796*100-$P796,""))))</f>
        <v/>
      </c>
      <c r="R796" s="11">
        <f>IF($A796="","",IF($C796="Open","",$Q796))</f>
        <v/>
      </c>
      <c r="S796" s="12">
        <f>IF($A796="","",IFS($B796="Covered Call","Covered Call Premium",$B796="Cash Secured Put","Cash Secured Put Premium",$B796="Long Call/Put","Long Call/Put P/L",$B796="Debit Spread","Long Call/Put P/L",$B796="Stock Sale","Stock Sales",TRUE,"Other"))</f>
        <v/>
      </c>
      <c r="T796" s="11">
        <f>IF($A796="","",IF($B796="Cash Secured Put",$K796*$M796*100,IF($B796="Covered Call",$K796*$M796*100,IF($H796="Stock",$M796*$N796,""))))</f>
        <v/>
      </c>
      <c r="U796" s="19">
        <f>IF(OR($A796="",$C796&lt;&gt;"Closed",$D796="",$E796="",$T796=0),"",$R796/$T796*365/MAX(1,$E796-$D796))</f>
        <v/>
      </c>
      <c r="V796" s="14" t="n"/>
      <c r="W796" s="12" t="n"/>
    </row>
    <row r="797">
      <c r="A797" s="12" t="n"/>
      <c r="B797" s="14" t="n"/>
      <c r="C797" s="14" t="n"/>
      <c r="D797" s="15" t="n"/>
      <c r="E797" s="15" t="n"/>
      <c r="F797" s="16">
        <f>IF($E797="","",DATE(YEAR($E797),MONTH($E797),1))</f>
        <v/>
      </c>
      <c r="G797" s="14" t="n"/>
      <c r="H797" s="14" t="n"/>
      <c r="I797" s="14" t="n"/>
      <c r="J797" s="14" t="n"/>
      <c r="K797" s="17" t="n"/>
      <c r="L797" s="15" t="n"/>
      <c r="M797" s="14" t="n"/>
      <c r="N797" s="17" t="n"/>
      <c r="O797" s="17" t="n"/>
      <c r="P797" s="18" t="n"/>
      <c r="Q797" s="11">
        <f>IF($A797="","",IF($H797="Stock",IF($I797="Buy",-$M797*$N797-$P797,IF($I797="Sell",IF($N797="", $M797*$O797-$P797,($O797-$N797)*$M797-$P797),"")),IF($I797="Sell",($N797-IF($O797="",0,$O797))*$M797*100-$P797,IF($I797="Buy",(IF($O797="",0,$O797)-$N797)*$M797*100-$P797,""))))</f>
        <v/>
      </c>
      <c r="R797" s="11">
        <f>IF($A797="","",IF($C797="Open","",$Q797))</f>
        <v/>
      </c>
      <c r="S797" s="12">
        <f>IF($A797="","",IFS($B797="Covered Call","Covered Call Premium",$B797="Cash Secured Put","Cash Secured Put Premium",$B797="Long Call/Put","Long Call/Put P/L",$B797="Debit Spread","Long Call/Put P/L",$B797="Stock Sale","Stock Sales",TRUE,"Other"))</f>
        <v/>
      </c>
      <c r="T797" s="11">
        <f>IF($A797="","",IF($B797="Cash Secured Put",$K797*$M797*100,IF($B797="Covered Call",$K797*$M797*100,IF($H797="Stock",$M797*$N797,""))))</f>
        <v/>
      </c>
      <c r="U797" s="19">
        <f>IF(OR($A797="",$C797&lt;&gt;"Closed",$D797="",$E797="",$T797=0),"",$R797/$T797*365/MAX(1,$E797-$D797))</f>
        <v/>
      </c>
      <c r="V797" s="14" t="n"/>
      <c r="W797" s="12" t="n"/>
    </row>
    <row r="798">
      <c r="A798" s="12" t="n"/>
      <c r="B798" s="14" t="n"/>
      <c r="C798" s="14" t="n"/>
      <c r="D798" s="15" t="n"/>
      <c r="E798" s="15" t="n"/>
      <c r="F798" s="16">
        <f>IF($E798="","",DATE(YEAR($E798),MONTH($E798),1))</f>
        <v/>
      </c>
      <c r="G798" s="14" t="n"/>
      <c r="H798" s="14" t="n"/>
      <c r="I798" s="14" t="n"/>
      <c r="J798" s="14" t="n"/>
      <c r="K798" s="17" t="n"/>
      <c r="L798" s="15" t="n"/>
      <c r="M798" s="14" t="n"/>
      <c r="N798" s="17" t="n"/>
      <c r="O798" s="17" t="n"/>
      <c r="P798" s="18" t="n"/>
      <c r="Q798" s="11">
        <f>IF($A798="","",IF($H798="Stock",IF($I798="Buy",-$M798*$N798-$P798,IF($I798="Sell",IF($N798="", $M798*$O798-$P798,($O798-$N798)*$M798-$P798),"")),IF($I798="Sell",($N798-IF($O798="",0,$O798))*$M798*100-$P798,IF($I798="Buy",(IF($O798="",0,$O798)-$N798)*$M798*100-$P798,""))))</f>
        <v/>
      </c>
      <c r="R798" s="11">
        <f>IF($A798="","",IF($C798="Open","",$Q798))</f>
        <v/>
      </c>
      <c r="S798" s="12">
        <f>IF($A798="","",IFS($B798="Covered Call","Covered Call Premium",$B798="Cash Secured Put","Cash Secured Put Premium",$B798="Long Call/Put","Long Call/Put P/L",$B798="Debit Spread","Long Call/Put P/L",$B798="Stock Sale","Stock Sales",TRUE,"Other"))</f>
        <v/>
      </c>
      <c r="T798" s="11">
        <f>IF($A798="","",IF($B798="Cash Secured Put",$K798*$M798*100,IF($B798="Covered Call",$K798*$M798*100,IF($H798="Stock",$M798*$N798,""))))</f>
        <v/>
      </c>
      <c r="U798" s="19">
        <f>IF(OR($A798="",$C798&lt;&gt;"Closed",$D798="",$E798="",$T798=0),"",$R798/$T798*365/MAX(1,$E798-$D798))</f>
        <v/>
      </c>
      <c r="V798" s="14" t="n"/>
      <c r="W798" s="12" t="n"/>
    </row>
    <row r="799">
      <c r="A799" s="12" t="n"/>
      <c r="B799" s="14" t="n"/>
      <c r="C799" s="14" t="n"/>
      <c r="D799" s="15" t="n"/>
      <c r="E799" s="15" t="n"/>
      <c r="F799" s="16">
        <f>IF($E799="","",DATE(YEAR($E799),MONTH($E799),1))</f>
        <v/>
      </c>
      <c r="G799" s="14" t="n"/>
      <c r="H799" s="14" t="n"/>
      <c r="I799" s="14" t="n"/>
      <c r="J799" s="14" t="n"/>
      <c r="K799" s="17" t="n"/>
      <c r="L799" s="15" t="n"/>
      <c r="M799" s="14" t="n"/>
      <c r="N799" s="17" t="n"/>
      <c r="O799" s="17" t="n"/>
      <c r="P799" s="18" t="n"/>
      <c r="Q799" s="11">
        <f>IF($A799="","",IF($H799="Stock",IF($I799="Buy",-$M799*$N799-$P799,IF($I799="Sell",IF($N799="", $M799*$O799-$P799,($O799-$N799)*$M799-$P799),"")),IF($I799="Sell",($N799-IF($O799="",0,$O799))*$M799*100-$P799,IF($I799="Buy",(IF($O799="",0,$O799)-$N799)*$M799*100-$P799,""))))</f>
        <v/>
      </c>
      <c r="R799" s="11">
        <f>IF($A799="","",IF($C799="Open","",$Q799))</f>
        <v/>
      </c>
      <c r="S799" s="12">
        <f>IF($A799="","",IFS($B799="Covered Call","Covered Call Premium",$B799="Cash Secured Put","Cash Secured Put Premium",$B799="Long Call/Put","Long Call/Put P/L",$B799="Debit Spread","Long Call/Put P/L",$B799="Stock Sale","Stock Sales",TRUE,"Other"))</f>
        <v/>
      </c>
      <c r="T799" s="11">
        <f>IF($A799="","",IF($B799="Cash Secured Put",$K799*$M799*100,IF($B799="Covered Call",$K799*$M799*100,IF($H799="Stock",$M799*$N799,""))))</f>
        <v/>
      </c>
      <c r="U799" s="19">
        <f>IF(OR($A799="",$C799&lt;&gt;"Closed",$D799="",$E799="",$T799=0),"",$R799/$T799*365/MAX(1,$E799-$D799))</f>
        <v/>
      </c>
      <c r="V799" s="14" t="n"/>
      <c r="W799" s="12" t="n"/>
    </row>
    <row r="800">
      <c r="A800" s="12" t="n"/>
      <c r="B800" s="14" t="n"/>
      <c r="C800" s="14" t="n"/>
      <c r="D800" s="15" t="n"/>
      <c r="E800" s="15" t="n"/>
      <c r="F800" s="16">
        <f>IF($E800="","",DATE(YEAR($E800),MONTH($E800),1))</f>
        <v/>
      </c>
      <c r="G800" s="14" t="n"/>
      <c r="H800" s="14" t="n"/>
      <c r="I800" s="14" t="n"/>
      <c r="J800" s="14" t="n"/>
      <c r="K800" s="17" t="n"/>
      <c r="L800" s="15" t="n"/>
      <c r="M800" s="14" t="n"/>
      <c r="N800" s="17" t="n"/>
      <c r="O800" s="17" t="n"/>
      <c r="P800" s="18" t="n"/>
      <c r="Q800" s="11">
        <f>IF($A800="","",IF($H800="Stock",IF($I800="Buy",-$M800*$N800-$P800,IF($I800="Sell",IF($N800="", $M800*$O800-$P800,($O800-$N800)*$M800-$P800),"")),IF($I800="Sell",($N800-IF($O800="",0,$O800))*$M800*100-$P800,IF($I800="Buy",(IF($O800="",0,$O800)-$N800)*$M800*100-$P800,""))))</f>
        <v/>
      </c>
      <c r="R800" s="11">
        <f>IF($A800="","",IF($C800="Open","",$Q800))</f>
        <v/>
      </c>
      <c r="S800" s="12">
        <f>IF($A800="","",IFS($B800="Covered Call","Covered Call Premium",$B800="Cash Secured Put","Cash Secured Put Premium",$B800="Long Call/Put","Long Call/Put P/L",$B800="Debit Spread","Long Call/Put P/L",$B800="Stock Sale","Stock Sales",TRUE,"Other"))</f>
        <v/>
      </c>
      <c r="T800" s="11">
        <f>IF($A800="","",IF($B800="Cash Secured Put",$K800*$M800*100,IF($B800="Covered Call",$K800*$M800*100,IF($H800="Stock",$M800*$N800,""))))</f>
        <v/>
      </c>
      <c r="U800" s="19">
        <f>IF(OR($A800="",$C800&lt;&gt;"Closed",$D800="",$E800="",$T800=0),"",$R800/$T800*365/MAX(1,$E800-$D800))</f>
        <v/>
      </c>
      <c r="V800" s="14" t="n"/>
      <c r="W800" s="12" t="n"/>
    </row>
    <row r="801">
      <c r="A801" s="12" t="n"/>
      <c r="B801" s="14" t="n"/>
      <c r="C801" s="14" t="n"/>
      <c r="D801" s="15" t="n"/>
      <c r="E801" s="15" t="n"/>
      <c r="F801" s="16">
        <f>IF($E801="","",DATE(YEAR($E801),MONTH($E801),1))</f>
        <v/>
      </c>
      <c r="G801" s="14" t="n"/>
      <c r="H801" s="14" t="n"/>
      <c r="I801" s="14" t="n"/>
      <c r="J801" s="14" t="n"/>
      <c r="K801" s="17" t="n"/>
      <c r="L801" s="15" t="n"/>
      <c r="M801" s="14" t="n"/>
      <c r="N801" s="17" t="n"/>
      <c r="O801" s="17" t="n"/>
      <c r="P801" s="18" t="n"/>
      <c r="Q801" s="11">
        <f>IF($A801="","",IF($H801="Stock",IF($I801="Buy",-$M801*$N801-$P801,IF($I801="Sell",IF($N801="", $M801*$O801-$P801,($O801-$N801)*$M801-$P801),"")),IF($I801="Sell",($N801-IF($O801="",0,$O801))*$M801*100-$P801,IF($I801="Buy",(IF($O801="",0,$O801)-$N801)*$M801*100-$P801,""))))</f>
        <v/>
      </c>
      <c r="R801" s="11">
        <f>IF($A801="","",IF($C801="Open","",$Q801))</f>
        <v/>
      </c>
      <c r="S801" s="12">
        <f>IF($A801="","",IFS($B801="Covered Call","Covered Call Premium",$B801="Cash Secured Put","Cash Secured Put Premium",$B801="Long Call/Put","Long Call/Put P/L",$B801="Debit Spread","Long Call/Put P/L",$B801="Stock Sale","Stock Sales",TRUE,"Other"))</f>
        <v/>
      </c>
      <c r="T801" s="11">
        <f>IF($A801="","",IF($B801="Cash Secured Put",$K801*$M801*100,IF($B801="Covered Call",$K801*$M801*100,IF($H801="Stock",$M801*$N801,""))))</f>
        <v/>
      </c>
      <c r="U801" s="19">
        <f>IF(OR($A801="",$C801&lt;&gt;"Closed",$D801="",$E801="",$T801=0),"",$R801/$T801*365/MAX(1,$E801-$D801))</f>
        <v/>
      </c>
      <c r="V801" s="14" t="n"/>
      <c r="W801" s="12" t="n"/>
    </row>
    <row r="802">
      <c r="A802" s="12" t="n"/>
      <c r="B802" s="14" t="n"/>
      <c r="C802" s="14" t="n"/>
      <c r="D802" s="15" t="n"/>
      <c r="E802" s="15" t="n"/>
      <c r="F802" s="16">
        <f>IF($E802="","",DATE(YEAR($E802),MONTH($E802),1))</f>
        <v/>
      </c>
      <c r="G802" s="14" t="n"/>
      <c r="H802" s="14" t="n"/>
      <c r="I802" s="14" t="n"/>
      <c r="J802" s="14" t="n"/>
      <c r="K802" s="17" t="n"/>
      <c r="L802" s="15" t="n"/>
      <c r="M802" s="14" t="n"/>
      <c r="N802" s="17" t="n"/>
      <c r="O802" s="17" t="n"/>
      <c r="P802" s="18" t="n"/>
      <c r="Q802" s="11">
        <f>IF($A802="","",IF($H802="Stock",IF($I802="Buy",-$M802*$N802-$P802,IF($I802="Sell",IF($N802="", $M802*$O802-$P802,($O802-$N802)*$M802-$P802),"")),IF($I802="Sell",($N802-IF($O802="",0,$O802))*$M802*100-$P802,IF($I802="Buy",(IF($O802="",0,$O802)-$N802)*$M802*100-$P802,""))))</f>
        <v/>
      </c>
      <c r="R802" s="11">
        <f>IF($A802="","",IF($C802="Open","",$Q802))</f>
        <v/>
      </c>
      <c r="S802" s="12">
        <f>IF($A802="","",IFS($B802="Covered Call","Covered Call Premium",$B802="Cash Secured Put","Cash Secured Put Premium",$B802="Long Call/Put","Long Call/Put P/L",$B802="Debit Spread","Long Call/Put P/L",$B802="Stock Sale","Stock Sales",TRUE,"Other"))</f>
        <v/>
      </c>
      <c r="T802" s="11">
        <f>IF($A802="","",IF($B802="Cash Secured Put",$K802*$M802*100,IF($B802="Covered Call",$K802*$M802*100,IF($H802="Stock",$M802*$N802,""))))</f>
        <v/>
      </c>
      <c r="U802" s="19">
        <f>IF(OR($A802="",$C802&lt;&gt;"Closed",$D802="",$E802="",$T802=0),"",$R802/$T802*365/MAX(1,$E802-$D802))</f>
        <v/>
      </c>
      <c r="V802" s="14" t="n"/>
      <c r="W802" s="12" t="n"/>
    </row>
    <row r="803">
      <c r="A803" s="12" t="n"/>
      <c r="B803" s="14" t="n"/>
      <c r="C803" s="14" t="n"/>
      <c r="D803" s="15" t="n"/>
      <c r="E803" s="15" t="n"/>
      <c r="F803" s="16">
        <f>IF($E803="","",DATE(YEAR($E803),MONTH($E803),1))</f>
        <v/>
      </c>
      <c r="G803" s="14" t="n"/>
      <c r="H803" s="14" t="n"/>
      <c r="I803" s="14" t="n"/>
      <c r="J803" s="14" t="n"/>
      <c r="K803" s="17" t="n"/>
      <c r="L803" s="15" t="n"/>
      <c r="M803" s="14" t="n"/>
      <c r="N803" s="17" t="n"/>
      <c r="O803" s="17" t="n"/>
      <c r="P803" s="18" t="n"/>
      <c r="Q803" s="11">
        <f>IF($A803="","",IF($H803="Stock",IF($I803="Buy",-$M803*$N803-$P803,IF($I803="Sell",IF($N803="", $M803*$O803-$P803,($O803-$N803)*$M803-$P803),"")),IF($I803="Sell",($N803-IF($O803="",0,$O803))*$M803*100-$P803,IF($I803="Buy",(IF($O803="",0,$O803)-$N803)*$M803*100-$P803,""))))</f>
        <v/>
      </c>
      <c r="R803" s="11">
        <f>IF($A803="","",IF($C803="Open","",$Q803))</f>
        <v/>
      </c>
      <c r="S803" s="12">
        <f>IF($A803="","",IFS($B803="Covered Call","Covered Call Premium",$B803="Cash Secured Put","Cash Secured Put Premium",$B803="Long Call/Put","Long Call/Put P/L",$B803="Debit Spread","Long Call/Put P/L",$B803="Stock Sale","Stock Sales",TRUE,"Other"))</f>
        <v/>
      </c>
      <c r="T803" s="11">
        <f>IF($A803="","",IF($B803="Cash Secured Put",$K803*$M803*100,IF($B803="Covered Call",$K803*$M803*100,IF($H803="Stock",$M803*$N803,""))))</f>
        <v/>
      </c>
      <c r="U803" s="19">
        <f>IF(OR($A803="",$C803&lt;&gt;"Closed",$D803="",$E803="",$T803=0),"",$R803/$T803*365/MAX(1,$E803-$D803))</f>
        <v/>
      </c>
      <c r="V803" s="14" t="n"/>
      <c r="W803" s="12" t="n"/>
    </row>
    <row r="804">
      <c r="A804" s="12" t="n"/>
      <c r="B804" s="14" t="n"/>
      <c r="C804" s="14" t="n"/>
      <c r="D804" s="15" t="n"/>
      <c r="E804" s="15" t="n"/>
      <c r="F804" s="16">
        <f>IF($E804="","",DATE(YEAR($E804),MONTH($E804),1))</f>
        <v/>
      </c>
      <c r="G804" s="14" t="n"/>
      <c r="H804" s="14" t="n"/>
      <c r="I804" s="14" t="n"/>
      <c r="J804" s="14" t="n"/>
      <c r="K804" s="17" t="n"/>
      <c r="L804" s="15" t="n"/>
      <c r="M804" s="14" t="n"/>
      <c r="N804" s="17" t="n"/>
      <c r="O804" s="17" t="n"/>
      <c r="P804" s="18" t="n"/>
      <c r="Q804" s="11">
        <f>IF($A804="","",IF($H804="Stock",IF($I804="Buy",-$M804*$N804-$P804,IF($I804="Sell",IF($N804="", $M804*$O804-$P804,($O804-$N804)*$M804-$P804),"")),IF($I804="Sell",($N804-IF($O804="",0,$O804))*$M804*100-$P804,IF($I804="Buy",(IF($O804="",0,$O804)-$N804)*$M804*100-$P804,""))))</f>
        <v/>
      </c>
      <c r="R804" s="11">
        <f>IF($A804="","",IF($C804="Open","",$Q804))</f>
        <v/>
      </c>
      <c r="S804" s="12">
        <f>IF($A804="","",IFS($B804="Covered Call","Covered Call Premium",$B804="Cash Secured Put","Cash Secured Put Premium",$B804="Long Call/Put","Long Call/Put P/L",$B804="Debit Spread","Long Call/Put P/L",$B804="Stock Sale","Stock Sales",TRUE,"Other"))</f>
        <v/>
      </c>
      <c r="T804" s="11">
        <f>IF($A804="","",IF($B804="Cash Secured Put",$K804*$M804*100,IF($B804="Covered Call",$K804*$M804*100,IF($H804="Stock",$M804*$N804,""))))</f>
        <v/>
      </c>
      <c r="U804" s="19">
        <f>IF(OR($A804="",$C804&lt;&gt;"Closed",$D804="",$E804="",$T804=0),"",$R804/$T804*365/MAX(1,$E804-$D804))</f>
        <v/>
      </c>
      <c r="V804" s="14" t="n"/>
      <c r="W804" s="12" t="n"/>
    </row>
    <row r="805">
      <c r="A805" s="12" t="n"/>
      <c r="B805" s="14" t="n"/>
      <c r="C805" s="14" t="n"/>
      <c r="D805" s="15" t="n"/>
      <c r="E805" s="15" t="n"/>
      <c r="F805" s="16">
        <f>IF($E805="","",DATE(YEAR($E805),MONTH($E805),1))</f>
        <v/>
      </c>
      <c r="G805" s="14" t="n"/>
      <c r="H805" s="14" t="n"/>
      <c r="I805" s="14" t="n"/>
      <c r="J805" s="14" t="n"/>
      <c r="K805" s="17" t="n"/>
      <c r="L805" s="15" t="n"/>
      <c r="M805" s="14" t="n"/>
      <c r="N805" s="17" t="n"/>
      <c r="O805" s="17" t="n"/>
      <c r="P805" s="18" t="n"/>
      <c r="Q805" s="11">
        <f>IF($A805="","",IF($H805="Stock",IF($I805="Buy",-$M805*$N805-$P805,IF($I805="Sell",IF($N805="", $M805*$O805-$P805,($O805-$N805)*$M805-$P805),"")),IF($I805="Sell",($N805-IF($O805="",0,$O805))*$M805*100-$P805,IF($I805="Buy",(IF($O805="",0,$O805)-$N805)*$M805*100-$P805,""))))</f>
        <v/>
      </c>
      <c r="R805" s="11">
        <f>IF($A805="","",IF($C805="Open","",$Q805))</f>
        <v/>
      </c>
      <c r="S805" s="12">
        <f>IF($A805="","",IFS($B805="Covered Call","Covered Call Premium",$B805="Cash Secured Put","Cash Secured Put Premium",$B805="Long Call/Put","Long Call/Put P/L",$B805="Debit Spread","Long Call/Put P/L",$B805="Stock Sale","Stock Sales",TRUE,"Other"))</f>
        <v/>
      </c>
      <c r="T805" s="11">
        <f>IF($A805="","",IF($B805="Cash Secured Put",$K805*$M805*100,IF($B805="Covered Call",$K805*$M805*100,IF($H805="Stock",$M805*$N805,""))))</f>
        <v/>
      </c>
      <c r="U805" s="19">
        <f>IF(OR($A805="",$C805&lt;&gt;"Closed",$D805="",$E805="",$T805=0),"",$R805/$T805*365/MAX(1,$E805-$D805))</f>
        <v/>
      </c>
      <c r="V805" s="14" t="n"/>
      <c r="W805" s="12" t="n"/>
    </row>
    <row r="806">
      <c r="A806" s="12" t="n"/>
      <c r="B806" s="14" t="n"/>
      <c r="C806" s="14" t="n"/>
      <c r="D806" s="15" t="n"/>
      <c r="E806" s="15" t="n"/>
      <c r="F806" s="16">
        <f>IF($E806="","",DATE(YEAR($E806),MONTH($E806),1))</f>
        <v/>
      </c>
      <c r="G806" s="14" t="n"/>
      <c r="H806" s="14" t="n"/>
      <c r="I806" s="14" t="n"/>
      <c r="J806" s="14" t="n"/>
      <c r="K806" s="17" t="n"/>
      <c r="L806" s="15" t="n"/>
      <c r="M806" s="14" t="n"/>
      <c r="N806" s="17" t="n"/>
      <c r="O806" s="17" t="n"/>
      <c r="P806" s="18" t="n"/>
      <c r="Q806" s="11">
        <f>IF($A806="","",IF($H806="Stock",IF($I806="Buy",-$M806*$N806-$P806,IF($I806="Sell",IF($N806="", $M806*$O806-$P806,($O806-$N806)*$M806-$P806),"")),IF($I806="Sell",($N806-IF($O806="",0,$O806))*$M806*100-$P806,IF($I806="Buy",(IF($O806="",0,$O806)-$N806)*$M806*100-$P806,""))))</f>
        <v/>
      </c>
      <c r="R806" s="11">
        <f>IF($A806="","",IF($C806="Open","",$Q806))</f>
        <v/>
      </c>
      <c r="S806" s="12">
        <f>IF($A806="","",IFS($B806="Covered Call","Covered Call Premium",$B806="Cash Secured Put","Cash Secured Put Premium",$B806="Long Call/Put","Long Call/Put P/L",$B806="Debit Spread","Long Call/Put P/L",$B806="Stock Sale","Stock Sales",TRUE,"Other"))</f>
        <v/>
      </c>
      <c r="T806" s="11">
        <f>IF($A806="","",IF($B806="Cash Secured Put",$K806*$M806*100,IF($B806="Covered Call",$K806*$M806*100,IF($H806="Stock",$M806*$N806,""))))</f>
        <v/>
      </c>
      <c r="U806" s="19">
        <f>IF(OR($A806="",$C806&lt;&gt;"Closed",$D806="",$E806="",$T806=0),"",$R806/$T806*365/MAX(1,$E806-$D806))</f>
        <v/>
      </c>
      <c r="V806" s="14" t="n"/>
      <c r="W806" s="12" t="n"/>
    </row>
    <row r="807">
      <c r="A807" s="12" t="n"/>
      <c r="B807" s="14" t="n"/>
      <c r="C807" s="14" t="n"/>
      <c r="D807" s="15" t="n"/>
      <c r="E807" s="15" t="n"/>
      <c r="F807" s="16">
        <f>IF($E807="","",DATE(YEAR($E807),MONTH($E807),1))</f>
        <v/>
      </c>
      <c r="G807" s="14" t="n"/>
      <c r="H807" s="14" t="n"/>
      <c r="I807" s="14" t="n"/>
      <c r="J807" s="14" t="n"/>
      <c r="K807" s="17" t="n"/>
      <c r="L807" s="15" t="n"/>
      <c r="M807" s="14" t="n"/>
      <c r="N807" s="17" t="n"/>
      <c r="O807" s="17" t="n"/>
      <c r="P807" s="18" t="n"/>
      <c r="Q807" s="11">
        <f>IF($A807="","",IF($H807="Stock",IF($I807="Buy",-$M807*$N807-$P807,IF($I807="Sell",IF($N807="", $M807*$O807-$P807,($O807-$N807)*$M807-$P807),"")),IF($I807="Sell",($N807-IF($O807="",0,$O807))*$M807*100-$P807,IF($I807="Buy",(IF($O807="",0,$O807)-$N807)*$M807*100-$P807,""))))</f>
        <v/>
      </c>
      <c r="R807" s="11">
        <f>IF($A807="","",IF($C807="Open","",$Q807))</f>
        <v/>
      </c>
      <c r="S807" s="12">
        <f>IF($A807="","",IFS($B807="Covered Call","Covered Call Premium",$B807="Cash Secured Put","Cash Secured Put Premium",$B807="Long Call/Put","Long Call/Put P/L",$B807="Debit Spread","Long Call/Put P/L",$B807="Stock Sale","Stock Sales",TRUE,"Other"))</f>
        <v/>
      </c>
      <c r="T807" s="11">
        <f>IF($A807="","",IF($B807="Cash Secured Put",$K807*$M807*100,IF($B807="Covered Call",$K807*$M807*100,IF($H807="Stock",$M807*$N807,""))))</f>
        <v/>
      </c>
      <c r="U807" s="19">
        <f>IF(OR($A807="",$C807&lt;&gt;"Closed",$D807="",$E807="",$T807=0),"",$R807/$T807*365/MAX(1,$E807-$D807))</f>
        <v/>
      </c>
      <c r="V807" s="14" t="n"/>
      <c r="W807" s="12" t="n"/>
    </row>
    <row r="808">
      <c r="A808" s="12" t="n"/>
      <c r="B808" s="14" t="n"/>
      <c r="C808" s="14" t="n"/>
      <c r="D808" s="15" t="n"/>
      <c r="E808" s="15" t="n"/>
      <c r="F808" s="16">
        <f>IF($E808="","",DATE(YEAR($E808),MONTH($E808),1))</f>
        <v/>
      </c>
      <c r="G808" s="14" t="n"/>
      <c r="H808" s="14" t="n"/>
      <c r="I808" s="14" t="n"/>
      <c r="J808" s="14" t="n"/>
      <c r="K808" s="17" t="n"/>
      <c r="L808" s="15" t="n"/>
      <c r="M808" s="14" t="n"/>
      <c r="N808" s="17" t="n"/>
      <c r="O808" s="17" t="n"/>
      <c r="P808" s="18" t="n"/>
      <c r="Q808" s="11">
        <f>IF($A808="","",IF($H808="Stock",IF($I808="Buy",-$M808*$N808-$P808,IF($I808="Sell",IF($N808="", $M808*$O808-$P808,($O808-$N808)*$M808-$P808),"")),IF($I808="Sell",($N808-IF($O808="",0,$O808))*$M808*100-$P808,IF($I808="Buy",(IF($O808="",0,$O808)-$N808)*$M808*100-$P808,""))))</f>
        <v/>
      </c>
      <c r="R808" s="11">
        <f>IF($A808="","",IF($C808="Open","",$Q808))</f>
        <v/>
      </c>
      <c r="S808" s="12">
        <f>IF($A808="","",IFS($B808="Covered Call","Covered Call Premium",$B808="Cash Secured Put","Cash Secured Put Premium",$B808="Long Call/Put","Long Call/Put P/L",$B808="Debit Spread","Long Call/Put P/L",$B808="Stock Sale","Stock Sales",TRUE,"Other"))</f>
        <v/>
      </c>
      <c r="T808" s="11">
        <f>IF($A808="","",IF($B808="Cash Secured Put",$K808*$M808*100,IF($B808="Covered Call",$K808*$M808*100,IF($H808="Stock",$M808*$N808,""))))</f>
        <v/>
      </c>
      <c r="U808" s="19">
        <f>IF(OR($A808="",$C808&lt;&gt;"Closed",$D808="",$E808="",$T808=0),"",$R808/$T808*365/MAX(1,$E808-$D808))</f>
        <v/>
      </c>
      <c r="V808" s="14" t="n"/>
      <c r="W808" s="12" t="n"/>
    </row>
    <row r="809">
      <c r="A809" s="12" t="n"/>
      <c r="B809" s="14" t="n"/>
      <c r="C809" s="14" t="n"/>
      <c r="D809" s="15" t="n"/>
      <c r="E809" s="15" t="n"/>
      <c r="F809" s="16">
        <f>IF($E809="","",DATE(YEAR($E809),MONTH($E809),1))</f>
        <v/>
      </c>
      <c r="G809" s="14" t="n"/>
      <c r="H809" s="14" t="n"/>
      <c r="I809" s="14" t="n"/>
      <c r="J809" s="14" t="n"/>
      <c r="K809" s="17" t="n"/>
      <c r="L809" s="15" t="n"/>
      <c r="M809" s="14" t="n"/>
      <c r="N809" s="17" t="n"/>
      <c r="O809" s="17" t="n"/>
      <c r="P809" s="18" t="n"/>
      <c r="Q809" s="11">
        <f>IF($A809="","",IF($H809="Stock",IF($I809="Buy",-$M809*$N809-$P809,IF($I809="Sell",IF($N809="", $M809*$O809-$P809,($O809-$N809)*$M809-$P809),"")),IF($I809="Sell",($N809-IF($O809="",0,$O809))*$M809*100-$P809,IF($I809="Buy",(IF($O809="",0,$O809)-$N809)*$M809*100-$P809,""))))</f>
        <v/>
      </c>
      <c r="R809" s="11">
        <f>IF($A809="","",IF($C809="Open","",$Q809))</f>
        <v/>
      </c>
      <c r="S809" s="12">
        <f>IF($A809="","",IFS($B809="Covered Call","Covered Call Premium",$B809="Cash Secured Put","Cash Secured Put Premium",$B809="Long Call/Put","Long Call/Put P/L",$B809="Debit Spread","Long Call/Put P/L",$B809="Stock Sale","Stock Sales",TRUE,"Other"))</f>
        <v/>
      </c>
      <c r="T809" s="11">
        <f>IF($A809="","",IF($B809="Cash Secured Put",$K809*$M809*100,IF($B809="Covered Call",$K809*$M809*100,IF($H809="Stock",$M809*$N809,""))))</f>
        <v/>
      </c>
      <c r="U809" s="19">
        <f>IF(OR($A809="",$C809&lt;&gt;"Closed",$D809="",$E809="",$T809=0),"",$R809/$T809*365/MAX(1,$E809-$D809))</f>
        <v/>
      </c>
      <c r="V809" s="14" t="n"/>
      <c r="W809" s="12" t="n"/>
    </row>
    <row r="810">
      <c r="A810" s="12" t="n"/>
      <c r="B810" s="14" t="n"/>
      <c r="C810" s="14" t="n"/>
      <c r="D810" s="15" t="n"/>
      <c r="E810" s="15" t="n"/>
      <c r="F810" s="16">
        <f>IF($E810="","",DATE(YEAR($E810),MONTH($E810),1))</f>
        <v/>
      </c>
      <c r="G810" s="14" t="n"/>
      <c r="H810" s="14" t="n"/>
      <c r="I810" s="14" t="n"/>
      <c r="J810" s="14" t="n"/>
      <c r="K810" s="17" t="n"/>
      <c r="L810" s="15" t="n"/>
      <c r="M810" s="14" t="n"/>
      <c r="N810" s="17" t="n"/>
      <c r="O810" s="17" t="n"/>
      <c r="P810" s="18" t="n"/>
      <c r="Q810" s="11">
        <f>IF($A810="","",IF($H810="Stock",IF($I810="Buy",-$M810*$N810-$P810,IF($I810="Sell",IF($N810="", $M810*$O810-$P810,($O810-$N810)*$M810-$P810),"")),IF($I810="Sell",($N810-IF($O810="",0,$O810))*$M810*100-$P810,IF($I810="Buy",(IF($O810="",0,$O810)-$N810)*$M810*100-$P810,""))))</f>
        <v/>
      </c>
      <c r="R810" s="11">
        <f>IF($A810="","",IF($C810="Open","",$Q810))</f>
        <v/>
      </c>
      <c r="S810" s="12">
        <f>IF($A810="","",IFS($B810="Covered Call","Covered Call Premium",$B810="Cash Secured Put","Cash Secured Put Premium",$B810="Long Call/Put","Long Call/Put P/L",$B810="Debit Spread","Long Call/Put P/L",$B810="Stock Sale","Stock Sales",TRUE,"Other"))</f>
        <v/>
      </c>
      <c r="T810" s="11">
        <f>IF($A810="","",IF($B810="Cash Secured Put",$K810*$M810*100,IF($B810="Covered Call",$K810*$M810*100,IF($H810="Stock",$M810*$N810,""))))</f>
        <v/>
      </c>
      <c r="U810" s="19">
        <f>IF(OR($A810="",$C810&lt;&gt;"Closed",$D810="",$E810="",$T810=0),"",$R810/$T810*365/MAX(1,$E810-$D810))</f>
        <v/>
      </c>
      <c r="V810" s="14" t="n"/>
      <c r="W810" s="12" t="n"/>
    </row>
    <row r="811">
      <c r="A811" s="12" t="n"/>
      <c r="B811" s="14" t="n"/>
      <c r="C811" s="14" t="n"/>
      <c r="D811" s="15" t="n"/>
      <c r="E811" s="15" t="n"/>
      <c r="F811" s="16">
        <f>IF($E811="","",DATE(YEAR($E811),MONTH($E811),1))</f>
        <v/>
      </c>
      <c r="G811" s="14" t="n"/>
      <c r="H811" s="14" t="n"/>
      <c r="I811" s="14" t="n"/>
      <c r="J811" s="14" t="n"/>
      <c r="K811" s="17" t="n"/>
      <c r="L811" s="15" t="n"/>
      <c r="M811" s="14" t="n"/>
      <c r="N811" s="17" t="n"/>
      <c r="O811" s="17" t="n"/>
      <c r="P811" s="18" t="n"/>
      <c r="Q811" s="11">
        <f>IF($A811="","",IF($H811="Stock",IF($I811="Buy",-$M811*$N811-$P811,IF($I811="Sell",IF($N811="", $M811*$O811-$P811,($O811-$N811)*$M811-$P811),"")),IF($I811="Sell",($N811-IF($O811="",0,$O811))*$M811*100-$P811,IF($I811="Buy",(IF($O811="",0,$O811)-$N811)*$M811*100-$P811,""))))</f>
        <v/>
      </c>
      <c r="R811" s="11">
        <f>IF($A811="","",IF($C811="Open","",$Q811))</f>
        <v/>
      </c>
      <c r="S811" s="12">
        <f>IF($A811="","",IFS($B811="Covered Call","Covered Call Premium",$B811="Cash Secured Put","Cash Secured Put Premium",$B811="Long Call/Put","Long Call/Put P/L",$B811="Debit Spread","Long Call/Put P/L",$B811="Stock Sale","Stock Sales",TRUE,"Other"))</f>
        <v/>
      </c>
      <c r="T811" s="11">
        <f>IF($A811="","",IF($B811="Cash Secured Put",$K811*$M811*100,IF($B811="Covered Call",$K811*$M811*100,IF($H811="Stock",$M811*$N811,""))))</f>
        <v/>
      </c>
      <c r="U811" s="19">
        <f>IF(OR($A811="",$C811&lt;&gt;"Closed",$D811="",$E811="",$T811=0),"",$R811/$T811*365/MAX(1,$E811-$D811))</f>
        <v/>
      </c>
      <c r="V811" s="14" t="n"/>
      <c r="W811" s="12" t="n"/>
    </row>
    <row r="812">
      <c r="A812" s="12" t="n"/>
      <c r="B812" s="14" t="n"/>
      <c r="C812" s="14" t="n"/>
      <c r="D812" s="15" t="n"/>
      <c r="E812" s="15" t="n"/>
      <c r="F812" s="16">
        <f>IF($E812="","",DATE(YEAR($E812),MONTH($E812),1))</f>
        <v/>
      </c>
      <c r="G812" s="14" t="n"/>
      <c r="H812" s="14" t="n"/>
      <c r="I812" s="14" t="n"/>
      <c r="J812" s="14" t="n"/>
      <c r="K812" s="17" t="n"/>
      <c r="L812" s="15" t="n"/>
      <c r="M812" s="14" t="n"/>
      <c r="N812" s="17" t="n"/>
      <c r="O812" s="17" t="n"/>
      <c r="P812" s="18" t="n"/>
      <c r="Q812" s="11">
        <f>IF($A812="","",IF($H812="Stock",IF($I812="Buy",-$M812*$N812-$P812,IF($I812="Sell",IF($N812="", $M812*$O812-$P812,($O812-$N812)*$M812-$P812),"")),IF($I812="Sell",($N812-IF($O812="",0,$O812))*$M812*100-$P812,IF($I812="Buy",(IF($O812="",0,$O812)-$N812)*$M812*100-$P812,""))))</f>
        <v/>
      </c>
      <c r="R812" s="11">
        <f>IF($A812="","",IF($C812="Open","",$Q812))</f>
        <v/>
      </c>
      <c r="S812" s="12">
        <f>IF($A812="","",IFS($B812="Covered Call","Covered Call Premium",$B812="Cash Secured Put","Cash Secured Put Premium",$B812="Long Call/Put","Long Call/Put P/L",$B812="Debit Spread","Long Call/Put P/L",$B812="Stock Sale","Stock Sales",TRUE,"Other"))</f>
        <v/>
      </c>
      <c r="T812" s="11">
        <f>IF($A812="","",IF($B812="Cash Secured Put",$K812*$M812*100,IF($B812="Covered Call",$K812*$M812*100,IF($H812="Stock",$M812*$N812,""))))</f>
        <v/>
      </c>
      <c r="U812" s="19">
        <f>IF(OR($A812="",$C812&lt;&gt;"Closed",$D812="",$E812="",$T812=0),"",$R812/$T812*365/MAX(1,$E812-$D812))</f>
        <v/>
      </c>
      <c r="V812" s="14" t="n"/>
      <c r="W812" s="12" t="n"/>
    </row>
    <row r="813">
      <c r="A813" s="12" t="n"/>
      <c r="B813" s="14" t="n"/>
      <c r="C813" s="14" t="n"/>
      <c r="D813" s="15" t="n"/>
      <c r="E813" s="15" t="n"/>
      <c r="F813" s="16">
        <f>IF($E813="","",DATE(YEAR($E813),MONTH($E813),1))</f>
        <v/>
      </c>
      <c r="G813" s="14" t="n"/>
      <c r="H813" s="14" t="n"/>
      <c r="I813" s="14" t="n"/>
      <c r="J813" s="14" t="n"/>
      <c r="K813" s="17" t="n"/>
      <c r="L813" s="15" t="n"/>
      <c r="M813" s="14" t="n"/>
      <c r="N813" s="17" t="n"/>
      <c r="O813" s="17" t="n"/>
      <c r="P813" s="18" t="n"/>
      <c r="Q813" s="11">
        <f>IF($A813="","",IF($H813="Stock",IF($I813="Buy",-$M813*$N813-$P813,IF($I813="Sell",IF($N813="", $M813*$O813-$P813,($O813-$N813)*$M813-$P813),"")),IF($I813="Sell",($N813-IF($O813="",0,$O813))*$M813*100-$P813,IF($I813="Buy",(IF($O813="",0,$O813)-$N813)*$M813*100-$P813,""))))</f>
        <v/>
      </c>
      <c r="R813" s="11">
        <f>IF($A813="","",IF($C813="Open","",$Q813))</f>
        <v/>
      </c>
      <c r="S813" s="12">
        <f>IF($A813="","",IFS($B813="Covered Call","Covered Call Premium",$B813="Cash Secured Put","Cash Secured Put Premium",$B813="Long Call/Put","Long Call/Put P/L",$B813="Debit Spread","Long Call/Put P/L",$B813="Stock Sale","Stock Sales",TRUE,"Other"))</f>
        <v/>
      </c>
      <c r="T813" s="11">
        <f>IF($A813="","",IF($B813="Cash Secured Put",$K813*$M813*100,IF($B813="Covered Call",$K813*$M813*100,IF($H813="Stock",$M813*$N813,""))))</f>
        <v/>
      </c>
      <c r="U813" s="19">
        <f>IF(OR($A813="",$C813&lt;&gt;"Closed",$D813="",$E813="",$T813=0),"",$R813/$T813*365/MAX(1,$E813-$D813))</f>
        <v/>
      </c>
      <c r="V813" s="14" t="n"/>
      <c r="W813" s="12" t="n"/>
    </row>
    <row r="814">
      <c r="A814" s="12" t="n"/>
      <c r="B814" s="14" t="n"/>
      <c r="C814" s="14" t="n"/>
      <c r="D814" s="15" t="n"/>
      <c r="E814" s="15" t="n"/>
      <c r="F814" s="16">
        <f>IF($E814="","",DATE(YEAR($E814),MONTH($E814),1))</f>
        <v/>
      </c>
      <c r="G814" s="14" t="n"/>
      <c r="H814" s="14" t="n"/>
      <c r="I814" s="14" t="n"/>
      <c r="J814" s="14" t="n"/>
      <c r="K814" s="17" t="n"/>
      <c r="L814" s="15" t="n"/>
      <c r="M814" s="14" t="n"/>
      <c r="N814" s="17" t="n"/>
      <c r="O814" s="17" t="n"/>
      <c r="P814" s="18" t="n"/>
      <c r="Q814" s="11">
        <f>IF($A814="","",IF($H814="Stock",IF($I814="Buy",-$M814*$N814-$P814,IF($I814="Sell",IF($N814="", $M814*$O814-$P814,($O814-$N814)*$M814-$P814),"")),IF($I814="Sell",($N814-IF($O814="",0,$O814))*$M814*100-$P814,IF($I814="Buy",(IF($O814="",0,$O814)-$N814)*$M814*100-$P814,""))))</f>
        <v/>
      </c>
      <c r="R814" s="11">
        <f>IF($A814="","",IF($C814="Open","",$Q814))</f>
        <v/>
      </c>
      <c r="S814" s="12">
        <f>IF($A814="","",IFS($B814="Covered Call","Covered Call Premium",$B814="Cash Secured Put","Cash Secured Put Premium",$B814="Long Call/Put","Long Call/Put P/L",$B814="Debit Spread","Long Call/Put P/L",$B814="Stock Sale","Stock Sales",TRUE,"Other"))</f>
        <v/>
      </c>
      <c r="T814" s="11">
        <f>IF($A814="","",IF($B814="Cash Secured Put",$K814*$M814*100,IF($B814="Covered Call",$K814*$M814*100,IF($H814="Stock",$M814*$N814,""))))</f>
        <v/>
      </c>
      <c r="U814" s="19">
        <f>IF(OR($A814="",$C814&lt;&gt;"Closed",$D814="",$E814="",$T814=0),"",$R814/$T814*365/MAX(1,$E814-$D814))</f>
        <v/>
      </c>
      <c r="V814" s="14" t="n"/>
      <c r="W814" s="12" t="n"/>
    </row>
    <row r="815">
      <c r="A815" s="12" t="n"/>
      <c r="B815" s="14" t="n"/>
      <c r="C815" s="14" t="n"/>
      <c r="D815" s="15" t="n"/>
      <c r="E815" s="15" t="n"/>
      <c r="F815" s="16">
        <f>IF($E815="","",DATE(YEAR($E815),MONTH($E815),1))</f>
        <v/>
      </c>
      <c r="G815" s="14" t="n"/>
      <c r="H815" s="14" t="n"/>
      <c r="I815" s="14" t="n"/>
      <c r="J815" s="14" t="n"/>
      <c r="K815" s="17" t="n"/>
      <c r="L815" s="15" t="n"/>
      <c r="M815" s="14" t="n"/>
      <c r="N815" s="17" t="n"/>
      <c r="O815" s="17" t="n"/>
      <c r="P815" s="18" t="n"/>
      <c r="Q815" s="11">
        <f>IF($A815="","",IF($H815="Stock",IF($I815="Buy",-$M815*$N815-$P815,IF($I815="Sell",IF($N815="", $M815*$O815-$P815,($O815-$N815)*$M815-$P815),"")),IF($I815="Sell",($N815-IF($O815="",0,$O815))*$M815*100-$P815,IF($I815="Buy",(IF($O815="",0,$O815)-$N815)*$M815*100-$P815,""))))</f>
        <v/>
      </c>
      <c r="R815" s="11">
        <f>IF($A815="","",IF($C815="Open","",$Q815))</f>
        <v/>
      </c>
      <c r="S815" s="12">
        <f>IF($A815="","",IFS($B815="Covered Call","Covered Call Premium",$B815="Cash Secured Put","Cash Secured Put Premium",$B815="Long Call/Put","Long Call/Put P/L",$B815="Debit Spread","Long Call/Put P/L",$B815="Stock Sale","Stock Sales",TRUE,"Other"))</f>
        <v/>
      </c>
      <c r="T815" s="11">
        <f>IF($A815="","",IF($B815="Cash Secured Put",$K815*$M815*100,IF($B815="Covered Call",$K815*$M815*100,IF($H815="Stock",$M815*$N815,""))))</f>
        <v/>
      </c>
      <c r="U815" s="19">
        <f>IF(OR($A815="",$C815&lt;&gt;"Closed",$D815="",$E815="",$T815=0),"",$R815/$T815*365/MAX(1,$E815-$D815))</f>
        <v/>
      </c>
      <c r="V815" s="14" t="n"/>
      <c r="W815" s="12" t="n"/>
    </row>
    <row r="816">
      <c r="A816" s="12" t="n"/>
      <c r="B816" s="14" t="n"/>
      <c r="C816" s="14" t="n"/>
      <c r="D816" s="15" t="n"/>
      <c r="E816" s="15" t="n"/>
      <c r="F816" s="16">
        <f>IF($E816="","",DATE(YEAR($E816),MONTH($E816),1))</f>
        <v/>
      </c>
      <c r="G816" s="14" t="n"/>
      <c r="H816" s="14" t="n"/>
      <c r="I816" s="14" t="n"/>
      <c r="J816" s="14" t="n"/>
      <c r="K816" s="17" t="n"/>
      <c r="L816" s="15" t="n"/>
      <c r="M816" s="14" t="n"/>
      <c r="N816" s="17" t="n"/>
      <c r="O816" s="17" t="n"/>
      <c r="P816" s="18" t="n"/>
      <c r="Q816" s="11">
        <f>IF($A816="","",IF($H816="Stock",IF($I816="Buy",-$M816*$N816-$P816,IF($I816="Sell",IF($N816="", $M816*$O816-$P816,($O816-$N816)*$M816-$P816),"")),IF($I816="Sell",($N816-IF($O816="",0,$O816))*$M816*100-$P816,IF($I816="Buy",(IF($O816="",0,$O816)-$N816)*$M816*100-$P816,""))))</f>
        <v/>
      </c>
      <c r="R816" s="11">
        <f>IF($A816="","",IF($C816="Open","",$Q816))</f>
        <v/>
      </c>
      <c r="S816" s="12">
        <f>IF($A816="","",IFS($B816="Covered Call","Covered Call Premium",$B816="Cash Secured Put","Cash Secured Put Premium",$B816="Long Call/Put","Long Call/Put P/L",$B816="Debit Spread","Long Call/Put P/L",$B816="Stock Sale","Stock Sales",TRUE,"Other"))</f>
        <v/>
      </c>
      <c r="T816" s="11">
        <f>IF($A816="","",IF($B816="Cash Secured Put",$K816*$M816*100,IF($B816="Covered Call",$K816*$M816*100,IF($H816="Stock",$M816*$N816,""))))</f>
        <v/>
      </c>
      <c r="U816" s="19">
        <f>IF(OR($A816="",$C816&lt;&gt;"Closed",$D816="",$E816="",$T816=0),"",$R816/$T816*365/MAX(1,$E816-$D816))</f>
        <v/>
      </c>
      <c r="V816" s="14" t="n"/>
      <c r="W816" s="12" t="n"/>
    </row>
    <row r="817">
      <c r="A817" s="12" t="n"/>
      <c r="B817" s="14" t="n"/>
      <c r="C817" s="14" t="n"/>
      <c r="D817" s="15" t="n"/>
      <c r="E817" s="15" t="n"/>
      <c r="F817" s="16">
        <f>IF($E817="","",DATE(YEAR($E817),MONTH($E817),1))</f>
        <v/>
      </c>
      <c r="G817" s="14" t="n"/>
      <c r="H817" s="14" t="n"/>
      <c r="I817" s="14" t="n"/>
      <c r="J817" s="14" t="n"/>
      <c r="K817" s="17" t="n"/>
      <c r="L817" s="15" t="n"/>
      <c r="M817" s="14" t="n"/>
      <c r="N817" s="17" t="n"/>
      <c r="O817" s="17" t="n"/>
      <c r="P817" s="18" t="n"/>
      <c r="Q817" s="11">
        <f>IF($A817="","",IF($H817="Stock",IF($I817="Buy",-$M817*$N817-$P817,IF($I817="Sell",IF($N817="", $M817*$O817-$P817,($O817-$N817)*$M817-$P817),"")),IF($I817="Sell",($N817-IF($O817="",0,$O817))*$M817*100-$P817,IF($I817="Buy",(IF($O817="",0,$O817)-$N817)*$M817*100-$P817,""))))</f>
        <v/>
      </c>
      <c r="R817" s="11">
        <f>IF($A817="","",IF($C817="Open","",$Q817))</f>
        <v/>
      </c>
      <c r="S817" s="12">
        <f>IF($A817="","",IFS($B817="Covered Call","Covered Call Premium",$B817="Cash Secured Put","Cash Secured Put Premium",$B817="Long Call/Put","Long Call/Put P/L",$B817="Debit Spread","Long Call/Put P/L",$B817="Stock Sale","Stock Sales",TRUE,"Other"))</f>
        <v/>
      </c>
      <c r="T817" s="11">
        <f>IF($A817="","",IF($B817="Cash Secured Put",$K817*$M817*100,IF($B817="Covered Call",$K817*$M817*100,IF($H817="Stock",$M817*$N817,""))))</f>
        <v/>
      </c>
      <c r="U817" s="19">
        <f>IF(OR($A817="",$C817&lt;&gt;"Closed",$D817="",$E817="",$T817=0),"",$R817/$T817*365/MAX(1,$E817-$D817))</f>
        <v/>
      </c>
      <c r="V817" s="14" t="n"/>
      <c r="W817" s="12" t="n"/>
    </row>
    <row r="818">
      <c r="A818" s="12" t="n"/>
      <c r="B818" s="14" t="n"/>
      <c r="C818" s="14" t="n"/>
      <c r="D818" s="15" t="n"/>
      <c r="E818" s="15" t="n"/>
      <c r="F818" s="16">
        <f>IF($E818="","",DATE(YEAR($E818),MONTH($E818),1))</f>
        <v/>
      </c>
      <c r="G818" s="14" t="n"/>
      <c r="H818" s="14" t="n"/>
      <c r="I818" s="14" t="n"/>
      <c r="J818" s="14" t="n"/>
      <c r="K818" s="17" t="n"/>
      <c r="L818" s="15" t="n"/>
      <c r="M818" s="14" t="n"/>
      <c r="N818" s="17" t="n"/>
      <c r="O818" s="17" t="n"/>
      <c r="P818" s="18" t="n"/>
      <c r="Q818" s="11">
        <f>IF($A818="","",IF($H818="Stock",IF($I818="Buy",-$M818*$N818-$P818,IF($I818="Sell",IF($N818="", $M818*$O818-$P818,($O818-$N818)*$M818-$P818),"")),IF($I818="Sell",($N818-IF($O818="",0,$O818))*$M818*100-$P818,IF($I818="Buy",(IF($O818="",0,$O818)-$N818)*$M818*100-$P818,""))))</f>
        <v/>
      </c>
      <c r="R818" s="11">
        <f>IF($A818="","",IF($C818="Open","",$Q818))</f>
        <v/>
      </c>
      <c r="S818" s="12">
        <f>IF($A818="","",IFS($B818="Covered Call","Covered Call Premium",$B818="Cash Secured Put","Cash Secured Put Premium",$B818="Long Call/Put","Long Call/Put P/L",$B818="Debit Spread","Long Call/Put P/L",$B818="Stock Sale","Stock Sales",TRUE,"Other"))</f>
        <v/>
      </c>
      <c r="T818" s="11">
        <f>IF($A818="","",IF($B818="Cash Secured Put",$K818*$M818*100,IF($B818="Covered Call",$K818*$M818*100,IF($H818="Stock",$M818*$N818,""))))</f>
        <v/>
      </c>
      <c r="U818" s="19">
        <f>IF(OR($A818="",$C818&lt;&gt;"Closed",$D818="",$E818="",$T818=0),"",$R818/$T818*365/MAX(1,$E818-$D818))</f>
        <v/>
      </c>
      <c r="V818" s="14" t="n"/>
      <c r="W818" s="12" t="n"/>
    </row>
    <row r="819">
      <c r="A819" s="12" t="n"/>
      <c r="B819" s="14" t="n"/>
      <c r="C819" s="14" t="n"/>
      <c r="D819" s="15" t="n"/>
      <c r="E819" s="15" t="n"/>
      <c r="F819" s="16">
        <f>IF($E819="","",DATE(YEAR($E819),MONTH($E819),1))</f>
        <v/>
      </c>
      <c r="G819" s="14" t="n"/>
      <c r="H819" s="14" t="n"/>
      <c r="I819" s="14" t="n"/>
      <c r="J819" s="14" t="n"/>
      <c r="K819" s="17" t="n"/>
      <c r="L819" s="15" t="n"/>
      <c r="M819" s="14" t="n"/>
      <c r="N819" s="17" t="n"/>
      <c r="O819" s="17" t="n"/>
      <c r="P819" s="18" t="n"/>
      <c r="Q819" s="11">
        <f>IF($A819="","",IF($H819="Stock",IF($I819="Buy",-$M819*$N819-$P819,IF($I819="Sell",IF($N819="", $M819*$O819-$P819,($O819-$N819)*$M819-$P819),"")),IF($I819="Sell",($N819-IF($O819="",0,$O819))*$M819*100-$P819,IF($I819="Buy",(IF($O819="",0,$O819)-$N819)*$M819*100-$P819,""))))</f>
        <v/>
      </c>
      <c r="R819" s="11">
        <f>IF($A819="","",IF($C819="Open","",$Q819))</f>
        <v/>
      </c>
      <c r="S819" s="12">
        <f>IF($A819="","",IFS($B819="Covered Call","Covered Call Premium",$B819="Cash Secured Put","Cash Secured Put Premium",$B819="Long Call/Put","Long Call/Put P/L",$B819="Debit Spread","Long Call/Put P/L",$B819="Stock Sale","Stock Sales",TRUE,"Other"))</f>
        <v/>
      </c>
      <c r="T819" s="11">
        <f>IF($A819="","",IF($B819="Cash Secured Put",$K819*$M819*100,IF($B819="Covered Call",$K819*$M819*100,IF($H819="Stock",$M819*$N819,""))))</f>
        <v/>
      </c>
      <c r="U819" s="19">
        <f>IF(OR($A819="",$C819&lt;&gt;"Closed",$D819="",$E819="",$T819=0),"",$R819/$T819*365/MAX(1,$E819-$D819))</f>
        <v/>
      </c>
      <c r="V819" s="14" t="n"/>
      <c r="W819" s="12" t="n"/>
    </row>
    <row r="820">
      <c r="A820" s="12" t="n"/>
      <c r="B820" s="14" t="n"/>
      <c r="C820" s="14" t="n"/>
      <c r="D820" s="15" t="n"/>
      <c r="E820" s="15" t="n"/>
      <c r="F820" s="16">
        <f>IF($E820="","",DATE(YEAR($E820),MONTH($E820),1))</f>
        <v/>
      </c>
      <c r="G820" s="14" t="n"/>
      <c r="H820" s="14" t="n"/>
      <c r="I820" s="14" t="n"/>
      <c r="J820" s="14" t="n"/>
      <c r="K820" s="17" t="n"/>
      <c r="L820" s="15" t="n"/>
      <c r="M820" s="14" t="n"/>
      <c r="N820" s="17" t="n"/>
      <c r="O820" s="17" t="n"/>
      <c r="P820" s="18" t="n"/>
      <c r="Q820" s="11">
        <f>IF($A820="","",IF($H820="Stock",IF($I820="Buy",-$M820*$N820-$P820,IF($I820="Sell",IF($N820="", $M820*$O820-$P820,($O820-$N820)*$M820-$P820),"")),IF($I820="Sell",($N820-IF($O820="",0,$O820))*$M820*100-$P820,IF($I820="Buy",(IF($O820="",0,$O820)-$N820)*$M820*100-$P820,""))))</f>
        <v/>
      </c>
      <c r="R820" s="11">
        <f>IF($A820="","",IF($C820="Open","",$Q820))</f>
        <v/>
      </c>
      <c r="S820" s="12">
        <f>IF($A820="","",IFS($B820="Covered Call","Covered Call Premium",$B820="Cash Secured Put","Cash Secured Put Premium",$B820="Long Call/Put","Long Call/Put P/L",$B820="Debit Spread","Long Call/Put P/L",$B820="Stock Sale","Stock Sales",TRUE,"Other"))</f>
        <v/>
      </c>
      <c r="T820" s="11">
        <f>IF($A820="","",IF($B820="Cash Secured Put",$K820*$M820*100,IF($B820="Covered Call",$K820*$M820*100,IF($H820="Stock",$M820*$N820,""))))</f>
        <v/>
      </c>
      <c r="U820" s="19">
        <f>IF(OR($A820="",$C820&lt;&gt;"Closed",$D820="",$E820="",$T820=0),"",$R820/$T820*365/MAX(1,$E820-$D820))</f>
        <v/>
      </c>
      <c r="V820" s="14" t="n"/>
      <c r="W820" s="12" t="n"/>
    </row>
    <row r="821">
      <c r="A821" s="12" t="n"/>
      <c r="B821" s="14" t="n"/>
      <c r="C821" s="14" t="n"/>
      <c r="D821" s="15" t="n"/>
      <c r="E821" s="15" t="n"/>
      <c r="F821" s="16">
        <f>IF($E821="","",DATE(YEAR($E821),MONTH($E821),1))</f>
        <v/>
      </c>
      <c r="G821" s="14" t="n"/>
      <c r="H821" s="14" t="n"/>
      <c r="I821" s="14" t="n"/>
      <c r="J821" s="14" t="n"/>
      <c r="K821" s="17" t="n"/>
      <c r="L821" s="15" t="n"/>
      <c r="M821" s="14" t="n"/>
      <c r="N821" s="17" t="n"/>
      <c r="O821" s="17" t="n"/>
      <c r="P821" s="18" t="n"/>
      <c r="Q821" s="11">
        <f>IF($A821="","",IF($H821="Stock",IF($I821="Buy",-$M821*$N821-$P821,IF($I821="Sell",IF($N821="", $M821*$O821-$P821,($O821-$N821)*$M821-$P821),"")),IF($I821="Sell",($N821-IF($O821="",0,$O821))*$M821*100-$P821,IF($I821="Buy",(IF($O821="",0,$O821)-$N821)*$M821*100-$P821,""))))</f>
        <v/>
      </c>
      <c r="R821" s="11">
        <f>IF($A821="","",IF($C821="Open","",$Q821))</f>
        <v/>
      </c>
      <c r="S821" s="12">
        <f>IF($A821="","",IFS($B821="Covered Call","Covered Call Premium",$B821="Cash Secured Put","Cash Secured Put Premium",$B821="Long Call/Put","Long Call/Put P/L",$B821="Debit Spread","Long Call/Put P/L",$B821="Stock Sale","Stock Sales",TRUE,"Other"))</f>
        <v/>
      </c>
      <c r="T821" s="11">
        <f>IF($A821="","",IF($B821="Cash Secured Put",$K821*$M821*100,IF($B821="Covered Call",$K821*$M821*100,IF($H821="Stock",$M821*$N821,""))))</f>
        <v/>
      </c>
      <c r="U821" s="19">
        <f>IF(OR($A821="",$C821&lt;&gt;"Closed",$D821="",$E821="",$T821=0),"",$R821/$T821*365/MAX(1,$E821-$D821))</f>
        <v/>
      </c>
      <c r="V821" s="14" t="n"/>
      <c r="W821" s="12" t="n"/>
    </row>
    <row r="822">
      <c r="A822" s="12" t="n"/>
      <c r="B822" s="14" t="n"/>
      <c r="C822" s="14" t="n"/>
      <c r="D822" s="15" t="n"/>
      <c r="E822" s="15" t="n"/>
      <c r="F822" s="16">
        <f>IF($E822="","",DATE(YEAR($E822),MONTH($E822),1))</f>
        <v/>
      </c>
      <c r="G822" s="14" t="n"/>
      <c r="H822" s="14" t="n"/>
      <c r="I822" s="14" t="n"/>
      <c r="J822" s="14" t="n"/>
      <c r="K822" s="17" t="n"/>
      <c r="L822" s="15" t="n"/>
      <c r="M822" s="14" t="n"/>
      <c r="N822" s="17" t="n"/>
      <c r="O822" s="17" t="n"/>
      <c r="P822" s="18" t="n"/>
      <c r="Q822" s="11">
        <f>IF($A822="","",IF($H822="Stock",IF($I822="Buy",-$M822*$N822-$P822,IF($I822="Sell",IF($N822="", $M822*$O822-$P822,($O822-$N822)*$M822-$P822),"")),IF($I822="Sell",($N822-IF($O822="",0,$O822))*$M822*100-$P822,IF($I822="Buy",(IF($O822="",0,$O822)-$N822)*$M822*100-$P822,""))))</f>
        <v/>
      </c>
      <c r="R822" s="11">
        <f>IF($A822="","",IF($C822="Open","",$Q822))</f>
        <v/>
      </c>
      <c r="S822" s="12">
        <f>IF($A822="","",IFS($B822="Covered Call","Covered Call Premium",$B822="Cash Secured Put","Cash Secured Put Premium",$B822="Long Call/Put","Long Call/Put P/L",$B822="Debit Spread","Long Call/Put P/L",$B822="Stock Sale","Stock Sales",TRUE,"Other"))</f>
        <v/>
      </c>
      <c r="T822" s="11">
        <f>IF($A822="","",IF($B822="Cash Secured Put",$K822*$M822*100,IF($B822="Covered Call",$K822*$M822*100,IF($H822="Stock",$M822*$N822,""))))</f>
        <v/>
      </c>
      <c r="U822" s="19">
        <f>IF(OR($A822="",$C822&lt;&gt;"Closed",$D822="",$E822="",$T822=0),"",$R822/$T822*365/MAX(1,$E822-$D822))</f>
        <v/>
      </c>
      <c r="V822" s="14" t="n"/>
      <c r="W822" s="12" t="n"/>
    </row>
    <row r="823">
      <c r="A823" s="12" t="n"/>
      <c r="B823" s="14" t="n"/>
      <c r="C823" s="14" t="n"/>
      <c r="D823" s="15" t="n"/>
      <c r="E823" s="15" t="n"/>
      <c r="F823" s="16">
        <f>IF($E823="","",DATE(YEAR($E823),MONTH($E823),1))</f>
        <v/>
      </c>
      <c r="G823" s="14" t="n"/>
      <c r="H823" s="14" t="n"/>
      <c r="I823" s="14" t="n"/>
      <c r="J823" s="14" t="n"/>
      <c r="K823" s="17" t="n"/>
      <c r="L823" s="15" t="n"/>
      <c r="M823" s="14" t="n"/>
      <c r="N823" s="17" t="n"/>
      <c r="O823" s="17" t="n"/>
      <c r="P823" s="18" t="n"/>
      <c r="Q823" s="11">
        <f>IF($A823="","",IF($H823="Stock",IF($I823="Buy",-$M823*$N823-$P823,IF($I823="Sell",IF($N823="", $M823*$O823-$P823,($O823-$N823)*$M823-$P823),"")),IF($I823="Sell",($N823-IF($O823="",0,$O823))*$M823*100-$P823,IF($I823="Buy",(IF($O823="",0,$O823)-$N823)*$M823*100-$P823,""))))</f>
        <v/>
      </c>
      <c r="R823" s="11">
        <f>IF($A823="","",IF($C823="Open","",$Q823))</f>
        <v/>
      </c>
      <c r="S823" s="12">
        <f>IF($A823="","",IFS($B823="Covered Call","Covered Call Premium",$B823="Cash Secured Put","Cash Secured Put Premium",$B823="Long Call/Put","Long Call/Put P/L",$B823="Debit Spread","Long Call/Put P/L",$B823="Stock Sale","Stock Sales",TRUE,"Other"))</f>
        <v/>
      </c>
      <c r="T823" s="11">
        <f>IF($A823="","",IF($B823="Cash Secured Put",$K823*$M823*100,IF($B823="Covered Call",$K823*$M823*100,IF($H823="Stock",$M823*$N823,""))))</f>
        <v/>
      </c>
      <c r="U823" s="19">
        <f>IF(OR($A823="",$C823&lt;&gt;"Closed",$D823="",$E823="",$T823=0),"",$R823/$T823*365/MAX(1,$E823-$D823))</f>
        <v/>
      </c>
      <c r="V823" s="14" t="n"/>
      <c r="W823" s="12" t="n"/>
    </row>
    <row r="824">
      <c r="A824" s="12" t="n"/>
      <c r="B824" s="14" t="n"/>
      <c r="C824" s="14" t="n"/>
      <c r="D824" s="15" t="n"/>
      <c r="E824" s="15" t="n"/>
      <c r="F824" s="16">
        <f>IF($E824="","",DATE(YEAR($E824),MONTH($E824),1))</f>
        <v/>
      </c>
      <c r="G824" s="14" t="n"/>
      <c r="H824" s="14" t="n"/>
      <c r="I824" s="14" t="n"/>
      <c r="J824" s="14" t="n"/>
      <c r="K824" s="17" t="n"/>
      <c r="L824" s="15" t="n"/>
      <c r="M824" s="14" t="n"/>
      <c r="N824" s="17" t="n"/>
      <c r="O824" s="17" t="n"/>
      <c r="P824" s="18" t="n"/>
      <c r="Q824" s="11">
        <f>IF($A824="","",IF($H824="Stock",IF($I824="Buy",-$M824*$N824-$P824,IF($I824="Sell",IF($N824="", $M824*$O824-$P824,($O824-$N824)*$M824-$P824),"")),IF($I824="Sell",($N824-IF($O824="",0,$O824))*$M824*100-$P824,IF($I824="Buy",(IF($O824="",0,$O824)-$N824)*$M824*100-$P824,""))))</f>
        <v/>
      </c>
      <c r="R824" s="11">
        <f>IF($A824="","",IF($C824="Open","",$Q824))</f>
        <v/>
      </c>
      <c r="S824" s="12">
        <f>IF($A824="","",IFS($B824="Covered Call","Covered Call Premium",$B824="Cash Secured Put","Cash Secured Put Premium",$B824="Long Call/Put","Long Call/Put P/L",$B824="Debit Spread","Long Call/Put P/L",$B824="Stock Sale","Stock Sales",TRUE,"Other"))</f>
        <v/>
      </c>
      <c r="T824" s="11">
        <f>IF($A824="","",IF($B824="Cash Secured Put",$K824*$M824*100,IF($B824="Covered Call",$K824*$M824*100,IF($H824="Stock",$M824*$N824,""))))</f>
        <v/>
      </c>
      <c r="U824" s="19">
        <f>IF(OR($A824="",$C824&lt;&gt;"Closed",$D824="",$E824="",$T824=0),"",$R824/$T824*365/MAX(1,$E824-$D824))</f>
        <v/>
      </c>
      <c r="V824" s="14" t="n"/>
      <c r="W824" s="12" t="n"/>
    </row>
    <row r="825">
      <c r="A825" s="12" t="n"/>
      <c r="B825" s="14" t="n"/>
      <c r="C825" s="14" t="n"/>
      <c r="D825" s="15" t="n"/>
      <c r="E825" s="15" t="n"/>
      <c r="F825" s="16">
        <f>IF($E825="","",DATE(YEAR($E825),MONTH($E825),1))</f>
        <v/>
      </c>
      <c r="G825" s="14" t="n"/>
      <c r="H825" s="14" t="n"/>
      <c r="I825" s="14" t="n"/>
      <c r="J825" s="14" t="n"/>
      <c r="K825" s="17" t="n"/>
      <c r="L825" s="15" t="n"/>
      <c r="M825" s="14" t="n"/>
      <c r="N825" s="17" t="n"/>
      <c r="O825" s="17" t="n"/>
      <c r="P825" s="18" t="n"/>
      <c r="Q825" s="11">
        <f>IF($A825="","",IF($H825="Stock",IF($I825="Buy",-$M825*$N825-$P825,IF($I825="Sell",IF($N825="", $M825*$O825-$P825,($O825-$N825)*$M825-$P825),"")),IF($I825="Sell",($N825-IF($O825="",0,$O825))*$M825*100-$P825,IF($I825="Buy",(IF($O825="",0,$O825)-$N825)*$M825*100-$P825,""))))</f>
        <v/>
      </c>
      <c r="R825" s="11">
        <f>IF($A825="","",IF($C825="Open","",$Q825))</f>
        <v/>
      </c>
      <c r="S825" s="12">
        <f>IF($A825="","",IFS($B825="Covered Call","Covered Call Premium",$B825="Cash Secured Put","Cash Secured Put Premium",$B825="Long Call/Put","Long Call/Put P/L",$B825="Debit Spread","Long Call/Put P/L",$B825="Stock Sale","Stock Sales",TRUE,"Other"))</f>
        <v/>
      </c>
      <c r="T825" s="11">
        <f>IF($A825="","",IF($B825="Cash Secured Put",$K825*$M825*100,IF($B825="Covered Call",$K825*$M825*100,IF($H825="Stock",$M825*$N825,""))))</f>
        <v/>
      </c>
      <c r="U825" s="19">
        <f>IF(OR($A825="",$C825&lt;&gt;"Closed",$D825="",$E825="",$T825=0),"",$R825/$T825*365/MAX(1,$E825-$D825))</f>
        <v/>
      </c>
      <c r="V825" s="14" t="n"/>
      <c r="W825" s="12" t="n"/>
    </row>
    <row r="826">
      <c r="A826" s="12" t="n"/>
      <c r="B826" s="14" t="n"/>
      <c r="C826" s="14" t="n"/>
      <c r="D826" s="15" t="n"/>
      <c r="E826" s="15" t="n"/>
      <c r="F826" s="16">
        <f>IF($E826="","",DATE(YEAR($E826),MONTH($E826),1))</f>
        <v/>
      </c>
      <c r="G826" s="14" t="n"/>
      <c r="H826" s="14" t="n"/>
      <c r="I826" s="14" t="n"/>
      <c r="J826" s="14" t="n"/>
      <c r="K826" s="17" t="n"/>
      <c r="L826" s="15" t="n"/>
      <c r="M826" s="14" t="n"/>
      <c r="N826" s="17" t="n"/>
      <c r="O826" s="17" t="n"/>
      <c r="P826" s="18" t="n"/>
      <c r="Q826" s="11">
        <f>IF($A826="","",IF($H826="Stock",IF($I826="Buy",-$M826*$N826-$P826,IF($I826="Sell",IF($N826="", $M826*$O826-$P826,($O826-$N826)*$M826-$P826),"")),IF($I826="Sell",($N826-IF($O826="",0,$O826))*$M826*100-$P826,IF($I826="Buy",(IF($O826="",0,$O826)-$N826)*$M826*100-$P826,""))))</f>
        <v/>
      </c>
      <c r="R826" s="11">
        <f>IF($A826="","",IF($C826="Open","",$Q826))</f>
        <v/>
      </c>
      <c r="S826" s="12">
        <f>IF($A826="","",IFS($B826="Covered Call","Covered Call Premium",$B826="Cash Secured Put","Cash Secured Put Premium",$B826="Long Call/Put","Long Call/Put P/L",$B826="Debit Spread","Long Call/Put P/L",$B826="Stock Sale","Stock Sales",TRUE,"Other"))</f>
        <v/>
      </c>
      <c r="T826" s="11">
        <f>IF($A826="","",IF($B826="Cash Secured Put",$K826*$M826*100,IF($B826="Covered Call",$K826*$M826*100,IF($H826="Stock",$M826*$N826,""))))</f>
        <v/>
      </c>
      <c r="U826" s="19">
        <f>IF(OR($A826="",$C826&lt;&gt;"Closed",$D826="",$E826="",$T826=0),"",$R826/$T826*365/MAX(1,$E826-$D826))</f>
        <v/>
      </c>
      <c r="V826" s="14" t="n"/>
      <c r="W826" s="12" t="n"/>
    </row>
    <row r="827">
      <c r="A827" s="12" t="n"/>
      <c r="B827" s="14" t="n"/>
      <c r="C827" s="14" t="n"/>
      <c r="D827" s="15" t="n"/>
      <c r="E827" s="15" t="n"/>
      <c r="F827" s="16">
        <f>IF($E827="","",DATE(YEAR($E827),MONTH($E827),1))</f>
        <v/>
      </c>
      <c r="G827" s="14" t="n"/>
      <c r="H827" s="14" t="n"/>
      <c r="I827" s="14" t="n"/>
      <c r="J827" s="14" t="n"/>
      <c r="K827" s="17" t="n"/>
      <c r="L827" s="15" t="n"/>
      <c r="M827" s="14" t="n"/>
      <c r="N827" s="17" t="n"/>
      <c r="O827" s="17" t="n"/>
      <c r="P827" s="18" t="n"/>
      <c r="Q827" s="11">
        <f>IF($A827="","",IF($H827="Stock",IF($I827="Buy",-$M827*$N827-$P827,IF($I827="Sell",IF($N827="", $M827*$O827-$P827,($O827-$N827)*$M827-$P827),"")),IF($I827="Sell",($N827-IF($O827="",0,$O827))*$M827*100-$P827,IF($I827="Buy",(IF($O827="",0,$O827)-$N827)*$M827*100-$P827,""))))</f>
        <v/>
      </c>
      <c r="R827" s="11">
        <f>IF($A827="","",IF($C827="Open","",$Q827))</f>
        <v/>
      </c>
      <c r="S827" s="12">
        <f>IF($A827="","",IFS($B827="Covered Call","Covered Call Premium",$B827="Cash Secured Put","Cash Secured Put Premium",$B827="Long Call/Put","Long Call/Put P/L",$B827="Debit Spread","Long Call/Put P/L",$B827="Stock Sale","Stock Sales",TRUE,"Other"))</f>
        <v/>
      </c>
      <c r="T827" s="11">
        <f>IF($A827="","",IF($B827="Cash Secured Put",$K827*$M827*100,IF($B827="Covered Call",$K827*$M827*100,IF($H827="Stock",$M827*$N827,""))))</f>
        <v/>
      </c>
      <c r="U827" s="19">
        <f>IF(OR($A827="",$C827&lt;&gt;"Closed",$D827="",$E827="",$T827=0),"",$R827/$T827*365/MAX(1,$E827-$D827))</f>
        <v/>
      </c>
      <c r="V827" s="14" t="n"/>
      <c r="W827" s="12" t="n"/>
    </row>
    <row r="828">
      <c r="A828" s="12" t="n"/>
      <c r="B828" s="14" t="n"/>
      <c r="C828" s="14" t="n"/>
      <c r="D828" s="15" t="n"/>
      <c r="E828" s="15" t="n"/>
      <c r="F828" s="16">
        <f>IF($E828="","",DATE(YEAR($E828),MONTH($E828),1))</f>
        <v/>
      </c>
      <c r="G828" s="14" t="n"/>
      <c r="H828" s="14" t="n"/>
      <c r="I828" s="14" t="n"/>
      <c r="J828" s="14" t="n"/>
      <c r="K828" s="17" t="n"/>
      <c r="L828" s="15" t="n"/>
      <c r="M828" s="14" t="n"/>
      <c r="N828" s="17" t="n"/>
      <c r="O828" s="17" t="n"/>
      <c r="P828" s="18" t="n"/>
      <c r="Q828" s="11">
        <f>IF($A828="","",IF($H828="Stock",IF($I828="Buy",-$M828*$N828-$P828,IF($I828="Sell",IF($N828="", $M828*$O828-$P828,($O828-$N828)*$M828-$P828),"")),IF($I828="Sell",($N828-IF($O828="",0,$O828))*$M828*100-$P828,IF($I828="Buy",(IF($O828="",0,$O828)-$N828)*$M828*100-$P828,""))))</f>
        <v/>
      </c>
      <c r="R828" s="11">
        <f>IF($A828="","",IF($C828="Open","",$Q828))</f>
        <v/>
      </c>
      <c r="S828" s="12">
        <f>IF($A828="","",IFS($B828="Covered Call","Covered Call Premium",$B828="Cash Secured Put","Cash Secured Put Premium",$B828="Long Call/Put","Long Call/Put P/L",$B828="Debit Spread","Long Call/Put P/L",$B828="Stock Sale","Stock Sales",TRUE,"Other"))</f>
        <v/>
      </c>
      <c r="T828" s="11">
        <f>IF($A828="","",IF($B828="Cash Secured Put",$K828*$M828*100,IF($B828="Covered Call",$K828*$M828*100,IF($H828="Stock",$M828*$N828,""))))</f>
        <v/>
      </c>
      <c r="U828" s="19">
        <f>IF(OR($A828="",$C828&lt;&gt;"Closed",$D828="",$E828="",$T828=0),"",$R828/$T828*365/MAX(1,$E828-$D828))</f>
        <v/>
      </c>
      <c r="V828" s="14" t="n"/>
      <c r="W828" s="12" t="n"/>
    </row>
    <row r="829">
      <c r="A829" s="12" t="n"/>
      <c r="B829" s="14" t="n"/>
      <c r="C829" s="14" t="n"/>
      <c r="D829" s="15" t="n"/>
      <c r="E829" s="15" t="n"/>
      <c r="F829" s="16">
        <f>IF($E829="","",DATE(YEAR($E829),MONTH($E829),1))</f>
        <v/>
      </c>
      <c r="G829" s="14" t="n"/>
      <c r="H829" s="14" t="n"/>
      <c r="I829" s="14" t="n"/>
      <c r="J829" s="14" t="n"/>
      <c r="K829" s="17" t="n"/>
      <c r="L829" s="15" t="n"/>
      <c r="M829" s="14" t="n"/>
      <c r="N829" s="17" t="n"/>
      <c r="O829" s="17" t="n"/>
      <c r="P829" s="18" t="n"/>
      <c r="Q829" s="11">
        <f>IF($A829="","",IF($H829="Stock",IF($I829="Buy",-$M829*$N829-$P829,IF($I829="Sell",IF($N829="", $M829*$O829-$P829,($O829-$N829)*$M829-$P829),"")),IF($I829="Sell",($N829-IF($O829="",0,$O829))*$M829*100-$P829,IF($I829="Buy",(IF($O829="",0,$O829)-$N829)*$M829*100-$P829,""))))</f>
        <v/>
      </c>
      <c r="R829" s="11">
        <f>IF($A829="","",IF($C829="Open","",$Q829))</f>
        <v/>
      </c>
      <c r="S829" s="12">
        <f>IF($A829="","",IFS($B829="Covered Call","Covered Call Premium",$B829="Cash Secured Put","Cash Secured Put Premium",$B829="Long Call/Put","Long Call/Put P/L",$B829="Debit Spread","Long Call/Put P/L",$B829="Stock Sale","Stock Sales",TRUE,"Other"))</f>
        <v/>
      </c>
      <c r="T829" s="11">
        <f>IF($A829="","",IF($B829="Cash Secured Put",$K829*$M829*100,IF($B829="Covered Call",$K829*$M829*100,IF($H829="Stock",$M829*$N829,""))))</f>
        <v/>
      </c>
      <c r="U829" s="19">
        <f>IF(OR($A829="",$C829&lt;&gt;"Closed",$D829="",$E829="",$T829=0),"",$R829/$T829*365/MAX(1,$E829-$D829))</f>
        <v/>
      </c>
      <c r="V829" s="14" t="n"/>
      <c r="W829" s="12" t="n"/>
    </row>
    <row r="830">
      <c r="A830" s="12" t="n"/>
      <c r="B830" s="14" t="n"/>
      <c r="C830" s="14" t="n"/>
      <c r="D830" s="15" t="n"/>
      <c r="E830" s="15" t="n"/>
      <c r="F830" s="16">
        <f>IF($E830="","",DATE(YEAR($E830),MONTH($E830),1))</f>
        <v/>
      </c>
      <c r="G830" s="14" t="n"/>
      <c r="H830" s="14" t="n"/>
      <c r="I830" s="14" t="n"/>
      <c r="J830" s="14" t="n"/>
      <c r="K830" s="17" t="n"/>
      <c r="L830" s="15" t="n"/>
      <c r="M830" s="14" t="n"/>
      <c r="N830" s="17" t="n"/>
      <c r="O830" s="17" t="n"/>
      <c r="P830" s="18" t="n"/>
      <c r="Q830" s="11">
        <f>IF($A830="","",IF($H830="Stock",IF($I830="Buy",-$M830*$N830-$P830,IF($I830="Sell",IF($N830="", $M830*$O830-$P830,($O830-$N830)*$M830-$P830),"")),IF($I830="Sell",($N830-IF($O830="",0,$O830))*$M830*100-$P830,IF($I830="Buy",(IF($O830="",0,$O830)-$N830)*$M830*100-$P830,""))))</f>
        <v/>
      </c>
      <c r="R830" s="11">
        <f>IF($A830="","",IF($C830="Open","",$Q830))</f>
        <v/>
      </c>
      <c r="S830" s="12">
        <f>IF($A830="","",IFS($B830="Covered Call","Covered Call Premium",$B830="Cash Secured Put","Cash Secured Put Premium",$B830="Long Call/Put","Long Call/Put P/L",$B830="Debit Spread","Long Call/Put P/L",$B830="Stock Sale","Stock Sales",TRUE,"Other"))</f>
        <v/>
      </c>
      <c r="T830" s="11">
        <f>IF($A830="","",IF($B830="Cash Secured Put",$K830*$M830*100,IF($B830="Covered Call",$K830*$M830*100,IF($H830="Stock",$M830*$N830,""))))</f>
        <v/>
      </c>
      <c r="U830" s="19">
        <f>IF(OR($A830="",$C830&lt;&gt;"Closed",$D830="",$E830="",$T830=0),"",$R830/$T830*365/MAX(1,$E830-$D830))</f>
        <v/>
      </c>
      <c r="V830" s="14" t="n"/>
      <c r="W830" s="12" t="n"/>
    </row>
    <row r="831">
      <c r="A831" s="12" t="n"/>
      <c r="B831" s="14" t="n"/>
      <c r="C831" s="14" t="n"/>
      <c r="D831" s="15" t="n"/>
      <c r="E831" s="15" t="n"/>
      <c r="F831" s="16">
        <f>IF($E831="","",DATE(YEAR($E831),MONTH($E831),1))</f>
        <v/>
      </c>
      <c r="G831" s="14" t="n"/>
      <c r="H831" s="14" t="n"/>
      <c r="I831" s="14" t="n"/>
      <c r="J831" s="14" t="n"/>
      <c r="K831" s="17" t="n"/>
      <c r="L831" s="15" t="n"/>
      <c r="M831" s="14" t="n"/>
      <c r="N831" s="17" t="n"/>
      <c r="O831" s="17" t="n"/>
      <c r="P831" s="18" t="n"/>
      <c r="Q831" s="11">
        <f>IF($A831="","",IF($H831="Stock",IF($I831="Buy",-$M831*$N831-$P831,IF($I831="Sell",IF($N831="", $M831*$O831-$P831,($O831-$N831)*$M831-$P831),"")),IF($I831="Sell",($N831-IF($O831="",0,$O831))*$M831*100-$P831,IF($I831="Buy",(IF($O831="",0,$O831)-$N831)*$M831*100-$P831,""))))</f>
        <v/>
      </c>
      <c r="R831" s="11">
        <f>IF($A831="","",IF($C831="Open","",$Q831))</f>
        <v/>
      </c>
      <c r="S831" s="12">
        <f>IF($A831="","",IFS($B831="Covered Call","Covered Call Premium",$B831="Cash Secured Put","Cash Secured Put Premium",$B831="Long Call/Put","Long Call/Put P/L",$B831="Debit Spread","Long Call/Put P/L",$B831="Stock Sale","Stock Sales",TRUE,"Other"))</f>
        <v/>
      </c>
      <c r="T831" s="11">
        <f>IF($A831="","",IF($B831="Cash Secured Put",$K831*$M831*100,IF($B831="Covered Call",$K831*$M831*100,IF($H831="Stock",$M831*$N831,""))))</f>
        <v/>
      </c>
      <c r="U831" s="19">
        <f>IF(OR($A831="",$C831&lt;&gt;"Closed",$D831="",$E831="",$T831=0),"",$R831/$T831*365/MAX(1,$E831-$D831))</f>
        <v/>
      </c>
      <c r="V831" s="14" t="n"/>
      <c r="W831" s="12" t="n"/>
    </row>
    <row r="832">
      <c r="A832" s="12" t="n"/>
      <c r="B832" s="14" t="n"/>
      <c r="C832" s="14" t="n"/>
      <c r="D832" s="15" t="n"/>
      <c r="E832" s="15" t="n"/>
      <c r="F832" s="16">
        <f>IF($E832="","",DATE(YEAR($E832),MONTH($E832),1))</f>
        <v/>
      </c>
      <c r="G832" s="14" t="n"/>
      <c r="H832" s="14" t="n"/>
      <c r="I832" s="14" t="n"/>
      <c r="J832" s="14" t="n"/>
      <c r="K832" s="17" t="n"/>
      <c r="L832" s="15" t="n"/>
      <c r="M832" s="14" t="n"/>
      <c r="N832" s="17" t="n"/>
      <c r="O832" s="17" t="n"/>
      <c r="P832" s="18" t="n"/>
      <c r="Q832" s="11">
        <f>IF($A832="","",IF($H832="Stock",IF($I832="Buy",-$M832*$N832-$P832,IF($I832="Sell",IF($N832="", $M832*$O832-$P832,($O832-$N832)*$M832-$P832),"")),IF($I832="Sell",($N832-IF($O832="",0,$O832))*$M832*100-$P832,IF($I832="Buy",(IF($O832="",0,$O832)-$N832)*$M832*100-$P832,""))))</f>
        <v/>
      </c>
      <c r="R832" s="11">
        <f>IF($A832="","",IF($C832="Open","",$Q832))</f>
        <v/>
      </c>
      <c r="S832" s="12">
        <f>IF($A832="","",IFS($B832="Covered Call","Covered Call Premium",$B832="Cash Secured Put","Cash Secured Put Premium",$B832="Long Call/Put","Long Call/Put P/L",$B832="Debit Spread","Long Call/Put P/L",$B832="Stock Sale","Stock Sales",TRUE,"Other"))</f>
        <v/>
      </c>
      <c r="T832" s="11">
        <f>IF($A832="","",IF($B832="Cash Secured Put",$K832*$M832*100,IF($B832="Covered Call",$K832*$M832*100,IF($H832="Stock",$M832*$N832,""))))</f>
        <v/>
      </c>
      <c r="U832" s="19">
        <f>IF(OR($A832="",$C832&lt;&gt;"Closed",$D832="",$E832="",$T832=0),"",$R832/$T832*365/MAX(1,$E832-$D832))</f>
        <v/>
      </c>
      <c r="V832" s="14" t="n"/>
      <c r="W832" s="12" t="n"/>
    </row>
    <row r="833">
      <c r="A833" s="12" t="n"/>
      <c r="B833" s="14" t="n"/>
      <c r="C833" s="14" t="n"/>
      <c r="D833" s="15" t="n"/>
      <c r="E833" s="15" t="n"/>
      <c r="F833" s="16">
        <f>IF($E833="","",DATE(YEAR($E833),MONTH($E833),1))</f>
        <v/>
      </c>
      <c r="G833" s="14" t="n"/>
      <c r="H833" s="14" t="n"/>
      <c r="I833" s="14" t="n"/>
      <c r="J833" s="14" t="n"/>
      <c r="K833" s="17" t="n"/>
      <c r="L833" s="15" t="n"/>
      <c r="M833" s="14" t="n"/>
      <c r="N833" s="17" t="n"/>
      <c r="O833" s="17" t="n"/>
      <c r="P833" s="18" t="n"/>
      <c r="Q833" s="11">
        <f>IF($A833="","",IF($H833="Stock",IF($I833="Buy",-$M833*$N833-$P833,IF($I833="Sell",IF($N833="", $M833*$O833-$P833,($O833-$N833)*$M833-$P833),"")),IF($I833="Sell",($N833-IF($O833="",0,$O833))*$M833*100-$P833,IF($I833="Buy",(IF($O833="",0,$O833)-$N833)*$M833*100-$P833,""))))</f>
        <v/>
      </c>
      <c r="R833" s="11">
        <f>IF($A833="","",IF($C833="Open","",$Q833))</f>
        <v/>
      </c>
      <c r="S833" s="12">
        <f>IF($A833="","",IFS($B833="Covered Call","Covered Call Premium",$B833="Cash Secured Put","Cash Secured Put Premium",$B833="Long Call/Put","Long Call/Put P/L",$B833="Debit Spread","Long Call/Put P/L",$B833="Stock Sale","Stock Sales",TRUE,"Other"))</f>
        <v/>
      </c>
      <c r="T833" s="11">
        <f>IF($A833="","",IF($B833="Cash Secured Put",$K833*$M833*100,IF($B833="Covered Call",$K833*$M833*100,IF($H833="Stock",$M833*$N833,""))))</f>
        <v/>
      </c>
      <c r="U833" s="19">
        <f>IF(OR($A833="",$C833&lt;&gt;"Closed",$D833="",$E833="",$T833=0),"",$R833/$T833*365/MAX(1,$E833-$D833))</f>
        <v/>
      </c>
      <c r="V833" s="14" t="n"/>
      <c r="W833" s="12" t="n"/>
    </row>
    <row r="834">
      <c r="A834" s="12" t="n"/>
      <c r="B834" s="14" t="n"/>
      <c r="C834" s="14" t="n"/>
      <c r="D834" s="15" t="n"/>
      <c r="E834" s="15" t="n"/>
      <c r="F834" s="16">
        <f>IF($E834="","",DATE(YEAR($E834),MONTH($E834),1))</f>
        <v/>
      </c>
      <c r="G834" s="14" t="n"/>
      <c r="H834" s="14" t="n"/>
      <c r="I834" s="14" t="n"/>
      <c r="J834" s="14" t="n"/>
      <c r="K834" s="17" t="n"/>
      <c r="L834" s="15" t="n"/>
      <c r="M834" s="14" t="n"/>
      <c r="N834" s="17" t="n"/>
      <c r="O834" s="17" t="n"/>
      <c r="P834" s="18" t="n"/>
      <c r="Q834" s="11">
        <f>IF($A834="","",IF($H834="Stock",IF($I834="Buy",-$M834*$N834-$P834,IF($I834="Sell",IF($N834="", $M834*$O834-$P834,($O834-$N834)*$M834-$P834),"")),IF($I834="Sell",($N834-IF($O834="",0,$O834))*$M834*100-$P834,IF($I834="Buy",(IF($O834="",0,$O834)-$N834)*$M834*100-$P834,""))))</f>
        <v/>
      </c>
      <c r="R834" s="11">
        <f>IF($A834="","",IF($C834="Open","",$Q834))</f>
        <v/>
      </c>
      <c r="S834" s="12">
        <f>IF($A834="","",IFS($B834="Covered Call","Covered Call Premium",$B834="Cash Secured Put","Cash Secured Put Premium",$B834="Long Call/Put","Long Call/Put P/L",$B834="Debit Spread","Long Call/Put P/L",$B834="Stock Sale","Stock Sales",TRUE,"Other"))</f>
        <v/>
      </c>
      <c r="T834" s="11">
        <f>IF($A834="","",IF($B834="Cash Secured Put",$K834*$M834*100,IF($B834="Covered Call",$K834*$M834*100,IF($H834="Stock",$M834*$N834,""))))</f>
        <v/>
      </c>
      <c r="U834" s="19">
        <f>IF(OR($A834="",$C834&lt;&gt;"Closed",$D834="",$E834="",$T834=0),"",$R834/$T834*365/MAX(1,$E834-$D834))</f>
        <v/>
      </c>
      <c r="V834" s="14" t="n"/>
      <c r="W834" s="12" t="n"/>
    </row>
    <row r="835">
      <c r="A835" s="12" t="n"/>
      <c r="B835" s="14" t="n"/>
      <c r="C835" s="14" t="n"/>
      <c r="D835" s="15" t="n"/>
      <c r="E835" s="15" t="n"/>
      <c r="F835" s="16">
        <f>IF($E835="","",DATE(YEAR($E835),MONTH($E835),1))</f>
        <v/>
      </c>
      <c r="G835" s="14" t="n"/>
      <c r="H835" s="14" t="n"/>
      <c r="I835" s="14" t="n"/>
      <c r="J835" s="14" t="n"/>
      <c r="K835" s="17" t="n"/>
      <c r="L835" s="15" t="n"/>
      <c r="M835" s="14" t="n"/>
      <c r="N835" s="17" t="n"/>
      <c r="O835" s="17" t="n"/>
      <c r="P835" s="18" t="n"/>
      <c r="Q835" s="11">
        <f>IF($A835="","",IF($H835="Stock",IF($I835="Buy",-$M835*$N835-$P835,IF($I835="Sell",IF($N835="", $M835*$O835-$P835,($O835-$N835)*$M835-$P835),"")),IF($I835="Sell",($N835-IF($O835="",0,$O835))*$M835*100-$P835,IF($I835="Buy",(IF($O835="",0,$O835)-$N835)*$M835*100-$P835,""))))</f>
        <v/>
      </c>
      <c r="R835" s="11">
        <f>IF($A835="","",IF($C835="Open","",$Q835))</f>
        <v/>
      </c>
      <c r="S835" s="12">
        <f>IF($A835="","",IFS($B835="Covered Call","Covered Call Premium",$B835="Cash Secured Put","Cash Secured Put Premium",$B835="Long Call/Put","Long Call/Put P/L",$B835="Debit Spread","Long Call/Put P/L",$B835="Stock Sale","Stock Sales",TRUE,"Other"))</f>
        <v/>
      </c>
      <c r="T835" s="11">
        <f>IF($A835="","",IF($B835="Cash Secured Put",$K835*$M835*100,IF($B835="Covered Call",$K835*$M835*100,IF($H835="Stock",$M835*$N835,""))))</f>
        <v/>
      </c>
      <c r="U835" s="19">
        <f>IF(OR($A835="",$C835&lt;&gt;"Closed",$D835="",$E835="",$T835=0),"",$R835/$T835*365/MAX(1,$E835-$D835))</f>
        <v/>
      </c>
      <c r="V835" s="14" t="n"/>
      <c r="W835" s="12" t="n"/>
    </row>
    <row r="836">
      <c r="A836" s="12" t="n"/>
      <c r="B836" s="14" t="n"/>
      <c r="C836" s="14" t="n"/>
      <c r="D836" s="15" t="n"/>
      <c r="E836" s="15" t="n"/>
      <c r="F836" s="16">
        <f>IF($E836="","",DATE(YEAR($E836),MONTH($E836),1))</f>
        <v/>
      </c>
      <c r="G836" s="14" t="n"/>
      <c r="H836" s="14" t="n"/>
      <c r="I836" s="14" t="n"/>
      <c r="J836" s="14" t="n"/>
      <c r="K836" s="17" t="n"/>
      <c r="L836" s="15" t="n"/>
      <c r="M836" s="14" t="n"/>
      <c r="N836" s="17" t="n"/>
      <c r="O836" s="17" t="n"/>
      <c r="P836" s="18" t="n"/>
      <c r="Q836" s="11">
        <f>IF($A836="","",IF($H836="Stock",IF($I836="Buy",-$M836*$N836-$P836,IF($I836="Sell",IF($N836="", $M836*$O836-$P836,($O836-$N836)*$M836-$P836),"")),IF($I836="Sell",($N836-IF($O836="",0,$O836))*$M836*100-$P836,IF($I836="Buy",(IF($O836="",0,$O836)-$N836)*$M836*100-$P836,""))))</f>
        <v/>
      </c>
      <c r="R836" s="11">
        <f>IF($A836="","",IF($C836="Open","",$Q836))</f>
        <v/>
      </c>
      <c r="S836" s="12">
        <f>IF($A836="","",IFS($B836="Covered Call","Covered Call Premium",$B836="Cash Secured Put","Cash Secured Put Premium",$B836="Long Call/Put","Long Call/Put P/L",$B836="Debit Spread","Long Call/Put P/L",$B836="Stock Sale","Stock Sales",TRUE,"Other"))</f>
        <v/>
      </c>
      <c r="T836" s="11">
        <f>IF($A836="","",IF($B836="Cash Secured Put",$K836*$M836*100,IF($B836="Covered Call",$K836*$M836*100,IF($H836="Stock",$M836*$N836,""))))</f>
        <v/>
      </c>
      <c r="U836" s="19">
        <f>IF(OR($A836="",$C836&lt;&gt;"Closed",$D836="",$E836="",$T836=0),"",$R836/$T836*365/MAX(1,$E836-$D836))</f>
        <v/>
      </c>
      <c r="V836" s="14" t="n"/>
      <c r="W836" s="12" t="n"/>
    </row>
    <row r="837">
      <c r="A837" s="12" t="n"/>
      <c r="B837" s="14" t="n"/>
      <c r="C837" s="14" t="n"/>
      <c r="D837" s="15" t="n"/>
      <c r="E837" s="15" t="n"/>
      <c r="F837" s="16">
        <f>IF($E837="","",DATE(YEAR($E837),MONTH($E837),1))</f>
        <v/>
      </c>
      <c r="G837" s="14" t="n"/>
      <c r="H837" s="14" t="n"/>
      <c r="I837" s="14" t="n"/>
      <c r="J837" s="14" t="n"/>
      <c r="K837" s="17" t="n"/>
      <c r="L837" s="15" t="n"/>
      <c r="M837" s="14" t="n"/>
      <c r="N837" s="17" t="n"/>
      <c r="O837" s="17" t="n"/>
      <c r="P837" s="18" t="n"/>
      <c r="Q837" s="11">
        <f>IF($A837="","",IF($H837="Stock",IF($I837="Buy",-$M837*$N837-$P837,IF($I837="Sell",IF($N837="", $M837*$O837-$P837,($O837-$N837)*$M837-$P837),"")),IF($I837="Sell",($N837-IF($O837="",0,$O837))*$M837*100-$P837,IF($I837="Buy",(IF($O837="",0,$O837)-$N837)*$M837*100-$P837,""))))</f>
        <v/>
      </c>
      <c r="R837" s="11">
        <f>IF($A837="","",IF($C837="Open","",$Q837))</f>
        <v/>
      </c>
      <c r="S837" s="12">
        <f>IF($A837="","",IFS($B837="Covered Call","Covered Call Premium",$B837="Cash Secured Put","Cash Secured Put Premium",$B837="Long Call/Put","Long Call/Put P/L",$B837="Debit Spread","Long Call/Put P/L",$B837="Stock Sale","Stock Sales",TRUE,"Other"))</f>
        <v/>
      </c>
      <c r="T837" s="11">
        <f>IF($A837="","",IF($B837="Cash Secured Put",$K837*$M837*100,IF($B837="Covered Call",$K837*$M837*100,IF($H837="Stock",$M837*$N837,""))))</f>
        <v/>
      </c>
      <c r="U837" s="19">
        <f>IF(OR($A837="",$C837&lt;&gt;"Closed",$D837="",$E837="",$T837=0),"",$R837/$T837*365/MAX(1,$E837-$D837))</f>
        <v/>
      </c>
      <c r="V837" s="14" t="n"/>
      <c r="W837" s="12" t="n"/>
    </row>
    <row r="838">
      <c r="A838" s="12" t="n"/>
      <c r="B838" s="14" t="n"/>
      <c r="C838" s="14" t="n"/>
      <c r="D838" s="15" t="n"/>
      <c r="E838" s="15" t="n"/>
      <c r="F838" s="16">
        <f>IF($E838="","",DATE(YEAR($E838),MONTH($E838),1))</f>
        <v/>
      </c>
      <c r="G838" s="14" t="n"/>
      <c r="H838" s="14" t="n"/>
      <c r="I838" s="14" t="n"/>
      <c r="J838" s="14" t="n"/>
      <c r="K838" s="17" t="n"/>
      <c r="L838" s="15" t="n"/>
      <c r="M838" s="14" t="n"/>
      <c r="N838" s="17" t="n"/>
      <c r="O838" s="17" t="n"/>
      <c r="P838" s="18" t="n"/>
      <c r="Q838" s="11">
        <f>IF($A838="","",IF($H838="Stock",IF($I838="Buy",-$M838*$N838-$P838,IF($I838="Sell",IF($N838="", $M838*$O838-$P838,($O838-$N838)*$M838-$P838),"")),IF($I838="Sell",($N838-IF($O838="",0,$O838))*$M838*100-$P838,IF($I838="Buy",(IF($O838="",0,$O838)-$N838)*$M838*100-$P838,""))))</f>
        <v/>
      </c>
      <c r="R838" s="11">
        <f>IF($A838="","",IF($C838="Open","",$Q838))</f>
        <v/>
      </c>
      <c r="S838" s="12">
        <f>IF($A838="","",IFS($B838="Covered Call","Covered Call Premium",$B838="Cash Secured Put","Cash Secured Put Premium",$B838="Long Call/Put","Long Call/Put P/L",$B838="Debit Spread","Long Call/Put P/L",$B838="Stock Sale","Stock Sales",TRUE,"Other"))</f>
        <v/>
      </c>
      <c r="T838" s="11">
        <f>IF($A838="","",IF($B838="Cash Secured Put",$K838*$M838*100,IF($B838="Covered Call",$K838*$M838*100,IF($H838="Stock",$M838*$N838,""))))</f>
        <v/>
      </c>
      <c r="U838" s="19">
        <f>IF(OR($A838="",$C838&lt;&gt;"Closed",$D838="",$E838="",$T838=0),"",$R838/$T838*365/MAX(1,$E838-$D838))</f>
        <v/>
      </c>
      <c r="V838" s="14" t="n"/>
      <c r="W838" s="12" t="n"/>
    </row>
    <row r="839">
      <c r="A839" s="12" t="n"/>
      <c r="B839" s="14" t="n"/>
      <c r="C839" s="14" t="n"/>
      <c r="D839" s="15" t="n"/>
      <c r="E839" s="15" t="n"/>
      <c r="F839" s="16">
        <f>IF($E839="","",DATE(YEAR($E839),MONTH($E839),1))</f>
        <v/>
      </c>
      <c r="G839" s="14" t="n"/>
      <c r="H839" s="14" t="n"/>
      <c r="I839" s="14" t="n"/>
      <c r="J839" s="14" t="n"/>
      <c r="K839" s="17" t="n"/>
      <c r="L839" s="15" t="n"/>
      <c r="M839" s="14" t="n"/>
      <c r="N839" s="17" t="n"/>
      <c r="O839" s="17" t="n"/>
      <c r="P839" s="18" t="n"/>
      <c r="Q839" s="11">
        <f>IF($A839="","",IF($H839="Stock",IF($I839="Buy",-$M839*$N839-$P839,IF($I839="Sell",IF($N839="", $M839*$O839-$P839,($O839-$N839)*$M839-$P839),"")),IF($I839="Sell",($N839-IF($O839="",0,$O839))*$M839*100-$P839,IF($I839="Buy",(IF($O839="",0,$O839)-$N839)*$M839*100-$P839,""))))</f>
        <v/>
      </c>
      <c r="R839" s="11">
        <f>IF($A839="","",IF($C839="Open","",$Q839))</f>
        <v/>
      </c>
      <c r="S839" s="12">
        <f>IF($A839="","",IFS($B839="Covered Call","Covered Call Premium",$B839="Cash Secured Put","Cash Secured Put Premium",$B839="Long Call/Put","Long Call/Put P/L",$B839="Debit Spread","Long Call/Put P/L",$B839="Stock Sale","Stock Sales",TRUE,"Other"))</f>
        <v/>
      </c>
      <c r="T839" s="11">
        <f>IF($A839="","",IF($B839="Cash Secured Put",$K839*$M839*100,IF($B839="Covered Call",$K839*$M839*100,IF($H839="Stock",$M839*$N839,""))))</f>
        <v/>
      </c>
      <c r="U839" s="19">
        <f>IF(OR($A839="",$C839&lt;&gt;"Closed",$D839="",$E839="",$T839=0),"",$R839/$T839*365/MAX(1,$E839-$D839))</f>
        <v/>
      </c>
      <c r="V839" s="14" t="n"/>
      <c r="W839" s="12" t="n"/>
    </row>
    <row r="840">
      <c r="A840" s="12" t="n"/>
      <c r="B840" s="14" t="n"/>
      <c r="C840" s="14" t="n"/>
      <c r="D840" s="15" t="n"/>
      <c r="E840" s="15" t="n"/>
      <c r="F840" s="16">
        <f>IF($E840="","",DATE(YEAR($E840),MONTH($E840),1))</f>
        <v/>
      </c>
      <c r="G840" s="14" t="n"/>
      <c r="H840" s="14" t="n"/>
      <c r="I840" s="14" t="n"/>
      <c r="J840" s="14" t="n"/>
      <c r="K840" s="17" t="n"/>
      <c r="L840" s="15" t="n"/>
      <c r="M840" s="14" t="n"/>
      <c r="N840" s="17" t="n"/>
      <c r="O840" s="17" t="n"/>
      <c r="P840" s="18" t="n"/>
      <c r="Q840" s="11">
        <f>IF($A840="","",IF($H840="Stock",IF($I840="Buy",-$M840*$N840-$P840,IF($I840="Sell",IF($N840="", $M840*$O840-$P840,($O840-$N840)*$M840-$P840),"")),IF($I840="Sell",($N840-IF($O840="",0,$O840))*$M840*100-$P840,IF($I840="Buy",(IF($O840="",0,$O840)-$N840)*$M840*100-$P840,""))))</f>
        <v/>
      </c>
      <c r="R840" s="11">
        <f>IF($A840="","",IF($C840="Open","",$Q840))</f>
        <v/>
      </c>
      <c r="S840" s="12">
        <f>IF($A840="","",IFS($B840="Covered Call","Covered Call Premium",$B840="Cash Secured Put","Cash Secured Put Premium",$B840="Long Call/Put","Long Call/Put P/L",$B840="Debit Spread","Long Call/Put P/L",$B840="Stock Sale","Stock Sales",TRUE,"Other"))</f>
        <v/>
      </c>
      <c r="T840" s="11">
        <f>IF($A840="","",IF($B840="Cash Secured Put",$K840*$M840*100,IF($B840="Covered Call",$K840*$M840*100,IF($H840="Stock",$M840*$N840,""))))</f>
        <v/>
      </c>
      <c r="U840" s="19">
        <f>IF(OR($A840="",$C840&lt;&gt;"Closed",$D840="",$E840="",$T840=0),"",$R840/$T840*365/MAX(1,$E840-$D840))</f>
        <v/>
      </c>
      <c r="V840" s="14" t="n"/>
      <c r="W840" s="12" t="n"/>
    </row>
    <row r="841">
      <c r="A841" s="12" t="n"/>
      <c r="B841" s="14" t="n"/>
      <c r="C841" s="14" t="n"/>
      <c r="D841" s="15" t="n"/>
      <c r="E841" s="15" t="n"/>
      <c r="F841" s="16">
        <f>IF($E841="","",DATE(YEAR($E841),MONTH($E841),1))</f>
        <v/>
      </c>
      <c r="G841" s="14" t="n"/>
      <c r="H841" s="14" t="n"/>
      <c r="I841" s="14" t="n"/>
      <c r="J841" s="14" t="n"/>
      <c r="K841" s="17" t="n"/>
      <c r="L841" s="15" t="n"/>
      <c r="M841" s="14" t="n"/>
      <c r="N841" s="17" t="n"/>
      <c r="O841" s="17" t="n"/>
      <c r="P841" s="18" t="n"/>
      <c r="Q841" s="11">
        <f>IF($A841="","",IF($H841="Stock",IF($I841="Buy",-$M841*$N841-$P841,IF($I841="Sell",IF($N841="", $M841*$O841-$P841,($O841-$N841)*$M841-$P841),"")),IF($I841="Sell",($N841-IF($O841="",0,$O841))*$M841*100-$P841,IF($I841="Buy",(IF($O841="",0,$O841)-$N841)*$M841*100-$P841,""))))</f>
        <v/>
      </c>
      <c r="R841" s="11">
        <f>IF($A841="","",IF($C841="Open","",$Q841))</f>
        <v/>
      </c>
      <c r="S841" s="12">
        <f>IF($A841="","",IFS($B841="Covered Call","Covered Call Premium",$B841="Cash Secured Put","Cash Secured Put Premium",$B841="Long Call/Put","Long Call/Put P/L",$B841="Debit Spread","Long Call/Put P/L",$B841="Stock Sale","Stock Sales",TRUE,"Other"))</f>
        <v/>
      </c>
      <c r="T841" s="11">
        <f>IF($A841="","",IF($B841="Cash Secured Put",$K841*$M841*100,IF($B841="Covered Call",$K841*$M841*100,IF($H841="Stock",$M841*$N841,""))))</f>
        <v/>
      </c>
      <c r="U841" s="19">
        <f>IF(OR($A841="",$C841&lt;&gt;"Closed",$D841="",$E841="",$T841=0),"",$R841/$T841*365/MAX(1,$E841-$D841))</f>
        <v/>
      </c>
      <c r="V841" s="14" t="n"/>
      <c r="W841" s="12" t="n"/>
    </row>
    <row r="842">
      <c r="A842" s="12" t="n"/>
      <c r="B842" s="14" t="n"/>
      <c r="C842" s="14" t="n"/>
      <c r="D842" s="15" t="n"/>
      <c r="E842" s="15" t="n"/>
      <c r="F842" s="16">
        <f>IF($E842="","",DATE(YEAR($E842),MONTH($E842),1))</f>
        <v/>
      </c>
      <c r="G842" s="14" t="n"/>
      <c r="H842" s="14" t="n"/>
      <c r="I842" s="14" t="n"/>
      <c r="J842" s="14" t="n"/>
      <c r="K842" s="17" t="n"/>
      <c r="L842" s="15" t="n"/>
      <c r="M842" s="14" t="n"/>
      <c r="N842" s="17" t="n"/>
      <c r="O842" s="17" t="n"/>
      <c r="P842" s="18" t="n"/>
      <c r="Q842" s="11">
        <f>IF($A842="","",IF($H842="Stock",IF($I842="Buy",-$M842*$N842-$P842,IF($I842="Sell",IF($N842="", $M842*$O842-$P842,($O842-$N842)*$M842-$P842),"")),IF($I842="Sell",($N842-IF($O842="",0,$O842))*$M842*100-$P842,IF($I842="Buy",(IF($O842="",0,$O842)-$N842)*$M842*100-$P842,""))))</f>
        <v/>
      </c>
      <c r="R842" s="11">
        <f>IF($A842="","",IF($C842="Open","",$Q842))</f>
        <v/>
      </c>
      <c r="S842" s="12">
        <f>IF($A842="","",IFS($B842="Covered Call","Covered Call Premium",$B842="Cash Secured Put","Cash Secured Put Premium",$B842="Long Call/Put","Long Call/Put P/L",$B842="Debit Spread","Long Call/Put P/L",$B842="Stock Sale","Stock Sales",TRUE,"Other"))</f>
        <v/>
      </c>
      <c r="T842" s="11">
        <f>IF($A842="","",IF($B842="Cash Secured Put",$K842*$M842*100,IF($B842="Covered Call",$K842*$M842*100,IF($H842="Stock",$M842*$N842,""))))</f>
        <v/>
      </c>
      <c r="U842" s="19">
        <f>IF(OR($A842="",$C842&lt;&gt;"Closed",$D842="",$E842="",$T842=0),"",$R842/$T842*365/MAX(1,$E842-$D842))</f>
        <v/>
      </c>
      <c r="V842" s="14" t="n"/>
      <c r="W842" s="12" t="n"/>
    </row>
    <row r="843">
      <c r="A843" s="12" t="n"/>
      <c r="B843" s="14" t="n"/>
      <c r="C843" s="14" t="n"/>
      <c r="D843" s="15" t="n"/>
      <c r="E843" s="15" t="n"/>
      <c r="F843" s="16">
        <f>IF($E843="","",DATE(YEAR($E843),MONTH($E843),1))</f>
        <v/>
      </c>
      <c r="G843" s="14" t="n"/>
      <c r="H843" s="14" t="n"/>
      <c r="I843" s="14" t="n"/>
      <c r="J843" s="14" t="n"/>
      <c r="K843" s="17" t="n"/>
      <c r="L843" s="15" t="n"/>
      <c r="M843" s="14" t="n"/>
      <c r="N843" s="17" t="n"/>
      <c r="O843" s="17" t="n"/>
      <c r="P843" s="18" t="n"/>
      <c r="Q843" s="11">
        <f>IF($A843="","",IF($H843="Stock",IF($I843="Buy",-$M843*$N843-$P843,IF($I843="Sell",IF($N843="", $M843*$O843-$P843,($O843-$N843)*$M843-$P843),"")),IF($I843="Sell",($N843-IF($O843="",0,$O843))*$M843*100-$P843,IF($I843="Buy",(IF($O843="",0,$O843)-$N843)*$M843*100-$P843,""))))</f>
        <v/>
      </c>
      <c r="R843" s="11">
        <f>IF($A843="","",IF($C843="Open","",$Q843))</f>
        <v/>
      </c>
      <c r="S843" s="12">
        <f>IF($A843="","",IFS($B843="Covered Call","Covered Call Premium",$B843="Cash Secured Put","Cash Secured Put Premium",$B843="Long Call/Put","Long Call/Put P/L",$B843="Debit Spread","Long Call/Put P/L",$B843="Stock Sale","Stock Sales",TRUE,"Other"))</f>
        <v/>
      </c>
      <c r="T843" s="11">
        <f>IF($A843="","",IF($B843="Cash Secured Put",$K843*$M843*100,IF($B843="Covered Call",$K843*$M843*100,IF($H843="Stock",$M843*$N843,""))))</f>
        <v/>
      </c>
      <c r="U843" s="19">
        <f>IF(OR($A843="",$C843&lt;&gt;"Closed",$D843="",$E843="",$T843=0),"",$R843/$T843*365/MAX(1,$E843-$D843))</f>
        <v/>
      </c>
      <c r="V843" s="14" t="n"/>
      <c r="W843" s="12" t="n"/>
    </row>
    <row r="844">
      <c r="A844" s="12" t="n"/>
      <c r="B844" s="14" t="n"/>
      <c r="C844" s="14" t="n"/>
      <c r="D844" s="15" t="n"/>
      <c r="E844" s="15" t="n"/>
      <c r="F844" s="16">
        <f>IF($E844="","",DATE(YEAR($E844),MONTH($E844),1))</f>
        <v/>
      </c>
      <c r="G844" s="14" t="n"/>
      <c r="H844" s="14" t="n"/>
      <c r="I844" s="14" t="n"/>
      <c r="J844" s="14" t="n"/>
      <c r="K844" s="17" t="n"/>
      <c r="L844" s="15" t="n"/>
      <c r="M844" s="14" t="n"/>
      <c r="N844" s="17" t="n"/>
      <c r="O844" s="17" t="n"/>
      <c r="P844" s="18" t="n"/>
      <c r="Q844" s="11">
        <f>IF($A844="","",IF($H844="Stock",IF($I844="Buy",-$M844*$N844-$P844,IF($I844="Sell",IF($N844="", $M844*$O844-$P844,($O844-$N844)*$M844-$P844),"")),IF($I844="Sell",($N844-IF($O844="",0,$O844))*$M844*100-$P844,IF($I844="Buy",(IF($O844="",0,$O844)-$N844)*$M844*100-$P844,""))))</f>
        <v/>
      </c>
      <c r="R844" s="11">
        <f>IF($A844="","",IF($C844="Open","",$Q844))</f>
        <v/>
      </c>
      <c r="S844" s="12">
        <f>IF($A844="","",IFS($B844="Covered Call","Covered Call Premium",$B844="Cash Secured Put","Cash Secured Put Premium",$B844="Long Call/Put","Long Call/Put P/L",$B844="Debit Spread","Long Call/Put P/L",$B844="Stock Sale","Stock Sales",TRUE,"Other"))</f>
        <v/>
      </c>
      <c r="T844" s="11">
        <f>IF($A844="","",IF($B844="Cash Secured Put",$K844*$M844*100,IF($B844="Covered Call",$K844*$M844*100,IF($H844="Stock",$M844*$N844,""))))</f>
        <v/>
      </c>
      <c r="U844" s="19">
        <f>IF(OR($A844="",$C844&lt;&gt;"Closed",$D844="",$E844="",$T844=0),"",$R844/$T844*365/MAX(1,$E844-$D844))</f>
        <v/>
      </c>
      <c r="V844" s="14" t="n"/>
      <c r="W844" s="12" t="n"/>
    </row>
    <row r="845">
      <c r="A845" s="12" t="n"/>
      <c r="B845" s="14" t="n"/>
      <c r="C845" s="14" t="n"/>
      <c r="D845" s="15" t="n"/>
      <c r="E845" s="15" t="n"/>
      <c r="F845" s="16">
        <f>IF($E845="","",DATE(YEAR($E845),MONTH($E845),1))</f>
        <v/>
      </c>
      <c r="G845" s="14" t="n"/>
      <c r="H845" s="14" t="n"/>
      <c r="I845" s="14" t="n"/>
      <c r="J845" s="14" t="n"/>
      <c r="K845" s="17" t="n"/>
      <c r="L845" s="15" t="n"/>
      <c r="M845" s="14" t="n"/>
      <c r="N845" s="17" t="n"/>
      <c r="O845" s="17" t="n"/>
      <c r="P845" s="18" t="n"/>
      <c r="Q845" s="11">
        <f>IF($A845="","",IF($H845="Stock",IF($I845="Buy",-$M845*$N845-$P845,IF($I845="Sell",IF($N845="", $M845*$O845-$P845,($O845-$N845)*$M845-$P845),"")),IF($I845="Sell",($N845-IF($O845="",0,$O845))*$M845*100-$P845,IF($I845="Buy",(IF($O845="",0,$O845)-$N845)*$M845*100-$P845,""))))</f>
        <v/>
      </c>
      <c r="R845" s="11">
        <f>IF($A845="","",IF($C845="Open","",$Q845))</f>
        <v/>
      </c>
      <c r="S845" s="12">
        <f>IF($A845="","",IFS($B845="Covered Call","Covered Call Premium",$B845="Cash Secured Put","Cash Secured Put Premium",$B845="Long Call/Put","Long Call/Put P/L",$B845="Debit Spread","Long Call/Put P/L",$B845="Stock Sale","Stock Sales",TRUE,"Other"))</f>
        <v/>
      </c>
      <c r="T845" s="11">
        <f>IF($A845="","",IF($B845="Cash Secured Put",$K845*$M845*100,IF($B845="Covered Call",$K845*$M845*100,IF($H845="Stock",$M845*$N845,""))))</f>
        <v/>
      </c>
      <c r="U845" s="19">
        <f>IF(OR($A845="",$C845&lt;&gt;"Closed",$D845="",$E845="",$T845=0),"",$R845/$T845*365/MAX(1,$E845-$D845))</f>
        <v/>
      </c>
      <c r="V845" s="14" t="n"/>
      <c r="W845" s="12" t="n"/>
    </row>
    <row r="846">
      <c r="A846" s="12" t="n"/>
      <c r="B846" s="14" t="n"/>
      <c r="C846" s="14" t="n"/>
      <c r="D846" s="15" t="n"/>
      <c r="E846" s="15" t="n"/>
      <c r="F846" s="16">
        <f>IF($E846="","",DATE(YEAR($E846),MONTH($E846),1))</f>
        <v/>
      </c>
      <c r="G846" s="14" t="n"/>
      <c r="H846" s="14" t="n"/>
      <c r="I846" s="14" t="n"/>
      <c r="J846" s="14" t="n"/>
      <c r="K846" s="17" t="n"/>
      <c r="L846" s="15" t="n"/>
      <c r="M846" s="14" t="n"/>
      <c r="N846" s="17" t="n"/>
      <c r="O846" s="17" t="n"/>
      <c r="P846" s="18" t="n"/>
      <c r="Q846" s="11">
        <f>IF($A846="","",IF($H846="Stock",IF($I846="Buy",-$M846*$N846-$P846,IF($I846="Sell",IF($N846="", $M846*$O846-$P846,($O846-$N846)*$M846-$P846),"")),IF($I846="Sell",($N846-IF($O846="",0,$O846))*$M846*100-$P846,IF($I846="Buy",(IF($O846="",0,$O846)-$N846)*$M846*100-$P846,""))))</f>
        <v/>
      </c>
      <c r="R846" s="11">
        <f>IF($A846="","",IF($C846="Open","",$Q846))</f>
        <v/>
      </c>
      <c r="S846" s="12">
        <f>IF($A846="","",IFS($B846="Covered Call","Covered Call Premium",$B846="Cash Secured Put","Cash Secured Put Premium",$B846="Long Call/Put","Long Call/Put P/L",$B846="Debit Spread","Long Call/Put P/L",$B846="Stock Sale","Stock Sales",TRUE,"Other"))</f>
        <v/>
      </c>
      <c r="T846" s="11">
        <f>IF($A846="","",IF($B846="Cash Secured Put",$K846*$M846*100,IF($B846="Covered Call",$K846*$M846*100,IF($H846="Stock",$M846*$N846,""))))</f>
        <v/>
      </c>
      <c r="U846" s="19">
        <f>IF(OR($A846="",$C846&lt;&gt;"Closed",$D846="",$E846="",$T846=0),"",$R846/$T846*365/MAX(1,$E846-$D846))</f>
        <v/>
      </c>
      <c r="V846" s="14" t="n"/>
      <c r="W846" s="12" t="n"/>
    </row>
    <row r="847">
      <c r="A847" s="12" t="n"/>
      <c r="B847" s="14" t="n"/>
      <c r="C847" s="14" t="n"/>
      <c r="D847" s="15" t="n"/>
      <c r="E847" s="15" t="n"/>
      <c r="F847" s="16">
        <f>IF($E847="","",DATE(YEAR($E847),MONTH($E847),1))</f>
        <v/>
      </c>
      <c r="G847" s="14" t="n"/>
      <c r="H847" s="14" t="n"/>
      <c r="I847" s="14" t="n"/>
      <c r="J847" s="14" t="n"/>
      <c r="K847" s="17" t="n"/>
      <c r="L847" s="15" t="n"/>
      <c r="M847" s="14" t="n"/>
      <c r="N847" s="17" t="n"/>
      <c r="O847" s="17" t="n"/>
      <c r="P847" s="18" t="n"/>
      <c r="Q847" s="11">
        <f>IF($A847="","",IF($H847="Stock",IF($I847="Buy",-$M847*$N847-$P847,IF($I847="Sell",IF($N847="", $M847*$O847-$P847,($O847-$N847)*$M847-$P847),"")),IF($I847="Sell",($N847-IF($O847="",0,$O847))*$M847*100-$P847,IF($I847="Buy",(IF($O847="",0,$O847)-$N847)*$M847*100-$P847,""))))</f>
        <v/>
      </c>
      <c r="R847" s="11">
        <f>IF($A847="","",IF($C847="Open","",$Q847))</f>
        <v/>
      </c>
      <c r="S847" s="12">
        <f>IF($A847="","",IFS($B847="Covered Call","Covered Call Premium",$B847="Cash Secured Put","Cash Secured Put Premium",$B847="Long Call/Put","Long Call/Put P/L",$B847="Debit Spread","Long Call/Put P/L",$B847="Stock Sale","Stock Sales",TRUE,"Other"))</f>
        <v/>
      </c>
      <c r="T847" s="11">
        <f>IF($A847="","",IF($B847="Cash Secured Put",$K847*$M847*100,IF($B847="Covered Call",$K847*$M847*100,IF($H847="Stock",$M847*$N847,""))))</f>
        <v/>
      </c>
      <c r="U847" s="19">
        <f>IF(OR($A847="",$C847&lt;&gt;"Closed",$D847="",$E847="",$T847=0),"",$R847/$T847*365/MAX(1,$E847-$D847))</f>
        <v/>
      </c>
      <c r="V847" s="14" t="n"/>
      <c r="W847" s="12" t="n"/>
    </row>
    <row r="848">
      <c r="A848" s="12" t="n"/>
      <c r="B848" s="14" t="n"/>
      <c r="C848" s="14" t="n"/>
      <c r="D848" s="15" t="n"/>
      <c r="E848" s="15" t="n"/>
      <c r="F848" s="16">
        <f>IF($E848="","",DATE(YEAR($E848),MONTH($E848),1))</f>
        <v/>
      </c>
      <c r="G848" s="14" t="n"/>
      <c r="H848" s="14" t="n"/>
      <c r="I848" s="14" t="n"/>
      <c r="J848" s="14" t="n"/>
      <c r="K848" s="17" t="n"/>
      <c r="L848" s="15" t="n"/>
      <c r="M848" s="14" t="n"/>
      <c r="N848" s="17" t="n"/>
      <c r="O848" s="17" t="n"/>
      <c r="P848" s="18" t="n"/>
      <c r="Q848" s="11">
        <f>IF($A848="","",IF($H848="Stock",IF($I848="Buy",-$M848*$N848-$P848,IF($I848="Sell",IF($N848="", $M848*$O848-$P848,($O848-$N848)*$M848-$P848),"")),IF($I848="Sell",($N848-IF($O848="",0,$O848))*$M848*100-$P848,IF($I848="Buy",(IF($O848="",0,$O848)-$N848)*$M848*100-$P848,""))))</f>
        <v/>
      </c>
      <c r="R848" s="11">
        <f>IF($A848="","",IF($C848="Open","",$Q848))</f>
        <v/>
      </c>
      <c r="S848" s="12">
        <f>IF($A848="","",IFS($B848="Covered Call","Covered Call Premium",$B848="Cash Secured Put","Cash Secured Put Premium",$B848="Long Call/Put","Long Call/Put P/L",$B848="Debit Spread","Long Call/Put P/L",$B848="Stock Sale","Stock Sales",TRUE,"Other"))</f>
        <v/>
      </c>
      <c r="T848" s="11">
        <f>IF($A848="","",IF($B848="Cash Secured Put",$K848*$M848*100,IF($B848="Covered Call",$K848*$M848*100,IF($H848="Stock",$M848*$N848,""))))</f>
        <v/>
      </c>
      <c r="U848" s="19">
        <f>IF(OR($A848="",$C848&lt;&gt;"Closed",$D848="",$E848="",$T848=0),"",$R848/$T848*365/MAX(1,$E848-$D848))</f>
        <v/>
      </c>
      <c r="V848" s="14" t="n"/>
      <c r="W848" s="12" t="n"/>
    </row>
    <row r="849">
      <c r="A849" s="12" t="n"/>
      <c r="B849" s="14" t="n"/>
      <c r="C849" s="14" t="n"/>
      <c r="D849" s="15" t="n"/>
      <c r="E849" s="15" t="n"/>
      <c r="F849" s="16">
        <f>IF($E849="","",DATE(YEAR($E849),MONTH($E849),1))</f>
        <v/>
      </c>
      <c r="G849" s="14" t="n"/>
      <c r="H849" s="14" t="n"/>
      <c r="I849" s="14" t="n"/>
      <c r="J849" s="14" t="n"/>
      <c r="K849" s="17" t="n"/>
      <c r="L849" s="15" t="n"/>
      <c r="M849" s="14" t="n"/>
      <c r="N849" s="17" t="n"/>
      <c r="O849" s="17" t="n"/>
      <c r="P849" s="18" t="n"/>
      <c r="Q849" s="11">
        <f>IF($A849="","",IF($H849="Stock",IF($I849="Buy",-$M849*$N849-$P849,IF($I849="Sell",IF($N849="", $M849*$O849-$P849,($O849-$N849)*$M849-$P849),"")),IF($I849="Sell",($N849-IF($O849="",0,$O849))*$M849*100-$P849,IF($I849="Buy",(IF($O849="",0,$O849)-$N849)*$M849*100-$P849,""))))</f>
        <v/>
      </c>
      <c r="R849" s="11">
        <f>IF($A849="","",IF($C849="Open","",$Q849))</f>
        <v/>
      </c>
      <c r="S849" s="12">
        <f>IF($A849="","",IFS($B849="Covered Call","Covered Call Premium",$B849="Cash Secured Put","Cash Secured Put Premium",$B849="Long Call/Put","Long Call/Put P/L",$B849="Debit Spread","Long Call/Put P/L",$B849="Stock Sale","Stock Sales",TRUE,"Other"))</f>
        <v/>
      </c>
      <c r="T849" s="11">
        <f>IF($A849="","",IF($B849="Cash Secured Put",$K849*$M849*100,IF($B849="Covered Call",$K849*$M849*100,IF($H849="Stock",$M849*$N849,""))))</f>
        <v/>
      </c>
      <c r="U849" s="19">
        <f>IF(OR($A849="",$C849&lt;&gt;"Closed",$D849="",$E849="",$T849=0),"",$R849/$T849*365/MAX(1,$E849-$D849))</f>
        <v/>
      </c>
      <c r="V849" s="14" t="n"/>
      <c r="W849" s="12" t="n"/>
    </row>
    <row r="850">
      <c r="A850" s="12" t="n"/>
      <c r="B850" s="14" t="n"/>
      <c r="C850" s="14" t="n"/>
      <c r="D850" s="15" t="n"/>
      <c r="E850" s="15" t="n"/>
      <c r="F850" s="16">
        <f>IF($E850="","",DATE(YEAR($E850),MONTH($E850),1))</f>
        <v/>
      </c>
      <c r="G850" s="14" t="n"/>
      <c r="H850" s="14" t="n"/>
      <c r="I850" s="14" t="n"/>
      <c r="J850" s="14" t="n"/>
      <c r="K850" s="17" t="n"/>
      <c r="L850" s="15" t="n"/>
      <c r="M850" s="14" t="n"/>
      <c r="N850" s="17" t="n"/>
      <c r="O850" s="17" t="n"/>
      <c r="P850" s="18" t="n"/>
      <c r="Q850" s="11">
        <f>IF($A850="","",IF($H850="Stock",IF($I850="Buy",-$M850*$N850-$P850,IF($I850="Sell",IF($N850="", $M850*$O850-$P850,($O850-$N850)*$M850-$P850),"")),IF($I850="Sell",($N850-IF($O850="",0,$O850))*$M850*100-$P850,IF($I850="Buy",(IF($O850="",0,$O850)-$N850)*$M850*100-$P850,""))))</f>
        <v/>
      </c>
      <c r="R850" s="11">
        <f>IF($A850="","",IF($C850="Open","",$Q850))</f>
        <v/>
      </c>
      <c r="S850" s="12">
        <f>IF($A850="","",IFS($B850="Covered Call","Covered Call Premium",$B850="Cash Secured Put","Cash Secured Put Premium",$B850="Long Call/Put","Long Call/Put P/L",$B850="Debit Spread","Long Call/Put P/L",$B850="Stock Sale","Stock Sales",TRUE,"Other"))</f>
        <v/>
      </c>
      <c r="T850" s="11">
        <f>IF($A850="","",IF($B850="Cash Secured Put",$K850*$M850*100,IF($B850="Covered Call",$K850*$M850*100,IF($H850="Stock",$M850*$N850,""))))</f>
        <v/>
      </c>
      <c r="U850" s="19">
        <f>IF(OR($A850="",$C850&lt;&gt;"Closed",$D850="",$E850="",$T850=0),"",$R850/$T850*365/MAX(1,$E850-$D850))</f>
        <v/>
      </c>
      <c r="V850" s="14" t="n"/>
      <c r="W850" s="12" t="n"/>
    </row>
    <row r="851">
      <c r="A851" s="12" t="n"/>
      <c r="B851" s="14" t="n"/>
      <c r="C851" s="14" t="n"/>
      <c r="D851" s="15" t="n"/>
      <c r="E851" s="15" t="n"/>
      <c r="F851" s="16">
        <f>IF($E851="","",DATE(YEAR($E851),MONTH($E851),1))</f>
        <v/>
      </c>
      <c r="G851" s="14" t="n"/>
      <c r="H851" s="14" t="n"/>
      <c r="I851" s="14" t="n"/>
      <c r="J851" s="14" t="n"/>
      <c r="K851" s="17" t="n"/>
      <c r="L851" s="15" t="n"/>
      <c r="M851" s="14" t="n"/>
      <c r="N851" s="17" t="n"/>
      <c r="O851" s="17" t="n"/>
      <c r="P851" s="18" t="n"/>
      <c r="Q851" s="11">
        <f>IF($A851="","",IF($H851="Stock",IF($I851="Buy",-$M851*$N851-$P851,IF($I851="Sell",IF($N851="", $M851*$O851-$P851,($O851-$N851)*$M851-$P851),"")),IF($I851="Sell",($N851-IF($O851="",0,$O851))*$M851*100-$P851,IF($I851="Buy",(IF($O851="",0,$O851)-$N851)*$M851*100-$P851,""))))</f>
        <v/>
      </c>
      <c r="R851" s="11">
        <f>IF($A851="","",IF($C851="Open","",$Q851))</f>
        <v/>
      </c>
      <c r="S851" s="12">
        <f>IF($A851="","",IFS($B851="Covered Call","Covered Call Premium",$B851="Cash Secured Put","Cash Secured Put Premium",$B851="Long Call/Put","Long Call/Put P/L",$B851="Debit Spread","Long Call/Put P/L",$B851="Stock Sale","Stock Sales",TRUE,"Other"))</f>
        <v/>
      </c>
      <c r="T851" s="11">
        <f>IF($A851="","",IF($B851="Cash Secured Put",$K851*$M851*100,IF($B851="Covered Call",$K851*$M851*100,IF($H851="Stock",$M851*$N851,""))))</f>
        <v/>
      </c>
      <c r="U851" s="19">
        <f>IF(OR($A851="",$C851&lt;&gt;"Closed",$D851="",$E851="",$T851=0),"",$R851/$T851*365/MAX(1,$E851-$D851))</f>
        <v/>
      </c>
      <c r="V851" s="14" t="n"/>
      <c r="W851" s="12" t="n"/>
    </row>
    <row r="852">
      <c r="A852" s="12" t="n"/>
      <c r="B852" s="14" t="n"/>
      <c r="C852" s="14" t="n"/>
      <c r="D852" s="15" t="n"/>
      <c r="E852" s="15" t="n"/>
      <c r="F852" s="16">
        <f>IF($E852="","",DATE(YEAR($E852),MONTH($E852),1))</f>
        <v/>
      </c>
      <c r="G852" s="14" t="n"/>
      <c r="H852" s="14" t="n"/>
      <c r="I852" s="14" t="n"/>
      <c r="J852" s="14" t="n"/>
      <c r="K852" s="17" t="n"/>
      <c r="L852" s="15" t="n"/>
      <c r="M852" s="14" t="n"/>
      <c r="N852" s="17" t="n"/>
      <c r="O852" s="17" t="n"/>
      <c r="P852" s="18" t="n"/>
      <c r="Q852" s="11">
        <f>IF($A852="","",IF($H852="Stock",IF($I852="Buy",-$M852*$N852-$P852,IF($I852="Sell",IF($N852="", $M852*$O852-$P852,($O852-$N852)*$M852-$P852),"")),IF($I852="Sell",($N852-IF($O852="",0,$O852))*$M852*100-$P852,IF($I852="Buy",(IF($O852="",0,$O852)-$N852)*$M852*100-$P852,""))))</f>
        <v/>
      </c>
      <c r="R852" s="11">
        <f>IF($A852="","",IF($C852="Open","",$Q852))</f>
        <v/>
      </c>
      <c r="S852" s="12">
        <f>IF($A852="","",IFS($B852="Covered Call","Covered Call Premium",$B852="Cash Secured Put","Cash Secured Put Premium",$B852="Long Call/Put","Long Call/Put P/L",$B852="Debit Spread","Long Call/Put P/L",$B852="Stock Sale","Stock Sales",TRUE,"Other"))</f>
        <v/>
      </c>
      <c r="T852" s="11">
        <f>IF($A852="","",IF($B852="Cash Secured Put",$K852*$M852*100,IF($B852="Covered Call",$K852*$M852*100,IF($H852="Stock",$M852*$N852,""))))</f>
        <v/>
      </c>
      <c r="U852" s="19">
        <f>IF(OR($A852="",$C852&lt;&gt;"Closed",$D852="",$E852="",$T852=0),"",$R852/$T852*365/MAX(1,$E852-$D852))</f>
        <v/>
      </c>
      <c r="V852" s="14" t="n"/>
      <c r="W852" s="12" t="n"/>
    </row>
    <row r="853">
      <c r="A853" s="12" t="n"/>
      <c r="B853" s="14" t="n"/>
      <c r="C853" s="14" t="n"/>
      <c r="D853" s="15" t="n"/>
      <c r="E853" s="15" t="n"/>
      <c r="F853" s="16">
        <f>IF($E853="","",DATE(YEAR($E853),MONTH($E853),1))</f>
        <v/>
      </c>
      <c r="G853" s="14" t="n"/>
      <c r="H853" s="14" t="n"/>
      <c r="I853" s="14" t="n"/>
      <c r="J853" s="14" t="n"/>
      <c r="K853" s="17" t="n"/>
      <c r="L853" s="15" t="n"/>
      <c r="M853" s="14" t="n"/>
      <c r="N853" s="17" t="n"/>
      <c r="O853" s="17" t="n"/>
      <c r="P853" s="18" t="n"/>
      <c r="Q853" s="11">
        <f>IF($A853="","",IF($H853="Stock",IF($I853="Buy",-$M853*$N853-$P853,IF($I853="Sell",IF($N853="", $M853*$O853-$P853,($O853-$N853)*$M853-$P853),"")),IF($I853="Sell",($N853-IF($O853="",0,$O853))*$M853*100-$P853,IF($I853="Buy",(IF($O853="",0,$O853)-$N853)*$M853*100-$P853,""))))</f>
        <v/>
      </c>
      <c r="R853" s="11">
        <f>IF($A853="","",IF($C853="Open","",$Q853))</f>
        <v/>
      </c>
      <c r="S853" s="12">
        <f>IF($A853="","",IFS($B853="Covered Call","Covered Call Premium",$B853="Cash Secured Put","Cash Secured Put Premium",$B853="Long Call/Put","Long Call/Put P/L",$B853="Debit Spread","Long Call/Put P/L",$B853="Stock Sale","Stock Sales",TRUE,"Other"))</f>
        <v/>
      </c>
      <c r="T853" s="11">
        <f>IF($A853="","",IF($B853="Cash Secured Put",$K853*$M853*100,IF($B853="Covered Call",$K853*$M853*100,IF($H853="Stock",$M853*$N853,""))))</f>
        <v/>
      </c>
      <c r="U853" s="19">
        <f>IF(OR($A853="",$C853&lt;&gt;"Closed",$D853="",$E853="",$T853=0),"",$R853/$T853*365/MAX(1,$E853-$D853))</f>
        <v/>
      </c>
      <c r="V853" s="14" t="n"/>
      <c r="W853" s="12" t="n"/>
    </row>
    <row r="854">
      <c r="A854" s="12" t="n"/>
      <c r="B854" s="14" t="n"/>
      <c r="C854" s="14" t="n"/>
      <c r="D854" s="15" t="n"/>
      <c r="E854" s="15" t="n"/>
      <c r="F854" s="16">
        <f>IF($E854="","",DATE(YEAR($E854),MONTH($E854),1))</f>
        <v/>
      </c>
      <c r="G854" s="14" t="n"/>
      <c r="H854" s="14" t="n"/>
      <c r="I854" s="14" t="n"/>
      <c r="J854" s="14" t="n"/>
      <c r="K854" s="17" t="n"/>
      <c r="L854" s="15" t="n"/>
      <c r="M854" s="14" t="n"/>
      <c r="N854" s="17" t="n"/>
      <c r="O854" s="17" t="n"/>
      <c r="P854" s="18" t="n"/>
      <c r="Q854" s="11">
        <f>IF($A854="","",IF($H854="Stock",IF($I854="Buy",-$M854*$N854-$P854,IF($I854="Sell",IF($N854="", $M854*$O854-$P854,($O854-$N854)*$M854-$P854),"")),IF($I854="Sell",($N854-IF($O854="",0,$O854))*$M854*100-$P854,IF($I854="Buy",(IF($O854="",0,$O854)-$N854)*$M854*100-$P854,""))))</f>
        <v/>
      </c>
      <c r="R854" s="11">
        <f>IF($A854="","",IF($C854="Open","",$Q854))</f>
        <v/>
      </c>
      <c r="S854" s="12">
        <f>IF($A854="","",IFS($B854="Covered Call","Covered Call Premium",$B854="Cash Secured Put","Cash Secured Put Premium",$B854="Long Call/Put","Long Call/Put P/L",$B854="Debit Spread","Long Call/Put P/L",$B854="Stock Sale","Stock Sales",TRUE,"Other"))</f>
        <v/>
      </c>
      <c r="T854" s="11">
        <f>IF($A854="","",IF($B854="Cash Secured Put",$K854*$M854*100,IF($B854="Covered Call",$K854*$M854*100,IF($H854="Stock",$M854*$N854,""))))</f>
        <v/>
      </c>
      <c r="U854" s="19">
        <f>IF(OR($A854="",$C854&lt;&gt;"Closed",$D854="",$E854="",$T854=0),"",$R854/$T854*365/MAX(1,$E854-$D854))</f>
        <v/>
      </c>
      <c r="V854" s="14" t="n"/>
      <c r="W854" s="12" t="n"/>
    </row>
    <row r="855">
      <c r="A855" s="12" t="n"/>
      <c r="B855" s="14" t="n"/>
      <c r="C855" s="14" t="n"/>
      <c r="D855" s="15" t="n"/>
      <c r="E855" s="15" t="n"/>
      <c r="F855" s="16">
        <f>IF($E855="","",DATE(YEAR($E855),MONTH($E855),1))</f>
        <v/>
      </c>
      <c r="G855" s="14" t="n"/>
      <c r="H855" s="14" t="n"/>
      <c r="I855" s="14" t="n"/>
      <c r="J855" s="14" t="n"/>
      <c r="K855" s="17" t="n"/>
      <c r="L855" s="15" t="n"/>
      <c r="M855" s="14" t="n"/>
      <c r="N855" s="17" t="n"/>
      <c r="O855" s="17" t="n"/>
      <c r="P855" s="18" t="n"/>
      <c r="Q855" s="11">
        <f>IF($A855="","",IF($H855="Stock",IF($I855="Buy",-$M855*$N855-$P855,IF($I855="Sell",IF($N855="", $M855*$O855-$P855,($O855-$N855)*$M855-$P855),"")),IF($I855="Sell",($N855-IF($O855="",0,$O855))*$M855*100-$P855,IF($I855="Buy",(IF($O855="",0,$O855)-$N855)*$M855*100-$P855,""))))</f>
        <v/>
      </c>
      <c r="R855" s="11">
        <f>IF($A855="","",IF($C855="Open","",$Q855))</f>
        <v/>
      </c>
      <c r="S855" s="12">
        <f>IF($A855="","",IFS($B855="Covered Call","Covered Call Premium",$B855="Cash Secured Put","Cash Secured Put Premium",$B855="Long Call/Put","Long Call/Put P/L",$B855="Debit Spread","Long Call/Put P/L",$B855="Stock Sale","Stock Sales",TRUE,"Other"))</f>
        <v/>
      </c>
      <c r="T855" s="11">
        <f>IF($A855="","",IF($B855="Cash Secured Put",$K855*$M855*100,IF($B855="Covered Call",$K855*$M855*100,IF($H855="Stock",$M855*$N855,""))))</f>
        <v/>
      </c>
      <c r="U855" s="19">
        <f>IF(OR($A855="",$C855&lt;&gt;"Closed",$D855="",$E855="",$T855=0),"",$R855/$T855*365/MAX(1,$E855-$D855))</f>
        <v/>
      </c>
      <c r="V855" s="14" t="n"/>
      <c r="W855" s="12" t="n"/>
    </row>
    <row r="856">
      <c r="A856" s="12" t="n"/>
      <c r="B856" s="14" t="n"/>
      <c r="C856" s="14" t="n"/>
      <c r="D856" s="15" t="n"/>
      <c r="E856" s="15" t="n"/>
      <c r="F856" s="16">
        <f>IF($E856="","",DATE(YEAR($E856),MONTH($E856),1))</f>
        <v/>
      </c>
      <c r="G856" s="14" t="n"/>
      <c r="H856" s="14" t="n"/>
      <c r="I856" s="14" t="n"/>
      <c r="J856" s="14" t="n"/>
      <c r="K856" s="17" t="n"/>
      <c r="L856" s="15" t="n"/>
      <c r="M856" s="14" t="n"/>
      <c r="N856" s="17" t="n"/>
      <c r="O856" s="17" t="n"/>
      <c r="P856" s="18" t="n"/>
      <c r="Q856" s="11">
        <f>IF($A856="","",IF($H856="Stock",IF($I856="Buy",-$M856*$N856-$P856,IF($I856="Sell",IF($N856="", $M856*$O856-$P856,($O856-$N856)*$M856-$P856),"")),IF($I856="Sell",($N856-IF($O856="",0,$O856))*$M856*100-$P856,IF($I856="Buy",(IF($O856="",0,$O856)-$N856)*$M856*100-$P856,""))))</f>
        <v/>
      </c>
      <c r="R856" s="11">
        <f>IF($A856="","",IF($C856="Open","",$Q856))</f>
        <v/>
      </c>
      <c r="S856" s="12">
        <f>IF($A856="","",IFS($B856="Covered Call","Covered Call Premium",$B856="Cash Secured Put","Cash Secured Put Premium",$B856="Long Call/Put","Long Call/Put P/L",$B856="Debit Spread","Long Call/Put P/L",$B856="Stock Sale","Stock Sales",TRUE,"Other"))</f>
        <v/>
      </c>
      <c r="T856" s="11">
        <f>IF($A856="","",IF($B856="Cash Secured Put",$K856*$M856*100,IF($B856="Covered Call",$K856*$M856*100,IF($H856="Stock",$M856*$N856,""))))</f>
        <v/>
      </c>
      <c r="U856" s="19">
        <f>IF(OR($A856="",$C856&lt;&gt;"Closed",$D856="",$E856="",$T856=0),"",$R856/$T856*365/MAX(1,$E856-$D856))</f>
        <v/>
      </c>
      <c r="V856" s="14" t="n"/>
      <c r="W856" s="12" t="n"/>
    </row>
    <row r="857">
      <c r="A857" s="12" t="n"/>
      <c r="B857" s="14" t="n"/>
      <c r="C857" s="14" t="n"/>
      <c r="D857" s="15" t="n"/>
      <c r="E857" s="15" t="n"/>
      <c r="F857" s="16">
        <f>IF($E857="","",DATE(YEAR($E857),MONTH($E857),1))</f>
        <v/>
      </c>
      <c r="G857" s="14" t="n"/>
      <c r="H857" s="14" t="n"/>
      <c r="I857" s="14" t="n"/>
      <c r="J857" s="14" t="n"/>
      <c r="K857" s="17" t="n"/>
      <c r="L857" s="15" t="n"/>
      <c r="M857" s="14" t="n"/>
      <c r="N857" s="17" t="n"/>
      <c r="O857" s="17" t="n"/>
      <c r="P857" s="18" t="n"/>
      <c r="Q857" s="11">
        <f>IF($A857="","",IF($H857="Stock",IF($I857="Buy",-$M857*$N857-$P857,IF($I857="Sell",IF($N857="", $M857*$O857-$P857,($O857-$N857)*$M857-$P857),"")),IF($I857="Sell",($N857-IF($O857="",0,$O857))*$M857*100-$P857,IF($I857="Buy",(IF($O857="",0,$O857)-$N857)*$M857*100-$P857,""))))</f>
        <v/>
      </c>
      <c r="R857" s="11">
        <f>IF($A857="","",IF($C857="Open","",$Q857))</f>
        <v/>
      </c>
      <c r="S857" s="12">
        <f>IF($A857="","",IFS($B857="Covered Call","Covered Call Premium",$B857="Cash Secured Put","Cash Secured Put Premium",$B857="Long Call/Put","Long Call/Put P/L",$B857="Debit Spread","Long Call/Put P/L",$B857="Stock Sale","Stock Sales",TRUE,"Other"))</f>
        <v/>
      </c>
      <c r="T857" s="11">
        <f>IF($A857="","",IF($B857="Cash Secured Put",$K857*$M857*100,IF($B857="Covered Call",$K857*$M857*100,IF($H857="Stock",$M857*$N857,""))))</f>
        <v/>
      </c>
      <c r="U857" s="19">
        <f>IF(OR($A857="",$C857&lt;&gt;"Closed",$D857="",$E857="",$T857=0),"",$R857/$T857*365/MAX(1,$E857-$D857))</f>
        <v/>
      </c>
      <c r="V857" s="14" t="n"/>
      <c r="W857" s="12" t="n"/>
    </row>
    <row r="858">
      <c r="A858" s="12" t="n"/>
      <c r="B858" s="14" t="n"/>
      <c r="C858" s="14" t="n"/>
      <c r="D858" s="15" t="n"/>
      <c r="E858" s="15" t="n"/>
      <c r="F858" s="16">
        <f>IF($E858="","",DATE(YEAR($E858),MONTH($E858),1))</f>
        <v/>
      </c>
      <c r="G858" s="14" t="n"/>
      <c r="H858" s="14" t="n"/>
      <c r="I858" s="14" t="n"/>
      <c r="J858" s="14" t="n"/>
      <c r="K858" s="17" t="n"/>
      <c r="L858" s="15" t="n"/>
      <c r="M858" s="14" t="n"/>
      <c r="N858" s="17" t="n"/>
      <c r="O858" s="17" t="n"/>
      <c r="P858" s="18" t="n"/>
      <c r="Q858" s="11">
        <f>IF($A858="","",IF($H858="Stock",IF($I858="Buy",-$M858*$N858-$P858,IF($I858="Sell",IF($N858="", $M858*$O858-$P858,($O858-$N858)*$M858-$P858),"")),IF($I858="Sell",($N858-IF($O858="",0,$O858))*$M858*100-$P858,IF($I858="Buy",(IF($O858="",0,$O858)-$N858)*$M858*100-$P858,""))))</f>
        <v/>
      </c>
      <c r="R858" s="11">
        <f>IF($A858="","",IF($C858="Open","",$Q858))</f>
        <v/>
      </c>
      <c r="S858" s="12">
        <f>IF($A858="","",IFS($B858="Covered Call","Covered Call Premium",$B858="Cash Secured Put","Cash Secured Put Premium",$B858="Long Call/Put","Long Call/Put P/L",$B858="Debit Spread","Long Call/Put P/L",$B858="Stock Sale","Stock Sales",TRUE,"Other"))</f>
        <v/>
      </c>
      <c r="T858" s="11">
        <f>IF($A858="","",IF($B858="Cash Secured Put",$K858*$M858*100,IF($B858="Covered Call",$K858*$M858*100,IF($H858="Stock",$M858*$N858,""))))</f>
        <v/>
      </c>
      <c r="U858" s="19">
        <f>IF(OR($A858="",$C858&lt;&gt;"Closed",$D858="",$E858="",$T858=0),"",$R858/$T858*365/MAX(1,$E858-$D858))</f>
        <v/>
      </c>
      <c r="V858" s="14" t="n"/>
      <c r="W858" s="12" t="n"/>
    </row>
    <row r="859">
      <c r="A859" s="12" t="n"/>
      <c r="B859" s="14" t="n"/>
      <c r="C859" s="14" t="n"/>
      <c r="D859" s="15" t="n"/>
      <c r="E859" s="15" t="n"/>
      <c r="F859" s="16">
        <f>IF($E859="","",DATE(YEAR($E859),MONTH($E859),1))</f>
        <v/>
      </c>
      <c r="G859" s="14" t="n"/>
      <c r="H859" s="14" t="n"/>
      <c r="I859" s="14" t="n"/>
      <c r="J859" s="14" t="n"/>
      <c r="K859" s="17" t="n"/>
      <c r="L859" s="15" t="n"/>
      <c r="M859" s="14" t="n"/>
      <c r="N859" s="17" t="n"/>
      <c r="O859" s="17" t="n"/>
      <c r="P859" s="18" t="n"/>
      <c r="Q859" s="11">
        <f>IF($A859="","",IF($H859="Stock",IF($I859="Buy",-$M859*$N859-$P859,IF($I859="Sell",IF($N859="", $M859*$O859-$P859,($O859-$N859)*$M859-$P859),"")),IF($I859="Sell",($N859-IF($O859="",0,$O859))*$M859*100-$P859,IF($I859="Buy",(IF($O859="",0,$O859)-$N859)*$M859*100-$P859,""))))</f>
        <v/>
      </c>
      <c r="R859" s="11">
        <f>IF($A859="","",IF($C859="Open","",$Q859))</f>
        <v/>
      </c>
      <c r="S859" s="12">
        <f>IF($A859="","",IFS($B859="Covered Call","Covered Call Premium",$B859="Cash Secured Put","Cash Secured Put Premium",$B859="Long Call/Put","Long Call/Put P/L",$B859="Debit Spread","Long Call/Put P/L",$B859="Stock Sale","Stock Sales",TRUE,"Other"))</f>
        <v/>
      </c>
      <c r="T859" s="11">
        <f>IF($A859="","",IF($B859="Cash Secured Put",$K859*$M859*100,IF($B859="Covered Call",$K859*$M859*100,IF($H859="Stock",$M859*$N859,""))))</f>
        <v/>
      </c>
      <c r="U859" s="19">
        <f>IF(OR($A859="",$C859&lt;&gt;"Closed",$D859="",$E859="",$T859=0),"",$R859/$T859*365/MAX(1,$E859-$D859))</f>
        <v/>
      </c>
      <c r="V859" s="14" t="n"/>
      <c r="W859" s="12" t="n"/>
    </row>
    <row r="860">
      <c r="A860" s="12" t="n"/>
      <c r="B860" s="14" t="n"/>
      <c r="C860" s="14" t="n"/>
      <c r="D860" s="15" t="n"/>
      <c r="E860" s="15" t="n"/>
      <c r="F860" s="16">
        <f>IF($E860="","",DATE(YEAR($E860),MONTH($E860),1))</f>
        <v/>
      </c>
      <c r="G860" s="14" t="n"/>
      <c r="H860" s="14" t="n"/>
      <c r="I860" s="14" t="n"/>
      <c r="J860" s="14" t="n"/>
      <c r="K860" s="17" t="n"/>
      <c r="L860" s="15" t="n"/>
      <c r="M860" s="14" t="n"/>
      <c r="N860" s="17" t="n"/>
      <c r="O860" s="17" t="n"/>
      <c r="P860" s="18" t="n"/>
      <c r="Q860" s="11">
        <f>IF($A860="","",IF($H860="Stock",IF($I860="Buy",-$M860*$N860-$P860,IF($I860="Sell",IF($N860="", $M860*$O860-$P860,($O860-$N860)*$M860-$P860),"")),IF($I860="Sell",($N860-IF($O860="",0,$O860))*$M860*100-$P860,IF($I860="Buy",(IF($O860="",0,$O860)-$N860)*$M860*100-$P860,""))))</f>
        <v/>
      </c>
      <c r="R860" s="11">
        <f>IF($A860="","",IF($C860="Open","",$Q860))</f>
        <v/>
      </c>
      <c r="S860" s="12">
        <f>IF($A860="","",IFS($B860="Covered Call","Covered Call Premium",$B860="Cash Secured Put","Cash Secured Put Premium",$B860="Long Call/Put","Long Call/Put P/L",$B860="Debit Spread","Long Call/Put P/L",$B860="Stock Sale","Stock Sales",TRUE,"Other"))</f>
        <v/>
      </c>
      <c r="T860" s="11">
        <f>IF($A860="","",IF($B860="Cash Secured Put",$K860*$M860*100,IF($B860="Covered Call",$K860*$M860*100,IF($H860="Stock",$M860*$N860,""))))</f>
        <v/>
      </c>
      <c r="U860" s="19">
        <f>IF(OR($A860="",$C860&lt;&gt;"Closed",$D860="",$E860="",$T860=0),"",$R860/$T860*365/MAX(1,$E860-$D860))</f>
        <v/>
      </c>
      <c r="V860" s="14" t="n"/>
      <c r="W860" s="12" t="n"/>
    </row>
    <row r="861">
      <c r="A861" s="12" t="n"/>
      <c r="B861" s="14" t="n"/>
      <c r="C861" s="14" t="n"/>
      <c r="D861" s="15" t="n"/>
      <c r="E861" s="15" t="n"/>
      <c r="F861" s="16">
        <f>IF($E861="","",DATE(YEAR($E861),MONTH($E861),1))</f>
        <v/>
      </c>
      <c r="G861" s="14" t="n"/>
      <c r="H861" s="14" t="n"/>
      <c r="I861" s="14" t="n"/>
      <c r="J861" s="14" t="n"/>
      <c r="K861" s="17" t="n"/>
      <c r="L861" s="15" t="n"/>
      <c r="M861" s="14" t="n"/>
      <c r="N861" s="17" t="n"/>
      <c r="O861" s="17" t="n"/>
      <c r="P861" s="18" t="n"/>
      <c r="Q861" s="11">
        <f>IF($A861="","",IF($H861="Stock",IF($I861="Buy",-$M861*$N861-$P861,IF($I861="Sell",IF($N861="", $M861*$O861-$P861,($O861-$N861)*$M861-$P861),"")),IF($I861="Sell",($N861-IF($O861="",0,$O861))*$M861*100-$P861,IF($I861="Buy",(IF($O861="",0,$O861)-$N861)*$M861*100-$P861,""))))</f>
        <v/>
      </c>
      <c r="R861" s="11">
        <f>IF($A861="","",IF($C861="Open","",$Q861))</f>
        <v/>
      </c>
      <c r="S861" s="12">
        <f>IF($A861="","",IFS($B861="Covered Call","Covered Call Premium",$B861="Cash Secured Put","Cash Secured Put Premium",$B861="Long Call/Put","Long Call/Put P/L",$B861="Debit Spread","Long Call/Put P/L",$B861="Stock Sale","Stock Sales",TRUE,"Other"))</f>
        <v/>
      </c>
      <c r="T861" s="11">
        <f>IF($A861="","",IF($B861="Cash Secured Put",$K861*$M861*100,IF($B861="Covered Call",$K861*$M861*100,IF($H861="Stock",$M861*$N861,""))))</f>
        <v/>
      </c>
      <c r="U861" s="19">
        <f>IF(OR($A861="",$C861&lt;&gt;"Closed",$D861="",$E861="",$T861=0),"",$R861/$T861*365/MAX(1,$E861-$D861))</f>
        <v/>
      </c>
      <c r="V861" s="14" t="n"/>
      <c r="W861" s="12" t="n"/>
    </row>
    <row r="862">
      <c r="A862" s="12" t="n"/>
      <c r="B862" s="14" t="n"/>
      <c r="C862" s="14" t="n"/>
      <c r="D862" s="15" t="n"/>
      <c r="E862" s="15" t="n"/>
      <c r="F862" s="16">
        <f>IF($E862="","",DATE(YEAR($E862),MONTH($E862),1))</f>
        <v/>
      </c>
      <c r="G862" s="14" t="n"/>
      <c r="H862" s="14" t="n"/>
      <c r="I862" s="14" t="n"/>
      <c r="J862" s="14" t="n"/>
      <c r="K862" s="17" t="n"/>
      <c r="L862" s="15" t="n"/>
      <c r="M862" s="14" t="n"/>
      <c r="N862" s="17" t="n"/>
      <c r="O862" s="17" t="n"/>
      <c r="P862" s="18" t="n"/>
      <c r="Q862" s="11">
        <f>IF($A862="","",IF($H862="Stock",IF($I862="Buy",-$M862*$N862-$P862,IF($I862="Sell",IF($N862="", $M862*$O862-$P862,($O862-$N862)*$M862-$P862),"")),IF($I862="Sell",($N862-IF($O862="",0,$O862))*$M862*100-$P862,IF($I862="Buy",(IF($O862="",0,$O862)-$N862)*$M862*100-$P862,""))))</f>
        <v/>
      </c>
      <c r="R862" s="11">
        <f>IF($A862="","",IF($C862="Open","",$Q862))</f>
        <v/>
      </c>
      <c r="S862" s="12">
        <f>IF($A862="","",IFS($B862="Covered Call","Covered Call Premium",$B862="Cash Secured Put","Cash Secured Put Premium",$B862="Long Call/Put","Long Call/Put P/L",$B862="Debit Spread","Long Call/Put P/L",$B862="Stock Sale","Stock Sales",TRUE,"Other"))</f>
        <v/>
      </c>
      <c r="T862" s="11">
        <f>IF($A862="","",IF($B862="Cash Secured Put",$K862*$M862*100,IF($B862="Covered Call",$K862*$M862*100,IF($H862="Stock",$M862*$N862,""))))</f>
        <v/>
      </c>
      <c r="U862" s="19">
        <f>IF(OR($A862="",$C862&lt;&gt;"Closed",$D862="",$E862="",$T862=0),"",$R862/$T862*365/MAX(1,$E862-$D862))</f>
        <v/>
      </c>
      <c r="V862" s="14" t="n"/>
      <c r="W862" s="12" t="n"/>
    </row>
    <row r="863">
      <c r="A863" s="12" t="n"/>
      <c r="B863" s="14" t="n"/>
      <c r="C863" s="14" t="n"/>
      <c r="D863" s="15" t="n"/>
      <c r="E863" s="15" t="n"/>
      <c r="F863" s="16">
        <f>IF($E863="","",DATE(YEAR($E863),MONTH($E863),1))</f>
        <v/>
      </c>
      <c r="G863" s="14" t="n"/>
      <c r="H863" s="14" t="n"/>
      <c r="I863" s="14" t="n"/>
      <c r="J863" s="14" t="n"/>
      <c r="K863" s="17" t="n"/>
      <c r="L863" s="15" t="n"/>
      <c r="M863" s="14" t="n"/>
      <c r="N863" s="17" t="n"/>
      <c r="O863" s="17" t="n"/>
      <c r="P863" s="18" t="n"/>
      <c r="Q863" s="11">
        <f>IF($A863="","",IF($H863="Stock",IF($I863="Buy",-$M863*$N863-$P863,IF($I863="Sell",IF($N863="", $M863*$O863-$P863,($O863-$N863)*$M863-$P863),"")),IF($I863="Sell",($N863-IF($O863="",0,$O863))*$M863*100-$P863,IF($I863="Buy",(IF($O863="",0,$O863)-$N863)*$M863*100-$P863,""))))</f>
        <v/>
      </c>
      <c r="R863" s="11">
        <f>IF($A863="","",IF($C863="Open","",$Q863))</f>
        <v/>
      </c>
      <c r="S863" s="12">
        <f>IF($A863="","",IFS($B863="Covered Call","Covered Call Premium",$B863="Cash Secured Put","Cash Secured Put Premium",$B863="Long Call/Put","Long Call/Put P/L",$B863="Debit Spread","Long Call/Put P/L",$B863="Stock Sale","Stock Sales",TRUE,"Other"))</f>
        <v/>
      </c>
      <c r="T863" s="11">
        <f>IF($A863="","",IF($B863="Cash Secured Put",$K863*$M863*100,IF($B863="Covered Call",$K863*$M863*100,IF($H863="Stock",$M863*$N863,""))))</f>
        <v/>
      </c>
      <c r="U863" s="19">
        <f>IF(OR($A863="",$C863&lt;&gt;"Closed",$D863="",$E863="",$T863=0),"",$R863/$T863*365/MAX(1,$E863-$D863))</f>
        <v/>
      </c>
      <c r="V863" s="14" t="n"/>
      <c r="W863" s="12" t="n"/>
    </row>
    <row r="864">
      <c r="A864" s="12" t="n"/>
      <c r="B864" s="14" t="n"/>
      <c r="C864" s="14" t="n"/>
      <c r="D864" s="15" t="n"/>
      <c r="E864" s="15" t="n"/>
      <c r="F864" s="16">
        <f>IF($E864="","",DATE(YEAR($E864),MONTH($E864),1))</f>
        <v/>
      </c>
      <c r="G864" s="14" t="n"/>
      <c r="H864" s="14" t="n"/>
      <c r="I864" s="14" t="n"/>
      <c r="J864" s="14" t="n"/>
      <c r="K864" s="17" t="n"/>
      <c r="L864" s="15" t="n"/>
      <c r="M864" s="14" t="n"/>
      <c r="N864" s="17" t="n"/>
      <c r="O864" s="17" t="n"/>
      <c r="P864" s="18" t="n"/>
      <c r="Q864" s="11">
        <f>IF($A864="","",IF($H864="Stock",IF($I864="Buy",-$M864*$N864-$P864,IF($I864="Sell",IF($N864="", $M864*$O864-$P864,($O864-$N864)*$M864-$P864),"")),IF($I864="Sell",($N864-IF($O864="",0,$O864))*$M864*100-$P864,IF($I864="Buy",(IF($O864="",0,$O864)-$N864)*$M864*100-$P864,""))))</f>
        <v/>
      </c>
      <c r="R864" s="11">
        <f>IF($A864="","",IF($C864="Open","",$Q864))</f>
        <v/>
      </c>
      <c r="S864" s="12">
        <f>IF($A864="","",IFS($B864="Covered Call","Covered Call Premium",$B864="Cash Secured Put","Cash Secured Put Premium",$B864="Long Call/Put","Long Call/Put P/L",$B864="Debit Spread","Long Call/Put P/L",$B864="Stock Sale","Stock Sales",TRUE,"Other"))</f>
        <v/>
      </c>
      <c r="T864" s="11">
        <f>IF($A864="","",IF($B864="Cash Secured Put",$K864*$M864*100,IF($B864="Covered Call",$K864*$M864*100,IF($H864="Stock",$M864*$N864,""))))</f>
        <v/>
      </c>
      <c r="U864" s="19">
        <f>IF(OR($A864="",$C864&lt;&gt;"Closed",$D864="",$E864="",$T864=0),"",$R864/$T864*365/MAX(1,$E864-$D864))</f>
        <v/>
      </c>
      <c r="V864" s="14" t="n"/>
      <c r="W864" s="12" t="n"/>
    </row>
    <row r="865">
      <c r="A865" s="12" t="n"/>
      <c r="B865" s="14" t="n"/>
      <c r="C865" s="14" t="n"/>
      <c r="D865" s="15" t="n"/>
      <c r="E865" s="15" t="n"/>
      <c r="F865" s="16">
        <f>IF($E865="","",DATE(YEAR($E865),MONTH($E865),1))</f>
        <v/>
      </c>
      <c r="G865" s="14" t="n"/>
      <c r="H865" s="14" t="n"/>
      <c r="I865" s="14" t="n"/>
      <c r="J865" s="14" t="n"/>
      <c r="K865" s="17" t="n"/>
      <c r="L865" s="15" t="n"/>
      <c r="M865" s="14" t="n"/>
      <c r="N865" s="17" t="n"/>
      <c r="O865" s="17" t="n"/>
      <c r="P865" s="18" t="n"/>
      <c r="Q865" s="11">
        <f>IF($A865="","",IF($H865="Stock",IF($I865="Buy",-$M865*$N865-$P865,IF($I865="Sell",IF($N865="", $M865*$O865-$P865,($O865-$N865)*$M865-$P865),"")),IF($I865="Sell",($N865-IF($O865="",0,$O865))*$M865*100-$P865,IF($I865="Buy",(IF($O865="",0,$O865)-$N865)*$M865*100-$P865,""))))</f>
        <v/>
      </c>
      <c r="R865" s="11">
        <f>IF($A865="","",IF($C865="Open","",$Q865))</f>
        <v/>
      </c>
      <c r="S865" s="12">
        <f>IF($A865="","",IFS($B865="Covered Call","Covered Call Premium",$B865="Cash Secured Put","Cash Secured Put Premium",$B865="Long Call/Put","Long Call/Put P/L",$B865="Debit Spread","Long Call/Put P/L",$B865="Stock Sale","Stock Sales",TRUE,"Other"))</f>
        <v/>
      </c>
      <c r="T865" s="11">
        <f>IF($A865="","",IF($B865="Cash Secured Put",$K865*$M865*100,IF($B865="Covered Call",$K865*$M865*100,IF($H865="Stock",$M865*$N865,""))))</f>
        <v/>
      </c>
      <c r="U865" s="19">
        <f>IF(OR($A865="",$C865&lt;&gt;"Closed",$D865="",$E865="",$T865=0),"",$R865/$T865*365/MAX(1,$E865-$D865))</f>
        <v/>
      </c>
      <c r="V865" s="14" t="n"/>
      <c r="W865" s="12" t="n"/>
    </row>
    <row r="866">
      <c r="A866" s="12" t="n"/>
      <c r="B866" s="14" t="n"/>
      <c r="C866" s="14" t="n"/>
      <c r="D866" s="15" t="n"/>
      <c r="E866" s="15" t="n"/>
      <c r="F866" s="16">
        <f>IF($E866="","",DATE(YEAR($E866),MONTH($E866),1))</f>
        <v/>
      </c>
      <c r="G866" s="14" t="n"/>
      <c r="H866" s="14" t="n"/>
      <c r="I866" s="14" t="n"/>
      <c r="J866" s="14" t="n"/>
      <c r="K866" s="17" t="n"/>
      <c r="L866" s="15" t="n"/>
      <c r="M866" s="14" t="n"/>
      <c r="N866" s="17" t="n"/>
      <c r="O866" s="17" t="n"/>
      <c r="P866" s="18" t="n"/>
      <c r="Q866" s="11">
        <f>IF($A866="","",IF($H866="Stock",IF($I866="Buy",-$M866*$N866-$P866,IF($I866="Sell",IF($N866="", $M866*$O866-$P866,($O866-$N866)*$M866-$P866),"")),IF($I866="Sell",($N866-IF($O866="",0,$O866))*$M866*100-$P866,IF($I866="Buy",(IF($O866="",0,$O866)-$N866)*$M866*100-$P866,""))))</f>
        <v/>
      </c>
      <c r="R866" s="11">
        <f>IF($A866="","",IF($C866="Open","",$Q866))</f>
        <v/>
      </c>
      <c r="S866" s="12">
        <f>IF($A866="","",IFS($B866="Covered Call","Covered Call Premium",$B866="Cash Secured Put","Cash Secured Put Premium",$B866="Long Call/Put","Long Call/Put P/L",$B866="Debit Spread","Long Call/Put P/L",$B866="Stock Sale","Stock Sales",TRUE,"Other"))</f>
        <v/>
      </c>
      <c r="T866" s="11">
        <f>IF($A866="","",IF($B866="Cash Secured Put",$K866*$M866*100,IF($B866="Covered Call",$K866*$M866*100,IF($H866="Stock",$M866*$N866,""))))</f>
        <v/>
      </c>
      <c r="U866" s="19">
        <f>IF(OR($A866="",$C866&lt;&gt;"Closed",$D866="",$E866="",$T866=0),"",$R866/$T866*365/MAX(1,$E866-$D866))</f>
        <v/>
      </c>
      <c r="V866" s="14" t="n"/>
      <c r="W866" s="12" t="n"/>
    </row>
    <row r="867">
      <c r="A867" s="12" t="n"/>
      <c r="B867" s="14" t="n"/>
      <c r="C867" s="14" t="n"/>
      <c r="D867" s="15" t="n"/>
      <c r="E867" s="15" t="n"/>
      <c r="F867" s="16">
        <f>IF($E867="","",DATE(YEAR($E867),MONTH($E867),1))</f>
        <v/>
      </c>
      <c r="G867" s="14" t="n"/>
      <c r="H867" s="14" t="n"/>
      <c r="I867" s="14" t="n"/>
      <c r="J867" s="14" t="n"/>
      <c r="K867" s="17" t="n"/>
      <c r="L867" s="15" t="n"/>
      <c r="M867" s="14" t="n"/>
      <c r="N867" s="17" t="n"/>
      <c r="O867" s="17" t="n"/>
      <c r="P867" s="18" t="n"/>
      <c r="Q867" s="11">
        <f>IF($A867="","",IF($H867="Stock",IF($I867="Buy",-$M867*$N867-$P867,IF($I867="Sell",IF($N867="", $M867*$O867-$P867,($O867-$N867)*$M867-$P867),"")),IF($I867="Sell",($N867-IF($O867="",0,$O867))*$M867*100-$P867,IF($I867="Buy",(IF($O867="",0,$O867)-$N867)*$M867*100-$P867,""))))</f>
        <v/>
      </c>
      <c r="R867" s="11">
        <f>IF($A867="","",IF($C867="Open","",$Q867))</f>
        <v/>
      </c>
      <c r="S867" s="12">
        <f>IF($A867="","",IFS($B867="Covered Call","Covered Call Premium",$B867="Cash Secured Put","Cash Secured Put Premium",$B867="Long Call/Put","Long Call/Put P/L",$B867="Debit Spread","Long Call/Put P/L",$B867="Stock Sale","Stock Sales",TRUE,"Other"))</f>
        <v/>
      </c>
      <c r="T867" s="11">
        <f>IF($A867="","",IF($B867="Cash Secured Put",$K867*$M867*100,IF($B867="Covered Call",$K867*$M867*100,IF($H867="Stock",$M867*$N867,""))))</f>
        <v/>
      </c>
      <c r="U867" s="19">
        <f>IF(OR($A867="",$C867&lt;&gt;"Closed",$D867="",$E867="",$T867=0),"",$R867/$T867*365/MAX(1,$E867-$D867))</f>
        <v/>
      </c>
      <c r="V867" s="14" t="n"/>
      <c r="W867" s="12" t="n"/>
    </row>
    <row r="868">
      <c r="A868" s="12" t="n"/>
      <c r="B868" s="14" t="n"/>
      <c r="C868" s="14" t="n"/>
      <c r="D868" s="15" t="n"/>
      <c r="E868" s="15" t="n"/>
      <c r="F868" s="16">
        <f>IF($E868="","",DATE(YEAR($E868),MONTH($E868),1))</f>
        <v/>
      </c>
      <c r="G868" s="14" t="n"/>
      <c r="H868" s="14" t="n"/>
      <c r="I868" s="14" t="n"/>
      <c r="J868" s="14" t="n"/>
      <c r="K868" s="17" t="n"/>
      <c r="L868" s="15" t="n"/>
      <c r="M868" s="14" t="n"/>
      <c r="N868" s="17" t="n"/>
      <c r="O868" s="17" t="n"/>
      <c r="P868" s="18" t="n"/>
      <c r="Q868" s="11">
        <f>IF($A868="","",IF($H868="Stock",IF($I868="Buy",-$M868*$N868-$P868,IF($I868="Sell",IF($N868="", $M868*$O868-$P868,($O868-$N868)*$M868-$P868),"")),IF($I868="Sell",($N868-IF($O868="",0,$O868))*$M868*100-$P868,IF($I868="Buy",(IF($O868="",0,$O868)-$N868)*$M868*100-$P868,""))))</f>
        <v/>
      </c>
      <c r="R868" s="11">
        <f>IF($A868="","",IF($C868="Open","",$Q868))</f>
        <v/>
      </c>
      <c r="S868" s="12">
        <f>IF($A868="","",IFS($B868="Covered Call","Covered Call Premium",$B868="Cash Secured Put","Cash Secured Put Premium",$B868="Long Call/Put","Long Call/Put P/L",$B868="Debit Spread","Long Call/Put P/L",$B868="Stock Sale","Stock Sales",TRUE,"Other"))</f>
        <v/>
      </c>
      <c r="T868" s="11">
        <f>IF($A868="","",IF($B868="Cash Secured Put",$K868*$M868*100,IF($B868="Covered Call",$K868*$M868*100,IF($H868="Stock",$M868*$N868,""))))</f>
        <v/>
      </c>
      <c r="U868" s="19">
        <f>IF(OR($A868="",$C868&lt;&gt;"Closed",$D868="",$E868="",$T868=0),"",$R868/$T868*365/MAX(1,$E868-$D868))</f>
        <v/>
      </c>
      <c r="V868" s="14" t="n"/>
      <c r="W868" s="12" t="n"/>
    </row>
    <row r="869">
      <c r="A869" s="12" t="n"/>
      <c r="B869" s="14" t="n"/>
      <c r="C869" s="14" t="n"/>
      <c r="D869" s="15" t="n"/>
      <c r="E869" s="15" t="n"/>
      <c r="F869" s="16">
        <f>IF($E869="","",DATE(YEAR($E869),MONTH($E869),1))</f>
        <v/>
      </c>
      <c r="G869" s="14" t="n"/>
      <c r="H869" s="14" t="n"/>
      <c r="I869" s="14" t="n"/>
      <c r="J869" s="14" t="n"/>
      <c r="K869" s="17" t="n"/>
      <c r="L869" s="15" t="n"/>
      <c r="M869" s="14" t="n"/>
      <c r="N869" s="17" t="n"/>
      <c r="O869" s="17" t="n"/>
      <c r="P869" s="18" t="n"/>
      <c r="Q869" s="11">
        <f>IF($A869="","",IF($H869="Stock",IF($I869="Buy",-$M869*$N869-$P869,IF($I869="Sell",IF($N869="", $M869*$O869-$P869,($O869-$N869)*$M869-$P869),"")),IF($I869="Sell",($N869-IF($O869="",0,$O869))*$M869*100-$P869,IF($I869="Buy",(IF($O869="",0,$O869)-$N869)*$M869*100-$P869,""))))</f>
        <v/>
      </c>
      <c r="R869" s="11">
        <f>IF($A869="","",IF($C869="Open","",$Q869))</f>
        <v/>
      </c>
      <c r="S869" s="12">
        <f>IF($A869="","",IFS($B869="Covered Call","Covered Call Premium",$B869="Cash Secured Put","Cash Secured Put Premium",$B869="Long Call/Put","Long Call/Put P/L",$B869="Debit Spread","Long Call/Put P/L",$B869="Stock Sale","Stock Sales",TRUE,"Other"))</f>
        <v/>
      </c>
      <c r="T869" s="11">
        <f>IF($A869="","",IF($B869="Cash Secured Put",$K869*$M869*100,IF($B869="Covered Call",$K869*$M869*100,IF($H869="Stock",$M869*$N869,""))))</f>
        <v/>
      </c>
      <c r="U869" s="19">
        <f>IF(OR($A869="",$C869&lt;&gt;"Closed",$D869="",$E869="",$T869=0),"",$R869/$T869*365/MAX(1,$E869-$D869))</f>
        <v/>
      </c>
      <c r="V869" s="14" t="n"/>
      <c r="W869" s="12" t="n"/>
    </row>
    <row r="870">
      <c r="A870" s="12" t="n"/>
      <c r="B870" s="14" t="n"/>
      <c r="C870" s="14" t="n"/>
      <c r="D870" s="15" t="n"/>
      <c r="E870" s="15" t="n"/>
      <c r="F870" s="16">
        <f>IF($E870="","",DATE(YEAR($E870),MONTH($E870),1))</f>
        <v/>
      </c>
      <c r="G870" s="14" t="n"/>
      <c r="H870" s="14" t="n"/>
      <c r="I870" s="14" t="n"/>
      <c r="J870" s="14" t="n"/>
      <c r="K870" s="17" t="n"/>
      <c r="L870" s="15" t="n"/>
      <c r="M870" s="14" t="n"/>
      <c r="N870" s="17" t="n"/>
      <c r="O870" s="17" t="n"/>
      <c r="P870" s="18" t="n"/>
      <c r="Q870" s="11">
        <f>IF($A870="","",IF($H870="Stock",IF($I870="Buy",-$M870*$N870-$P870,IF($I870="Sell",IF($N870="", $M870*$O870-$P870,($O870-$N870)*$M870-$P870),"")),IF($I870="Sell",($N870-IF($O870="",0,$O870))*$M870*100-$P870,IF($I870="Buy",(IF($O870="",0,$O870)-$N870)*$M870*100-$P870,""))))</f>
        <v/>
      </c>
      <c r="R870" s="11">
        <f>IF($A870="","",IF($C870="Open","",$Q870))</f>
        <v/>
      </c>
      <c r="S870" s="12">
        <f>IF($A870="","",IFS($B870="Covered Call","Covered Call Premium",$B870="Cash Secured Put","Cash Secured Put Premium",$B870="Long Call/Put","Long Call/Put P/L",$B870="Debit Spread","Long Call/Put P/L",$B870="Stock Sale","Stock Sales",TRUE,"Other"))</f>
        <v/>
      </c>
      <c r="T870" s="11">
        <f>IF($A870="","",IF($B870="Cash Secured Put",$K870*$M870*100,IF($B870="Covered Call",$K870*$M870*100,IF($H870="Stock",$M870*$N870,""))))</f>
        <v/>
      </c>
      <c r="U870" s="19">
        <f>IF(OR($A870="",$C870&lt;&gt;"Closed",$D870="",$E870="",$T870=0),"",$R870/$T870*365/MAX(1,$E870-$D870))</f>
        <v/>
      </c>
      <c r="V870" s="14" t="n"/>
      <c r="W870" s="12" t="n"/>
    </row>
    <row r="871">
      <c r="A871" s="12" t="n"/>
      <c r="B871" s="14" t="n"/>
      <c r="C871" s="14" t="n"/>
      <c r="D871" s="15" t="n"/>
      <c r="E871" s="15" t="n"/>
      <c r="F871" s="16">
        <f>IF($E871="","",DATE(YEAR($E871),MONTH($E871),1))</f>
        <v/>
      </c>
      <c r="G871" s="14" t="n"/>
      <c r="H871" s="14" t="n"/>
      <c r="I871" s="14" t="n"/>
      <c r="J871" s="14" t="n"/>
      <c r="K871" s="17" t="n"/>
      <c r="L871" s="15" t="n"/>
      <c r="M871" s="14" t="n"/>
      <c r="N871" s="17" t="n"/>
      <c r="O871" s="17" t="n"/>
      <c r="P871" s="18" t="n"/>
      <c r="Q871" s="11">
        <f>IF($A871="","",IF($H871="Stock",IF($I871="Buy",-$M871*$N871-$P871,IF($I871="Sell",IF($N871="", $M871*$O871-$P871,($O871-$N871)*$M871-$P871),"")),IF($I871="Sell",($N871-IF($O871="",0,$O871))*$M871*100-$P871,IF($I871="Buy",(IF($O871="",0,$O871)-$N871)*$M871*100-$P871,""))))</f>
        <v/>
      </c>
      <c r="R871" s="11">
        <f>IF($A871="","",IF($C871="Open","",$Q871))</f>
        <v/>
      </c>
      <c r="S871" s="12">
        <f>IF($A871="","",IFS($B871="Covered Call","Covered Call Premium",$B871="Cash Secured Put","Cash Secured Put Premium",$B871="Long Call/Put","Long Call/Put P/L",$B871="Debit Spread","Long Call/Put P/L",$B871="Stock Sale","Stock Sales",TRUE,"Other"))</f>
        <v/>
      </c>
      <c r="T871" s="11">
        <f>IF($A871="","",IF($B871="Cash Secured Put",$K871*$M871*100,IF($B871="Covered Call",$K871*$M871*100,IF($H871="Stock",$M871*$N871,""))))</f>
        <v/>
      </c>
      <c r="U871" s="19">
        <f>IF(OR($A871="",$C871&lt;&gt;"Closed",$D871="",$E871="",$T871=0),"",$R871/$T871*365/MAX(1,$E871-$D871))</f>
        <v/>
      </c>
      <c r="V871" s="14" t="n"/>
      <c r="W871" s="12" t="n"/>
    </row>
    <row r="872">
      <c r="A872" s="12" t="n"/>
      <c r="B872" s="14" t="n"/>
      <c r="C872" s="14" t="n"/>
      <c r="D872" s="15" t="n"/>
      <c r="E872" s="15" t="n"/>
      <c r="F872" s="16">
        <f>IF($E872="","",DATE(YEAR($E872),MONTH($E872),1))</f>
        <v/>
      </c>
      <c r="G872" s="14" t="n"/>
      <c r="H872" s="14" t="n"/>
      <c r="I872" s="14" t="n"/>
      <c r="J872" s="14" t="n"/>
      <c r="K872" s="17" t="n"/>
      <c r="L872" s="15" t="n"/>
      <c r="M872" s="14" t="n"/>
      <c r="N872" s="17" t="n"/>
      <c r="O872" s="17" t="n"/>
      <c r="P872" s="18" t="n"/>
      <c r="Q872" s="11">
        <f>IF($A872="","",IF($H872="Stock",IF($I872="Buy",-$M872*$N872-$P872,IF($I872="Sell",IF($N872="", $M872*$O872-$P872,($O872-$N872)*$M872-$P872),"")),IF($I872="Sell",($N872-IF($O872="",0,$O872))*$M872*100-$P872,IF($I872="Buy",(IF($O872="",0,$O872)-$N872)*$M872*100-$P872,""))))</f>
        <v/>
      </c>
      <c r="R872" s="11">
        <f>IF($A872="","",IF($C872="Open","",$Q872))</f>
        <v/>
      </c>
      <c r="S872" s="12">
        <f>IF($A872="","",IFS($B872="Covered Call","Covered Call Premium",$B872="Cash Secured Put","Cash Secured Put Premium",$B872="Long Call/Put","Long Call/Put P/L",$B872="Debit Spread","Long Call/Put P/L",$B872="Stock Sale","Stock Sales",TRUE,"Other"))</f>
        <v/>
      </c>
      <c r="T872" s="11">
        <f>IF($A872="","",IF($B872="Cash Secured Put",$K872*$M872*100,IF($B872="Covered Call",$K872*$M872*100,IF($H872="Stock",$M872*$N872,""))))</f>
        <v/>
      </c>
      <c r="U872" s="19">
        <f>IF(OR($A872="",$C872&lt;&gt;"Closed",$D872="",$E872="",$T872=0),"",$R872/$T872*365/MAX(1,$E872-$D872))</f>
        <v/>
      </c>
      <c r="V872" s="14" t="n"/>
      <c r="W872" s="12" t="n"/>
    </row>
    <row r="873">
      <c r="A873" s="12" t="n"/>
      <c r="B873" s="14" t="n"/>
      <c r="C873" s="14" t="n"/>
      <c r="D873" s="15" t="n"/>
      <c r="E873" s="15" t="n"/>
      <c r="F873" s="16">
        <f>IF($E873="","",DATE(YEAR($E873),MONTH($E873),1))</f>
        <v/>
      </c>
      <c r="G873" s="14" t="n"/>
      <c r="H873" s="14" t="n"/>
      <c r="I873" s="14" t="n"/>
      <c r="J873" s="14" t="n"/>
      <c r="K873" s="17" t="n"/>
      <c r="L873" s="15" t="n"/>
      <c r="M873" s="14" t="n"/>
      <c r="N873" s="17" t="n"/>
      <c r="O873" s="17" t="n"/>
      <c r="P873" s="18" t="n"/>
      <c r="Q873" s="11">
        <f>IF($A873="","",IF($H873="Stock",IF($I873="Buy",-$M873*$N873-$P873,IF($I873="Sell",IF($N873="", $M873*$O873-$P873,($O873-$N873)*$M873-$P873),"")),IF($I873="Sell",($N873-IF($O873="",0,$O873))*$M873*100-$P873,IF($I873="Buy",(IF($O873="",0,$O873)-$N873)*$M873*100-$P873,""))))</f>
        <v/>
      </c>
      <c r="R873" s="11">
        <f>IF($A873="","",IF($C873="Open","",$Q873))</f>
        <v/>
      </c>
      <c r="S873" s="12">
        <f>IF($A873="","",IFS($B873="Covered Call","Covered Call Premium",$B873="Cash Secured Put","Cash Secured Put Premium",$B873="Long Call/Put","Long Call/Put P/L",$B873="Debit Spread","Long Call/Put P/L",$B873="Stock Sale","Stock Sales",TRUE,"Other"))</f>
        <v/>
      </c>
      <c r="T873" s="11">
        <f>IF($A873="","",IF($B873="Cash Secured Put",$K873*$M873*100,IF($B873="Covered Call",$K873*$M873*100,IF($H873="Stock",$M873*$N873,""))))</f>
        <v/>
      </c>
      <c r="U873" s="19">
        <f>IF(OR($A873="",$C873&lt;&gt;"Closed",$D873="",$E873="",$T873=0),"",$R873/$T873*365/MAX(1,$E873-$D873))</f>
        <v/>
      </c>
      <c r="V873" s="14" t="n"/>
      <c r="W873" s="12" t="n"/>
    </row>
    <row r="874">
      <c r="A874" s="12" t="n"/>
      <c r="B874" s="14" t="n"/>
      <c r="C874" s="14" t="n"/>
      <c r="D874" s="15" t="n"/>
      <c r="E874" s="15" t="n"/>
      <c r="F874" s="16">
        <f>IF($E874="","",DATE(YEAR($E874),MONTH($E874),1))</f>
        <v/>
      </c>
      <c r="G874" s="14" t="n"/>
      <c r="H874" s="14" t="n"/>
      <c r="I874" s="14" t="n"/>
      <c r="J874" s="14" t="n"/>
      <c r="K874" s="17" t="n"/>
      <c r="L874" s="15" t="n"/>
      <c r="M874" s="14" t="n"/>
      <c r="N874" s="17" t="n"/>
      <c r="O874" s="17" t="n"/>
      <c r="P874" s="18" t="n"/>
      <c r="Q874" s="11">
        <f>IF($A874="","",IF($H874="Stock",IF($I874="Buy",-$M874*$N874-$P874,IF($I874="Sell",IF($N874="", $M874*$O874-$P874,($O874-$N874)*$M874-$P874),"")),IF($I874="Sell",($N874-IF($O874="",0,$O874))*$M874*100-$P874,IF($I874="Buy",(IF($O874="",0,$O874)-$N874)*$M874*100-$P874,""))))</f>
        <v/>
      </c>
      <c r="R874" s="11">
        <f>IF($A874="","",IF($C874="Open","",$Q874))</f>
        <v/>
      </c>
      <c r="S874" s="12">
        <f>IF($A874="","",IFS($B874="Covered Call","Covered Call Premium",$B874="Cash Secured Put","Cash Secured Put Premium",$B874="Long Call/Put","Long Call/Put P/L",$B874="Debit Spread","Long Call/Put P/L",$B874="Stock Sale","Stock Sales",TRUE,"Other"))</f>
        <v/>
      </c>
      <c r="T874" s="11">
        <f>IF($A874="","",IF($B874="Cash Secured Put",$K874*$M874*100,IF($B874="Covered Call",$K874*$M874*100,IF($H874="Stock",$M874*$N874,""))))</f>
        <v/>
      </c>
      <c r="U874" s="19">
        <f>IF(OR($A874="",$C874&lt;&gt;"Closed",$D874="",$E874="",$T874=0),"",$R874/$T874*365/MAX(1,$E874-$D874))</f>
        <v/>
      </c>
      <c r="V874" s="14" t="n"/>
      <c r="W874" s="12" t="n"/>
    </row>
    <row r="875">
      <c r="A875" s="12" t="n"/>
      <c r="B875" s="14" t="n"/>
      <c r="C875" s="14" t="n"/>
      <c r="D875" s="15" t="n"/>
      <c r="E875" s="15" t="n"/>
      <c r="F875" s="16">
        <f>IF($E875="","",DATE(YEAR($E875),MONTH($E875),1))</f>
        <v/>
      </c>
      <c r="G875" s="14" t="n"/>
      <c r="H875" s="14" t="n"/>
      <c r="I875" s="14" t="n"/>
      <c r="J875" s="14" t="n"/>
      <c r="K875" s="17" t="n"/>
      <c r="L875" s="15" t="n"/>
      <c r="M875" s="14" t="n"/>
      <c r="N875" s="17" t="n"/>
      <c r="O875" s="17" t="n"/>
      <c r="P875" s="18" t="n"/>
      <c r="Q875" s="11">
        <f>IF($A875="","",IF($H875="Stock",IF($I875="Buy",-$M875*$N875-$P875,IF($I875="Sell",IF($N875="", $M875*$O875-$P875,($O875-$N875)*$M875-$P875),"")),IF($I875="Sell",($N875-IF($O875="",0,$O875))*$M875*100-$P875,IF($I875="Buy",(IF($O875="",0,$O875)-$N875)*$M875*100-$P875,""))))</f>
        <v/>
      </c>
      <c r="R875" s="11">
        <f>IF($A875="","",IF($C875="Open","",$Q875))</f>
        <v/>
      </c>
      <c r="S875" s="12">
        <f>IF($A875="","",IFS($B875="Covered Call","Covered Call Premium",$B875="Cash Secured Put","Cash Secured Put Premium",$B875="Long Call/Put","Long Call/Put P/L",$B875="Debit Spread","Long Call/Put P/L",$B875="Stock Sale","Stock Sales",TRUE,"Other"))</f>
        <v/>
      </c>
      <c r="T875" s="11">
        <f>IF($A875="","",IF($B875="Cash Secured Put",$K875*$M875*100,IF($B875="Covered Call",$K875*$M875*100,IF($H875="Stock",$M875*$N875,""))))</f>
        <v/>
      </c>
      <c r="U875" s="19">
        <f>IF(OR($A875="",$C875&lt;&gt;"Closed",$D875="",$E875="",$T875=0),"",$R875/$T875*365/MAX(1,$E875-$D875))</f>
        <v/>
      </c>
      <c r="V875" s="14" t="n"/>
      <c r="W875" s="12" t="n"/>
    </row>
    <row r="876">
      <c r="A876" s="12" t="n"/>
      <c r="B876" s="14" t="n"/>
      <c r="C876" s="14" t="n"/>
      <c r="D876" s="15" t="n"/>
      <c r="E876" s="15" t="n"/>
      <c r="F876" s="16">
        <f>IF($E876="","",DATE(YEAR($E876),MONTH($E876),1))</f>
        <v/>
      </c>
      <c r="G876" s="14" t="n"/>
      <c r="H876" s="14" t="n"/>
      <c r="I876" s="14" t="n"/>
      <c r="J876" s="14" t="n"/>
      <c r="K876" s="17" t="n"/>
      <c r="L876" s="15" t="n"/>
      <c r="M876" s="14" t="n"/>
      <c r="N876" s="17" t="n"/>
      <c r="O876" s="17" t="n"/>
      <c r="P876" s="18" t="n"/>
      <c r="Q876" s="11">
        <f>IF($A876="","",IF($H876="Stock",IF($I876="Buy",-$M876*$N876-$P876,IF($I876="Sell",IF($N876="", $M876*$O876-$P876,($O876-$N876)*$M876-$P876),"")),IF($I876="Sell",($N876-IF($O876="",0,$O876))*$M876*100-$P876,IF($I876="Buy",(IF($O876="",0,$O876)-$N876)*$M876*100-$P876,""))))</f>
        <v/>
      </c>
      <c r="R876" s="11">
        <f>IF($A876="","",IF($C876="Open","",$Q876))</f>
        <v/>
      </c>
      <c r="S876" s="12">
        <f>IF($A876="","",IFS($B876="Covered Call","Covered Call Premium",$B876="Cash Secured Put","Cash Secured Put Premium",$B876="Long Call/Put","Long Call/Put P/L",$B876="Debit Spread","Long Call/Put P/L",$B876="Stock Sale","Stock Sales",TRUE,"Other"))</f>
        <v/>
      </c>
      <c r="T876" s="11">
        <f>IF($A876="","",IF($B876="Cash Secured Put",$K876*$M876*100,IF($B876="Covered Call",$K876*$M876*100,IF($H876="Stock",$M876*$N876,""))))</f>
        <v/>
      </c>
      <c r="U876" s="19">
        <f>IF(OR($A876="",$C876&lt;&gt;"Closed",$D876="",$E876="",$T876=0),"",$R876/$T876*365/MAX(1,$E876-$D876))</f>
        <v/>
      </c>
      <c r="V876" s="14" t="n"/>
      <c r="W876" s="12" t="n"/>
    </row>
    <row r="877">
      <c r="A877" s="12" t="n"/>
      <c r="B877" s="14" t="n"/>
      <c r="C877" s="14" t="n"/>
      <c r="D877" s="15" t="n"/>
      <c r="E877" s="15" t="n"/>
      <c r="F877" s="16">
        <f>IF($E877="","",DATE(YEAR($E877),MONTH($E877),1))</f>
        <v/>
      </c>
      <c r="G877" s="14" t="n"/>
      <c r="H877" s="14" t="n"/>
      <c r="I877" s="14" t="n"/>
      <c r="J877" s="14" t="n"/>
      <c r="K877" s="17" t="n"/>
      <c r="L877" s="15" t="n"/>
      <c r="M877" s="14" t="n"/>
      <c r="N877" s="17" t="n"/>
      <c r="O877" s="17" t="n"/>
      <c r="P877" s="18" t="n"/>
      <c r="Q877" s="11">
        <f>IF($A877="","",IF($H877="Stock",IF($I877="Buy",-$M877*$N877-$P877,IF($I877="Sell",IF($N877="", $M877*$O877-$P877,($O877-$N877)*$M877-$P877),"")),IF($I877="Sell",($N877-IF($O877="",0,$O877))*$M877*100-$P877,IF($I877="Buy",(IF($O877="",0,$O877)-$N877)*$M877*100-$P877,""))))</f>
        <v/>
      </c>
      <c r="R877" s="11">
        <f>IF($A877="","",IF($C877="Open","",$Q877))</f>
        <v/>
      </c>
      <c r="S877" s="12">
        <f>IF($A877="","",IFS($B877="Covered Call","Covered Call Premium",$B877="Cash Secured Put","Cash Secured Put Premium",$B877="Long Call/Put","Long Call/Put P/L",$B877="Debit Spread","Long Call/Put P/L",$B877="Stock Sale","Stock Sales",TRUE,"Other"))</f>
        <v/>
      </c>
      <c r="T877" s="11">
        <f>IF($A877="","",IF($B877="Cash Secured Put",$K877*$M877*100,IF($B877="Covered Call",$K877*$M877*100,IF($H877="Stock",$M877*$N877,""))))</f>
        <v/>
      </c>
      <c r="U877" s="19">
        <f>IF(OR($A877="",$C877&lt;&gt;"Closed",$D877="",$E877="",$T877=0),"",$R877/$T877*365/MAX(1,$E877-$D877))</f>
        <v/>
      </c>
      <c r="V877" s="14" t="n"/>
      <c r="W877" s="12" t="n"/>
    </row>
    <row r="878">
      <c r="A878" s="12" t="n"/>
      <c r="B878" s="14" t="n"/>
      <c r="C878" s="14" t="n"/>
      <c r="D878" s="15" t="n"/>
      <c r="E878" s="15" t="n"/>
      <c r="F878" s="16">
        <f>IF($E878="","",DATE(YEAR($E878),MONTH($E878),1))</f>
        <v/>
      </c>
      <c r="G878" s="14" t="n"/>
      <c r="H878" s="14" t="n"/>
      <c r="I878" s="14" t="n"/>
      <c r="J878" s="14" t="n"/>
      <c r="K878" s="17" t="n"/>
      <c r="L878" s="15" t="n"/>
      <c r="M878" s="14" t="n"/>
      <c r="N878" s="17" t="n"/>
      <c r="O878" s="17" t="n"/>
      <c r="P878" s="18" t="n"/>
      <c r="Q878" s="11">
        <f>IF($A878="","",IF($H878="Stock",IF($I878="Buy",-$M878*$N878-$P878,IF($I878="Sell",IF($N878="", $M878*$O878-$P878,($O878-$N878)*$M878-$P878),"")),IF($I878="Sell",($N878-IF($O878="",0,$O878))*$M878*100-$P878,IF($I878="Buy",(IF($O878="",0,$O878)-$N878)*$M878*100-$P878,""))))</f>
        <v/>
      </c>
      <c r="R878" s="11">
        <f>IF($A878="","",IF($C878="Open","",$Q878))</f>
        <v/>
      </c>
      <c r="S878" s="12">
        <f>IF($A878="","",IFS($B878="Covered Call","Covered Call Premium",$B878="Cash Secured Put","Cash Secured Put Premium",$B878="Long Call/Put","Long Call/Put P/L",$B878="Debit Spread","Long Call/Put P/L",$B878="Stock Sale","Stock Sales",TRUE,"Other"))</f>
        <v/>
      </c>
      <c r="T878" s="11">
        <f>IF($A878="","",IF($B878="Cash Secured Put",$K878*$M878*100,IF($B878="Covered Call",$K878*$M878*100,IF($H878="Stock",$M878*$N878,""))))</f>
        <v/>
      </c>
      <c r="U878" s="19">
        <f>IF(OR($A878="",$C878&lt;&gt;"Closed",$D878="",$E878="",$T878=0),"",$R878/$T878*365/MAX(1,$E878-$D878))</f>
        <v/>
      </c>
      <c r="V878" s="14" t="n"/>
      <c r="W878" s="12" t="n"/>
    </row>
    <row r="879">
      <c r="A879" s="12" t="n"/>
      <c r="B879" s="14" t="n"/>
      <c r="C879" s="14" t="n"/>
      <c r="D879" s="15" t="n"/>
      <c r="E879" s="15" t="n"/>
      <c r="F879" s="16">
        <f>IF($E879="","",DATE(YEAR($E879),MONTH($E879),1))</f>
        <v/>
      </c>
      <c r="G879" s="14" t="n"/>
      <c r="H879" s="14" t="n"/>
      <c r="I879" s="14" t="n"/>
      <c r="J879" s="14" t="n"/>
      <c r="K879" s="17" t="n"/>
      <c r="L879" s="15" t="n"/>
      <c r="M879" s="14" t="n"/>
      <c r="N879" s="17" t="n"/>
      <c r="O879" s="17" t="n"/>
      <c r="P879" s="18" t="n"/>
      <c r="Q879" s="11">
        <f>IF($A879="","",IF($H879="Stock",IF($I879="Buy",-$M879*$N879-$P879,IF($I879="Sell",IF($N879="", $M879*$O879-$P879,($O879-$N879)*$M879-$P879),"")),IF($I879="Sell",($N879-IF($O879="",0,$O879))*$M879*100-$P879,IF($I879="Buy",(IF($O879="",0,$O879)-$N879)*$M879*100-$P879,""))))</f>
        <v/>
      </c>
      <c r="R879" s="11">
        <f>IF($A879="","",IF($C879="Open","",$Q879))</f>
        <v/>
      </c>
      <c r="S879" s="12">
        <f>IF($A879="","",IFS($B879="Covered Call","Covered Call Premium",$B879="Cash Secured Put","Cash Secured Put Premium",$B879="Long Call/Put","Long Call/Put P/L",$B879="Debit Spread","Long Call/Put P/L",$B879="Stock Sale","Stock Sales",TRUE,"Other"))</f>
        <v/>
      </c>
      <c r="T879" s="11">
        <f>IF($A879="","",IF($B879="Cash Secured Put",$K879*$M879*100,IF($B879="Covered Call",$K879*$M879*100,IF($H879="Stock",$M879*$N879,""))))</f>
        <v/>
      </c>
      <c r="U879" s="19">
        <f>IF(OR($A879="",$C879&lt;&gt;"Closed",$D879="",$E879="",$T879=0),"",$R879/$T879*365/MAX(1,$E879-$D879))</f>
        <v/>
      </c>
      <c r="V879" s="14" t="n"/>
      <c r="W879" s="12" t="n"/>
    </row>
    <row r="880">
      <c r="A880" s="12" t="n"/>
      <c r="B880" s="14" t="n"/>
      <c r="C880" s="14" t="n"/>
      <c r="D880" s="15" t="n"/>
      <c r="E880" s="15" t="n"/>
      <c r="F880" s="16">
        <f>IF($E880="","",DATE(YEAR($E880),MONTH($E880),1))</f>
        <v/>
      </c>
      <c r="G880" s="14" t="n"/>
      <c r="H880" s="14" t="n"/>
      <c r="I880" s="14" t="n"/>
      <c r="J880" s="14" t="n"/>
      <c r="K880" s="17" t="n"/>
      <c r="L880" s="15" t="n"/>
      <c r="M880" s="14" t="n"/>
      <c r="N880" s="17" t="n"/>
      <c r="O880" s="17" t="n"/>
      <c r="P880" s="18" t="n"/>
      <c r="Q880" s="11">
        <f>IF($A880="","",IF($H880="Stock",IF($I880="Buy",-$M880*$N880-$P880,IF($I880="Sell",IF($N880="", $M880*$O880-$P880,($O880-$N880)*$M880-$P880),"")),IF($I880="Sell",($N880-IF($O880="",0,$O880))*$M880*100-$P880,IF($I880="Buy",(IF($O880="",0,$O880)-$N880)*$M880*100-$P880,""))))</f>
        <v/>
      </c>
      <c r="R880" s="11">
        <f>IF($A880="","",IF($C880="Open","",$Q880))</f>
        <v/>
      </c>
      <c r="S880" s="12">
        <f>IF($A880="","",IFS($B880="Covered Call","Covered Call Premium",$B880="Cash Secured Put","Cash Secured Put Premium",$B880="Long Call/Put","Long Call/Put P/L",$B880="Debit Spread","Long Call/Put P/L",$B880="Stock Sale","Stock Sales",TRUE,"Other"))</f>
        <v/>
      </c>
      <c r="T880" s="11">
        <f>IF($A880="","",IF($B880="Cash Secured Put",$K880*$M880*100,IF($B880="Covered Call",$K880*$M880*100,IF($H880="Stock",$M880*$N880,""))))</f>
        <v/>
      </c>
      <c r="U880" s="19">
        <f>IF(OR($A880="",$C880&lt;&gt;"Closed",$D880="",$E880="",$T880=0),"",$R880/$T880*365/MAX(1,$E880-$D880))</f>
        <v/>
      </c>
      <c r="V880" s="14" t="n"/>
      <c r="W880" s="12" t="n"/>
    </row>
    <row r="881">
      <c r="A881" s="12" t="n"/>
      <c r="B881" s="14" t="n"/>
      <c r="C881" s="14" t="n"/>
      <c r="D881" s="15" t="n"/>
      <c r="E881" s="15" t="n"/>
      <c r="F881" s="16">
        <f>IF($E881="","",DATE(YEAR($E881),MONTH($E881),1))</f>
        <v/>
      </c>
      <c r="G881" s="14" t="n"/>
      <c r="H881" s="14" t="n"/>
      <c r="I881" s="14" t="n"/>
      <c r="J881" s="14" t="n"/>
      <c r="K881" s="17" t="n"/>
      <c r="L881" s="15" t="n"/>
      <c r="M881" s="14" t="n"/>
      <c r="N881" s="17" t="n"/>
      <c r="O881" s="17" t="n"/>
      <c r="P881" s="18" t="n"/>
      <c r="Q881" s="11">
        <f>IF($A881="","",IF($H881="Stock",IF($I881="Buy",-$M881*$N881-$P881,IF($I881="Sell",IF($N881="", $M881*$O881-$P881,($O881-$N881)*$M881-$P881),"")),IF($I881="Sell",($N881-IF($O881="",0,$O881))*$M881*100-$P881,IF($I881="Buy",(IF($O881="",0,$O881)-$N881)*$M881*100-$P881,""))))</f>
        <v/>
      </c>
      <c r="R881" s="11">
        <f>IF($A881="","",IF($C881="Open","",$Q881))</f>
        <v/>
      </c>
      <c r="S881" s="12">
        <f>IF($A881="","",IFS($B881="Covered Call","Covered Call Premium",$B881="Cash Secured Put","Cash Secured Put Premium",$B881="Long Call/Put","Long Call/Put P/L",$B881="Debit Spread","Long Call/Put P/L",$B881="Stock Sale","Stock Sales",TRUE,"Other"))</f>
        <v/>
      </c>
      <c r="T881" s="11">
        <f>IF($A881="","",IF($B881="Cash Secured Put",$K881*$M881*100,IF($B881="Covered Call",$K881*$M881*100,IF($H881="Stock",$M881*$N881,""))))</f>
        <v/>
      </c>
      <c r="U881" s="19">
        <f>IF(OR($A881="",$C881&lt;&gt;"Closed",$D881="",$E881="",$T881=0),"",$R881/$T881*365/MAX(1,$E881-$D881))</f>
        <v/>
      </c>
      <c r="V881" s="14" t="n"/>
      <c r="W881" s="12" t="n"/>
    </row>
    <row r="882">
      <c r="A882" s="12" t="n"/>
      <c r="B882" s="14" t="n"/>
      <c r="C882" s="14" t="n"/>
      <c r="D882" s="15" t="n"/>
      <c r="E882" s="15" t="n"/>
      <c r="F882" s="16">
        <f>IF($E882="","",DATE(YEAR($E882),MONTH($E882),1))</f>
        <v/>
      </c>
      <c r="G882" s="14" t="n"/>
      <c r="H882" s="14" t="n"/>
      <c r="I882" s="14" t="n"/>
      <c r="J882" s="14" t="n"/>
      <c r="K882" s="17" t="n"/>
      <c r="L882" s="15" t="n"/>
      <c r="M882" s="14" t="n"/>
      <c r="N882" s="17" t="n"/>
      <c r="O882" s="17" t="n"/>
      <c r="P882" s="18" t="n"/>
      <c r="Q882" s="11">
        <f>IF($A882="","",IF($H882="Stock",IF($I882="Buy",-$M882*$N882-$P882,IF($I882="Sell",IF($N882="", $M882*$O882-$P882,($O882-$N882)*$M882-$P882),"")),IF($I882="Sell",($N882-IF($O882="",0,$O882))*$M882*100-$P882,IF($I882="Buy",(IF($O882="",0,$O882)-$N882)*$M882*100-$P882,""))))</f>
        <v/>
      </c>
      <c r="R882" s="11">
        <f>IF($A882="","",IF($C882="Open","",$Q882))</f>
        <v/>
      </c>
      <c r="S882" s="12">
        <f>IF($A882="","",IFS($B882="Covered Call","Covered Call Premium",$B882="Cash Secured Put","Cash Secured Put Premium",$B882="Long Call/Put","Long Call/Put P/L",$B882="Debit Spread","Long Call/Put P/L",$B882="Stock Sale","Stock Sales",TRUE,"Other"))</f>
        <v/>
      </c>
      <c r="T882" s="11">
        <f>IF($A882="","",IF($B882="Cash Secured Put",$K882*$M882*100,IF($B882="Covered Call",$K882*$M882*100,IF($H882="Stock",$M882*$N882,""))))</f>
        <v/>
      </c>
      <c r="U882" s="19">
        <f>IF(OR($A882="",$C882&lt;&gt;"Closed",$D882="",$E882="",$T882=0),"",$R882/$T882*365/MAX(1,$E882-$D882))</f>
        <v/>
      </c>
      <c r="V882" s="14" t="n"/>
      <c r="W882" s="12" t="n"/>
    </row>
    <row r="883">
      <c r="A883" s="12" t="n"/>
      <c r="B883" s="14" t="n"/>
      <c r="C883" s="14" t="n"/>
      <c r="D883" s="15" t="n"/>
      <c r="E883" s="15" t="n"/>
      <c r="F883" s="16">
        <f>IF($E883="","",DATE(YEAR($E883),MONTH($E883),1))</f>
        <v/>
      </c>
      <c r="G883" s="14" t="n"/>
      <c r="H883" s="14" t="n"/>
      <c r="I883" s="14" t="n"/>
      <c r="J883" s="14" t="n"/>
      <c r="K883" s="17" t="n"/>
      <c r="L883" s="15" t="n"/>
      <c r="M883" s="14" t="n"/>
      <c r="N883" s="17" t="n"/>
      <c r="O883" s="17" t="n"/>
      <c r="P883" s="18" t="n"/>
      <c r="Q883" s="11">
        <f>IF($A883="","",IF($H883="Stock",IF($I883="Buy",-$M883*$N883-$P883,IF($I883="Sell",IF($N883="", $M883*$O883-$P883,($O883-$N883)*$M883-$P883),"")),IF($I883="Sell",($N883-IF($O883="",0,$O883))*$M883*100-$P883,IF($I883="Buy",(IF($O883="",0,$O883)-$N883)*$M883*100-$P883,""))))</f>
        <v/>
      </c>
      <c r="R883" s="11">
        <f>IF($A883="","",IF($C883="Open","",$Q883))</f>
        <v/>
      </c>
      <c r="S883" s="12">
        <f>IF($A883="","",IFS($B883="Covered Call","Covered Call Premium",$B883="Cash Secured Put","Cash Secured Put Premium",$B883="Long Call/Put","Long Call/Put P/L",$B883="Debit Spread","Long Call/Put P/L",$B883="Stock Sale","Stock Sales",TRUE,"Other"))</f>
        <v/>
      </c>
      <c r="T883" s="11">
        <f>IF($A883="","",IF($B883="Cash Secured Put",$K883*$M883*100,IF($B883="Covered Call",$K883*$M883*100,IF($H883="Stock",$M883*$N883,""))))</f>
        <v/>
      </c>
      <c r="U883" s="19">
        <f>IF(OR($A883="",$C883&lt;&gt;"Closed",$D883="",$E883="",$T883=0),"",$R883/$T883*365/MAX(1,$E883-$D883))</f>
        <v/>
      </c>
      <c r="V883" s="14" t="n"/>
      <c r="W883" s="12" t="n"/>
    </row>
    <row r="884">
      <c r="A884" s="12" t="n"/>
      <c r="B884" s="14" t="n"/>
      <c r="C884" s="14" t="n"/>
      <c r="D884" s="15" t="n"/>
      <c r="E884" s="15" t="n"/>
      <c r="F884" s="16">
        <f>IF($E884="","",DATE(YEAR($E884),MONTH($E884),1))</f>
        <v/>
      </c>
      <c r="G884" s="14" t="n"/>
      <c r="H884" s="14" t="n"/>
      <c r="I884" s="14" t="n"/>
      <c r="J884" s="14" t="n"/>
      <c r="K884" s="17" t="n"/>
      <c r="L884" s="15" t="n"/>
      <c r="M884" s="14" t="n"/>
      <c r="N884" s="17" t="n"/>
      <c r="O884" s="17" t="n"/>
      <c r="P884" s="18" t="n"/>
      <c r="Q884" s="11">
        <f>IF($A884="","",IF($H884="Stock",IF($I884="Buy",-$M884*$N884-$P884,IF($I884="Sell",IF($N884="", $M884*$O884-$P884,($O884-$N884)*$M884-$P884),"")),IF($I884="Sell",($N884-IF($O884="",0,$O884))*$M884*100-$P884,IF($I884="Buy",(IF($O884="",0,$O884)-$N884)*$M884*100-$P884,""))))</f>
        <v/>
      </c>
      <c r="R884" s="11">
        <f>IF($A884="","",IF($C884="Open","",$Q884))</f>
        <v/>
      </c>
      <c r="S884" s="12">
        <f>IF($A884="","",IFS($B884="Covered Call","Covered Call Premium",$B884="Cash Secured Put","Cash Secured Put Premium",$B884="Long Call/Put","Long Call/Put P/L",$B884="Debit Spread","Long Call/Put P/L",$B884="Stock Sale","Stock Sales",TRUE,"Other"))</f>
        <v/>
      </c>
      <c r="T884" s="11">
        <f>IF($A884="","",IF($B884="Cash Secured Put",$K884*$M884*100,IF($B884="Covered Call",$K884*$M884*100,IF($H884="Stock",$M884*$N884,""))))</f>
        <v/>
      </c>
      <c r="U884" s="19">
        <f>IF(OR($A884="",$C884&lt;&gt;"Closed",$D884="",$E884="",$T884=0),"",$R884/$T884*365/MAX(1,$E884-$D884))</f>
        <v/>
      </c>
      <c r="V884" s="14" t="n"/>
      <c r="W884" s="12" t="n"/>
    </row>
    <row r="885">
      <c r="A885" s="12" t="n"/>
      <c r="B885" s="14" t="n"/>
      <c r="C885" s="14" t="n"/>
      <c r="D885" s="15" t="n"/>
      <c r="E885" s="15" t="n"/>
      <c r="F885" s="16">
        <f>IF($E885="","",DATE(YEAR($E885),MONTH($E885),1))</f>
        <v/>
      </c>
      <c r="G885" s="14" t="n"/>
      <c r="H885" s="14" t="n"/>
      <c r="I885" s="14" t="n"/>
      <c r="J885" s="14" t="n"/>
      <c r="K885" s="17" t="n"/>
      <c r="L885" s="15" t="n"/>
      <c r="M885" s="14" t="n"/>
      <c r="N885" s="17" t="n"/>
      <c r="O885" s="17" t="n"/>
      <c r="P885" s="18" t="n"/>
      <c r="Q885" s="11">
        <f>IF($A885="","",IF($H885="Stock",IF($I885="Buy",-$M885*$N885-$P885,IF($I885="Sell",IF($N885="", $M885*$O885-$P885,($O885-$N885)*$M885-$P885),"")),IF($I885="Sell",($N885-IF($O885="",0,$O885))*$M885*100-$P885,IF($I885="Buy",(IF($O885="",0,$O885)-$N885)*$M885*100-$P885,""))))</f>
        <v/>
      </c>
      <c r="R885" s="11">
        <f>IF($A885="","",IF($C885="Open","",$Q885))</f>
        <v/>
      </c>
      <c r="S885" s="12">
        <f>IF($A885="","",IFS($B885="Covered Call","Covered Call Premium",$B885="Cash Secured Put","Cash Secured Put Premium",$B885="Long Call/Put","Long Call/Put P/L",$B885="Debit Spread","Long Call/Put P/L",$B885="Stock Sale","Stock Sales",TRUE,"Other"))</f>
        <v/>
      </c>
      <c r="T885" s="11">
        <f>IF($A885="","",IF($B885="Cash Secured Put",$K885*$M885*100,IF($B885="Covered Call",$K885*$M885*100,IF($H885="Stock",$M885*$N885,""))))</f>
        <v/>
      </c>
      <c r="U885" s="19">
        <f>IF(OR($A885="",$C885&lt;&gt;"Closed",$D885="",$E885="",$T885=0),"",$R885/$T885*365/MAX(1,$E885-$D885))</f>
        <v/>
      </c>
      <c r="V885" s="14" t="n"/>
      <c r="W885" s="12" t="n"/>
    </row>
    <row r="886">
      <c r="A886" s="12" t="n"/>
      <c r="B886" s="14" t="n"/>
      <c r="C886" s="14" t="n"/>
      <c r="D886" s="15" t="n"/>
      <c r="E886" s="15" t="n"/>
      <c r="F886" s="16">
        <f>IF($E886="","",DATE(YEAR($E886),MONTH($E886),1))</f>
        <v/>
      </c>
      <c r="G886" s="14" t="n"/>
      <c r="H886" s="14" t="n"/>
      <c r="I886" s="14" t="n"/>
      <c r="J886" s="14" t="n"/>
      <c r="K886" s="17" t="n"/>
      <c r="L886" s="15" t="n"/>
      <c r="M886" s="14" t="n"/>
      <c r="N886" s="17" t="n"/>
      <c r="O886" s="17" t="n"/>
      <c r="P886" s="18" t="n"/>
      <c r="Q886" s="11">
        <f>IF($A886="","",IF($H886="Stock",IF($I886="Buy",-$M886*$N886-$P886,IF($I886="Sell",IF($N886="", $M886*$O886-$P886,($O886-$N886)*$M886-$P886),"")),IF($I886="Sell",($N886-IF($O886="",0,$O886))*$M886*100-$P886,IF($I886="Buy",(IF($O886="",0,$O886)-$N886)*$M886*100-$P886,""))))</f>
        <v/>
      </c>
      <c r="R886" s="11">
        <f>IF($A886="","",IF($C886="Open","",$Q886))</f>
        <v/>
      </c>
      <c r="S886" s="12">
        <f>IF($A886="","",IFS($B886="Covered Call","Covered Call Premium",$B886="Cash Secured Put","Cash Secured Put Premium",$B886="Long Call/Put","Long Call/Put P/L",$B886="Debit Spread","Long Call/Put P/L",$B886="Stock Sale","Stock Sales",TRUE,"Other"))</f>
        <v/>
      </c>
      <c r="T886" s="11">
        <f>IF($A886="","",IF($B886="Cash Secured Put",$K886*$M886*100,IF($B886="Covered Call",$K886*$M886*100,IF($H886="Stock",$M886*$N886,""))))</f>
        <v/>
      </c>
      <c r="U886" s="19">
        <f>IF(OR($A886="",$C886&lt;&gt;"Closed",$D886="",$E886="",$T886=0),"",$R886/$T886*365/MAX(1,$E886-$D886))</f>
        <v/>
      </c>
      <c r="V886" s="14" t="n"/>
      <c r="W886" s="12" t="n"/>
    </row>
    <row r="887">
      <c r="A887" s="12" t="n"/>
      <c r="B887" s="14" t="n"/>
      <c r="C887" s="14" t="n"/>
      <c r="D887" s="15" t="n"/>
      <c r="E887" s="15" t="n"/>
      <c r="F887" s="16">
        <f>IF($E887="","",DATE(YEAR($E887),MONTH($E887),1))</f>
        <v/>
      </c>
      <c r="G887" s="14" t="n"/>
      <c r="H887" s="14" t="n"/>
      <c r="I887" s="14" t="n"/>
      <c r="J887" s="14" t="n"/>
      <c r="K887" s="17" t="n"/>
      <c r="L887" s="15" t="n"/>
      <c r="M887" s="14" t="n"/>
      <c r="N887" s="17" t="n"/>
      <c r="O887" s="17" t="n"/>
      <c r="P887" s="18" t="n"/>
      <c r="Q887" s="11">
        <f>IF($A887="","",IF($H887="Stock",IF($I887="Buy",-$M887*$N887-$P887,IF($I887="Sell",IF($N887="", $M887*$O887-$P887,($O887-$N887)*$M887-$P887),"")),IF($I887="Sell",($N887-IF($O887="",0,$O887))*$M887*100-$P887,IF($I887="Buy",(IF($O887="",0,$O887)-$N887)*$M887*100-$P887,""))))</f>
        <v/>
      </c>
      <c r="R887" s="11">
        <f>IF($A887="","",IF($C887="Open","",$Q887))</f>
        <v/>
      </c>
      <c r="S887" s="12">
        <f>IF($A887="","",IFS($B887="Covered Call","Covered Call Premium",$B887="Cash Secured Put","Cash Secured Put Premium",$B887="Long Call/Put","Long Call/Put P/L",$B887="Debit Spread","Long Call/Put P/L",$B887="Stock Sale","Stock Sales",TRUE,"Other"))</f>
        <v/>
      </c>
      <c r="T887" s="11">
        <f>IF($A887="","",IF($B887="Cash Secured Put",$K887*$M887*100,IF($B887="Covered Call",$K887*$M887*100,IF($H887="Stock",$M887*$N887,""))))</f>
        <v/>
      </c>
      <c r="U887" s="19">
        <f>IF(OR($A887="",$C887&lt;&gt;"Closed",$D887="",$E887="",$T887=0),"",$R887/$T887*365/MAX(1,$E887-$D887))</f>
        <v/>
      </c>
      <c r="V887" s="14" t="n"/>
      <c r="W887" s="12" t="n"/>
    </row>
    <row r="888">
      <c r="A888" s="12" t="n"/>
      <c r="B888" s="14" t="n"/>
      <c r="C888" s="14" t="n"/>
      <c r="D888" s="15" t="n"/>
      <c r="E888" s="15" t="n"/>
      <c r="F888" s="16">
        <f>IF($E888="","",DATE(YEAR($E888),MONTH($E888),1))</f>
        <v/>
      </c>
      <c r="G888" s="14" t="n"/>
      <c r="H888" s="14" t="n"/>
      <c r="I888" s="14" t="n"/>
      <c r="J888" s="14" t="n"/>
      <c r="K888" s="17" t="n"/>
      <c r="L888" s="15" t="n"/>
      <c r="M888" s="14" t="n"/>
      <c r="N888" s="17" t="n"/>
      <c r="O888" s="17" t="n"/>
      <c r="P888" s="18" t="n"/>
      <c r="Q888" s="11">
        <f>IF($A888="","",IF($H888="Stock",IF($I888="Buy",-$M888*$N888-$P888,IF($I888="Sell",IF($N888="", $M888*$O888-$P888,($O888-$N888)*$M888-$P888),"")),IF($I888="Sell",($N888-IF($O888="",0,$O888))*$M888*100-$P888,IF($I888="Buy",(IF($O888="",0,$O888)-$N888)*$M888*100-$P888,""))))</f>
        <v/>
      </c>
      <c r="R888" s="11">
        <f>IF($A888="","",IF($C888="Open","",$Q888))</f>
        <v/>
      </c>
      <c r="S888" s="12">
        <f>IF($A888="","",IFS($B888="Covered Call","Covered Call Premium",$B888="Cash Secured Put","Cash Secured Put Premium",$B888="Long Call/Put","Long Call/Put P/L",$B888="Debit Spread","Long Call/Put P/L",$B888="Stock Sale","Stock Sales",TRUE,"Other"))</f>
        <v/>
      </c>
      <c r="T888" s="11">
        <f>IF($A888="","",IF($B888="Cash Secured Put",$K888*$M888*100,IF($B888="Covered Call",$K888*$M888*100,IF($H888="Stock",$M888*$N888,""))))</f>
        <v/>
      </c>
      <c r="U888" s="19">
        <f>IF(OR($A888="",$C888&lt;&gt;"Closed",$D888="",$E888="",$T888=0),"",$R888/$T888*365/MAX(1,$E888-$D888))</f>
        <v/>
      </c>
      <c r="V888" s="14" t="n"/>
      <c r="W888" s="12" t="n"/>
    </row>
    <row r="889">
      <c r="A889" s="12" t="n"/>
      <c r="B889" s="14" t="n"/>
      <c r="C889" s="14" t="n"/>
      <c r="D889" s="15" t="n"/>
      <c r="E889" s="15" t="n"/>
      <c r="F889" s="16">
        <f>IF($E889="","",DATE(YEAR($E889),MONTH($E889),1))</f>
        <v/>
      </c>
      <c r="G889" s="14" t="n"/>
      <c r="H889" s="14" t="n"/>
      <c r="I889" s="14" t="n"/>
      <c r="J889" s="14" t="n"/>
      <c r="K889" s="17" t="n"/>
      <c r="L889" s="15" t="n"/>
      <c r="M889" s="14" t="n"/>
      <c r="N889" s="17" t="n"/>
      <c r="O889" s="17" t="n"/>
      <c r="P889" s="18" t="n"/>
      <c r="Q889" s="11">
        <f>IF($A889="","",IF($H889="Stock",IF($I889="Buy",-$M889*$N889-$P889,IF($I889="Sell",IF($N889="", $M889*$O889-$P889,($O889-$N889)*$M889-$P889),"")),IF($I889="Sell",($N889-IF($O889="",0,$O889))*$M889*100-$P889,IF($I889="Buy",(IF($O889="",0,$O889)-$N889)*$M889*100-$P889,""))))</f>
        <v/>
      </c>
      <c r="R889" s="11">
        <f>IF($A889="","",IF($C889="Open","",$Q889))</f>
        <v/>
      </c>
      <c r="S889" s="12">
        <f>IF($A889="","",IFS($B889="Covered Call","Covered Call Premium",$B889="Cash Secured Put","Cash Secured Put Premium",$B889="Long Call/Put","Long Call/Put P/L",$B889="Debit Spread","Long Call/Put P/L",$B889="Stock Sale","Stock Sales",TRUE,"Other"))</f>
        <v/>
      </c>
      <c r="T889" s="11">
        <f>IF($A889="","",IF($B889="Cash Secured Put",$K889*$M889*100,IF($B889="Covered Call",$K889*$M889*100,IF($H889="Stock",$M889*$N889,""))))</f>
        <v/>
      </c>
      <c r="U889" s="19">
        <f>IF(OR($A889="",$C889&lt;&gt;"Closed",$D889="",$E889="",$T889=0),"",$R889/$T889*365/MAX(1,$E889-$D889))</f>
        <v/>
      </c>
      <c r="V889" s="14" t="n"/>
      <c r="W889" s="12" t="n"/>
    </row>
    <row r="890">
      <c r="A890" s="12" t="n"/>
      <c r="B890" s="14" t="n"/>
      <c r="C890" s="14" t="n"/>
      <c r="D890" s="15" t="n"/>
      <c r="E890" s="15" t="n"/>
      <c r="F890" s="16">
        <f>IF($E890="","",DATE(YEAR($E890),MONTH($E890),1))</f>
        <v/>
      </c>
      <c r="G890" s="14" t="n"/>
      <c r="H890" s="14" t="n"/>
      <c r="I890" s="14" t="n"/>
      <c r="J890" s="14" t="n"/>
      <c r="K890" s="17" t="n"/>
      <c r="L890" s="15" t="n"/>
      <c r="M890" s="14" t="n"/>
      <c r="N890" s="17" t="n"/>
      <c r="O890" s="17" t="n"/>
      <c r="P890" s="18" t="n"/>
      <c r="Q890" s="11">
        <f>IF($A890="","",IF($H890="Stock",IF($I890="Buy",-$M890*$N890-$P890,IF($I890="Sell",IF($N890="", $M890*$O890-$P890,($O890-$N890)*$M890-$P890),"")),IF($I890="Sell",($N890-IF($O890="",0,$O890))*$M890*100-$P890,IF($I890="Buy",(IF($O890="",0,$O890)-$N890)*$M890*100-$P890,""))))</f>
        <v/>
      </c>
      <c r="R890" s="11">
        <f>IF($A890="","",IF($C890="Open","",$Q890))</f>
        <v/>
      </c>
      <c r="S890" s="12">
        <f>IF($A890="","",IFS($B890="Covered Call","Covered Call Premium",$B890="Cash Secured Put","Cash Secured Put Premium",$B890="Long Call/Put","Long Call/Put P/L",$B890="Debit Spread","Long Call/Put P/L",$B890="Stock Sale","Stock Sales",TRUE,"Other"))</f>
        <v/>
      </c>
      <c r="T890" s="11">
        <f>IF($A890="","",IF($B890="Cash Secured Put",$K890*$M890*100,IF($B890="Covered Call",$K890*$M890*100,IF($H890="Stock",$M890*$N890,""))))</f>
        <v/>
      </c>
      <c r="U890" s="19">
        <f>IF(OR($A890="",$C890&lt;&gt;"Closed",$D890="",$E890="",$T890=0),"",$R890/$T890*365/MAX(1,$E890-$D890))</f>
        <v/>
      </c>
      <c r="V890" s="14" t="n"/>
      <c r="W890" s="12" t="n"/>
    </row>
    <row r="891">
      <c r="A891" s="12" t="n"/>
      <c r="B891" s="14" t="n"/>
      <c r="C891" s="14" t="n"/>
      <c r="D891" s="15" t="n"/>
      <c r="E891" s="15" t="n"/>
      <c r="F891" s="16">
        <f>IF($E891="","",DATE(YEAR($E891),MONTH($E891),1))</f>
        <v/>
      </c>
      <c r="G891" s="14" t="n"/>
      <c r="H891" s="14" t="n"/>
      <c r="I891" s="14" t="n"/>
      <c r="J891" s="14" t="n"/>
      <c r="K891" s="17" t="n"/>
      <c r="L891" s="15" t="n"/>
      <c r="M891" s="14" t="n"/>
      <c r="N891" s="17" t="n"/>
      <c r="O891" s="17" t="n"/>
      <c r="P891" s="18" t="n"/>
      <c r="Q891" s="11">
        <f>IF($A891="","",IF($H891="Stock",IF($I891="Buy",-$M891*$N891-$P891,IF($I891="Sell",IF($N891="", $M891*$O891-$P891,($O891-$N891)*$M891-$P891),"")),IF($I891="Sell",($N891-IF($O891="",0,$O891))*$M891*100-$P891,IF($I891="Buy",(IF($O891="",0,$O891)-$N891)*$M891*100-$P891,""))))</f>
        <v/>
      </c>
      <c r="R891" s="11">
        <f>IF($A891="","",IF($C891="Open","",$Q891))</f>
        <v/>
      </c>
      <c r="S891" s="12">
        <f>IF($A891="","",IFS($B891="Covered Call","Covered Call Premium",$B891="Cash Secured Put","Cash Secured Put Premium",$B891="Long Call/Put","Long Call/Put P/L",$B891="Debit Spread","Long Call/Put P/L",$B891="Stock Sale","Stock Sales",TRUE,"Other"))</f>
        <v/>
      </c>
      <c r="T891" s="11">
        <f>IF($A891="","",IF($B891="Cash Secured Put",$K891*$M891*100,IF($B891="Covered Call",$K891*$M891*100,IF($H891="Stock",$M891*$N891,""))))</f>
        <v/>
      </c>
      <c r="U891" s="19">
        <f>IF(OR($A891="",$C891&lt;&gt;"Closed",$D891="",$E891="",$T891=0),"",$R891/$T891*365/MAX(1,$E891-$D891))</f>
        <v/>
      </c>
      <c r="V891" s="14" t="n"/>
      <c r="W891" s="12" t="n"/>
    </row>
    <row r="892">
      <c r="A892" s="12" t="n"/>
      <c r="B892" s="14" t="n"/>
      <c r="C892" s="14" t="n"/>
      <c r="D892" s="15" t="n"/>
      <c r="E892" s="15" t="n"/>
      <c r="F892" s="16">
        <f>IF($E892="","",DATE(YEAR($E892),MONTH($E892),1))</f>
        <v/>
      </c>
      <c r="G892" s="14" t="n"/>
      <c r="H892" s="14" t="n"/>
      <c r="I892" s="14" t="n"/>
      <c r="J892" s="14" t="n"/>
      <c r="K892" s="17" t="n"/>
      <c r="L892" s="15" t="n"/>
      <c r="M892" s="14" t="n"/>
      <c r="N892" s="17" t="n"/>
      <c r="O892" s="17" t="n"/>
      <c r="P892" s="18" t="n"/>
      <c r="Q892" s="11">
        <f>IF($A892="","",IF($H892="Stock",IF($I892="Buy",-$M892*$N892-$P892,IF($I892="Sell",IF($N892="", $M892*$O892-$P892,($O892-$N892)*$M892-$P892),"")),IF($I892="Sell",($N892-IF($O892="",0,$O892))*$M892*100-$P892,IF($I892="Buy",(IF($O892="",0,$O892)-$N892)*$M892*100-$P892,""))))</f>
        <v/>
      </c>
      <c r="R892" s="11">
        <f>IF($A892="","",IF($C892="Open","",$Q892))</f>
        <v/>
      </c>
      <c r="S892" s="12">
        <f>IF($A892="","",IFS($B892="Covered Call","Covered Call Premium",$B892="Cash Secured Put","Cash Secured Put Premium",$B892="Long Call/Put","Long Call/Put P/L",$B892="Debit Spread","Long Call/Put P/L",$B892="Stock Sale","Stock Sales",TRUE,"Other"))</f>
        <v/>
      </c>
      <c r="T892" s="11">
        <f>IF($A892="","",IF($B892="Cash Secured Put",$K892*$M892*100,IF($B892="Covered Call",$K892*$M892*100,IF($H892="Stock",$M892*$N892,""))))</f>
        <v/>
      </c>
      <c r="U892" s="19">
        <f>IF(OR($A892="",$C892&lt;&gt;"Closed",$D892="",$E892="",$T892=0),"",$R892/$T892*365/MAX(1,$E892-$D892))</f>
        <v/>
      </c>
      <c r="V892" s="14" t="n"/>
      <c r="W892" s="12" t="n"/>
    </row>
    <row r="893">
      <c r="A893" s="12" t="n"/>
      <c r="B893" s="14" t="n"/>
      <c r="C893" s="14" t="n"/>
      <c r="D893" s="15" t="n"/>
      <c r="E893" s="15" t="n"/>
      <c r="F893" s="16">
        <f>IF($E893="","",DATE(YEAR($E893),MONTH($E893),1))</f>
        <v/>
      </c>
      <c r="G893" s="14" t="n"/>
      <c r="H893" s="14" t="n"/>
      <c r="I893" s="14" t="n"/>
      <c r="J893" s="14" t="n"/>
      <c r="K893" s="17" t="n"/>
      <c r="L893" s="15" t="n"/>
      <c r="M893" s="14" t="n"/>
      <c r="N893" s="17" t="n"/>
      <c r="O893" s="17" t="n"/>
      <c r="P893" s="18" t="n"/>
      <c r="Q893" s="11">
        <f>IF($A893="","",IF($H893="Stock",IF($I893="Buy",-$M893*$N893-$P893,IF($I893="Sell",IF($N893="", $M893*$O893-$P893,($O893-$N893)*$M893-$P893),"")),IF($I893="Sell",($N893-IF($O893="",0,$O893))*$M893*100-$P893,IF($I893="Buy",(IF($O893="",0,$O893)-$N893)*$M893*100-$P893,""))))</f>
        <v/>
      </c>
      <c r="R893" s="11">
        <f>IF($A893="","",IF($C893="Open","",$Q893))</f>
        <v/>
      </c>
      <c r="S893" s="12">
        <f>IF($A893="","",IFS($B893="Covered Call","Covered Call Premium",$B893="Cash Secured Put","Cash Secured Put Premium",$B893="Long Call/Put","Long Call/Put P/L",$B893="Debit Spread","Long Call/Put P/L",$B893="Stock Sale","Stock Sales",TRUE,"Other"))</f>
        <v/>
      </c>
      <c r="T893" s="11">
        <f>IF($A893="","",IF($B893="Cash Secured Put",$K893*$M893*100,IF($B893="Covered Call",$K893*$M893*100,IF($H893="Stock",$M893*$N893,""))))</f>
        <v/>
      </c>
      <c r="U893" s="19">
        <f>IF(OR($A893="",$C893&lt;&gt;"Closed",$D893="",$E893="",$T893=0),"",$R893/$T893*365/MAX(1,$E893-$D893))</f>
        <v/>
      </c>
      <c r="V893" s="14" t="n"/>
      <c r="W893" s="12" t="n"/>
    </row>
    <row r="894">
      <c r="A894" s="12" t="n"/>
      <c r="B894" s="14" t="n"/>
      <c r="C894" s="14" t="n"/>
      <c r="D894" s="15" t="n"/>
      <c r="E894" s="15" t="n"/>
      <c r="F894" s="16">
        <f>IF($E894="","",DATE(YEAR($E894),MONTH($E894),1))</f>
        <v/>
      </c>
      <c r="G894" s="14" t="n"/>
      <c r="H894" s="14" t="n"/>
      <c r="I894" s="14" t="n"/>
      <c r="J894" s="14" t="n"/>
      <c r="K894" s="17" t="n"/>
      <c r="L894" s="15" t="n"/>
      <c r="M894" s="14" t="n"/>
      <c r="N894" s="17" t="n"/>
      <c r="O894" s="17" t="n"/>
      <c r="P894" s="18" t="n"/>
      <c r="Q894" s="11">
        <f>IF($A894="","",IF($H894="Stock",IF($I894="Buy",-$M894*$N894-$P894,IF($I894="Sell",IF($N894="", $M894*$O894-$P894,($O894-$N894)*$M894-$P894),"")),IF($I894="Sell",($N894-IF($O894="",0,$O894))*$M894*100-$P894,IF($I894="Buy",(IF($O894="",0,$O894)-$N894)*$M894*100-$P894,""))))</f>
        <v/>
      </c>
      <c r="R894" s="11">
        <f>IF($A894="","",IF($C894="Open","",$Q894))</f>
        <v/>
      </c>
      <c r="S894" s="12">
        <f>IF($A894="","",IFS($B894="Covered Call","Covered Call Premium",$B894="Cash Secured Put","Cash Secured Put Premium",$B894="Long Call/Put","Long Call/Put P/L",$B894="Debit Spread","Long Call/Put P/L",$B894="Stock Sale","Stock Sales",TRUE,"Other"))</f>
        <v/>
      </c>
      <c r="T894" s="11">
        <f>IF($A894="","",IF($B894="Cash Secured Put",$K894*$M894*100,IF($B894="Covered Call",$K894*$M894*100,IF($H894="Stock",$M894*$N894,""))))</f>
        <v/>
      </c>
      <c r="U894" s="19">
        <f>IF(OR($A894="",$C894&lt;&gt;"Closed",$D894="",$E894="",$T894=0),"",$R894/$T894*365/MAX(1,$E894-$D894))</f>
        <v/>
      </c>
      <c r="V894" s="14" t="n"/>
      <c r="W894" s="12" t="n"/>
    </row>
    <row r="895">
      <c r="A895" s="12" t="n"/>
      <c r="B895" s="14" t="n"/>
      <c r="C895" s="14" t="n"/>
      <c r="D895" s="15" t="n"/>
      <c r="E895" s="15" t="n"/>
      <c r="F895" s="16">
        <f>IF($E895="","",DATE(YEAR($E895),MONTH($E895),1))</f>
        <v/>
      </c>
      <c r="G895" s="14" t="n"/>
      <c r="H895" s="14" t="n"/>
      <c r="I895" s="14" t="n"/>
      <c r="J895" s="14" t="n"/>
      <c r="K895" s="17" t="n"/>
      <c r="L895" s="15" t="n"/>
      <c r="M895" s="14" t="n"/>
      <c r="N895" s="17" t="n"/>
      <c r="O895" s="17" t="n"/>
      <c r="P895" s="18" t="n"/>
      <c r="Q895" s="11">
        <f>IF($A895="","",IF($H895="Stock",IF($I895="Buy",-$M895*$N895-$P895,IF($I895="Sell",IF($N895="", $M895*$O895-$P895,($O895-$N895)*$M895-$P895),"")),IF($I895="Sell",($N895-IF($O895="",0,$O895))*$M895*100-$P895,IF($I895="Buy",(IF($O895="",0,$O895)-$N895)*$M895*100-$P895,""))))</f>
        <v/>
      </c>
      <c r="R895" s="11">
        <f>IF($A895="","",IF($C895="Open","",$Q895))</f>
        <v/>
      </c>
      <c r="S895" s="12">
        <f>IF($A895="","",IFS($B895="Covered Call","Covered Call Premium",$B895="Cash Secured Put","Cash Secured Put Premium",$B895="Long Call/Put","Long Call/Put P/L",$B895="Debit Spread","Long Call/Put P/L",$B895="Stock Sale","Stock Sales",TRUE,"Other"))</f>
        <v/>
      </c>
      <c r="T895" s="11">
        <f>IF($A895="","",IF($B895="Cash Secured Put",$K895*$M895*100,IF($B895="Covered Call",$K895*$M895*100,IF($H895="Stock",$M895*$N895,""))))</f>
        <v/>
      </c>
      <c r="U895" s="19">
        <f>IF(OR($A895="",$C895&lt;&gt;"Closed",$D895="",$E895="",$T895=0),"",$R895/$T895*365/MAX(1,$E895-$D895))</f>
        <v/>
      </c>
      <c r="V895" s="14" t="n"/>
      <c r="W895" s="12" t="n"/>
    </row>
    <row r="896">
      <c r="A896" s="12" t="n"/>
      <c r="B896" s="14" t="n"/>
      <c r="C896" s="14" t="n"/>
      <c r="D896" s="15" t="n"/>
      <c r="E896" s="15" t="n"/>
      <c r="F896" s="16">
        <f>IF($E896="","",DATE(YEAR($E896),MONTH($E896),1))</f>
        <v/>
      </c>
      <c r="G896" s="14" t="n"/>
      <c r="H896" s="14" t="n"/>
      <c r="I896" s="14" t="n"/>
      <c r="J896" s="14" t="n"/>
      <c r="K896" s="17" t="n"/>
      <c r="L896" s="15" t="n"/>
      <c r="M896" s="14" t="n"/>
      <c r="N896" s="17" t="n"/>
      <c r="O896" s="17" t="n"/>
      <c r="P896" s="18" t="n"/>
      <c r="Q896" s="11">
        <f>IF($A896="","",IF($H896="Stock",IF($I896="Buy",-$M896*$N896-$P896,IF($I896="Sell",IF($N896="", $M896*$O896-$P896,($O896-$N896)*$M896-$P896),"")),IF($I896="Sell",($N896-IF($O896="",0,$O896))*$M896*100-$P896,IF($I896="Buy",(IF($O896="",0,$O896)-$N896)*$M896*100-$P896,""))))</f>
        <v/>
      </c>
      <c r="R896" s="11">
        <f>IF($A896="","",IF($C896="Open","",$Q896))</f>
        <v/>
      </c>
      <c r="S896" s="12">
        <f>IF($A896="","",IFS($B896="Covered Call","Covered Call Premium",$B896="Cash Secured Put","Cash Secured Put Premium",$B896="Long Call/Put","Long Call/Put P/L",$B896="Debit Spread","Long Call/Put P/L",$B896="Stock Sale","Stock Sales",TRUE,"Other"))</f>
        <v/>
      </c>
      <c r="T896" s="11">
        <f>IF($A896="","",IF($B896="Cash Secured Put",$K896*$M896*100,IF($B896="Covered Call",$K896*$M896*100,IF($H896="Stock",$M896*$N896,""))))</f>
        <v/>
      </c>
      <c r="U896" s="19">
        <f>IF(OR($A896="",$C896&lt;&gt;"Closed",$D896="",$E896="",$T896=0),"",$R896/$T896*365/MAX(1,$E896-$D896))</f>
        <v/>
      </c>
      <c r="V896" s="14" t="n"/>
      <c r="W896" s="12" t="n"/>
    </row>
    <row r="897">
      <c r="A897" s="12" t="n"/>
      <c r="B897" s="14" t="n"/>
      <c r="C897" s="14" t="n"/>
      <c r="D897" s="15" t="n"/>
      <c r="E897" s="15" t="n"/>
      <c r="F897" s="16">
        <f>IF($E897="","",DATE(YEAR($E897),MONTH($E897),1))</f>
        <v/>
      </c>
      <c r="G897" s="14" t="n"/>
      <c r="H897" s="14" t="n"/>
      <c r="I897" s="14" t="n"/>
      <c r="J897" s="14" t="n"/>
      <c r="K897" s="17" t="n"/>
      <c r="L897" s="15" t="n"/>
      <c r="M897" s="14" t="n"/>
      <c r="N897" s="17" t="n"/>
      <c r="O897" s="17" t="n"/>
      <c r="P897" s="18" t="n"/>
      <c r="Q897" s="11">
        <f>IF($A897="","",IF($H897="Stock",IF($I897="Buy",-$M897*$N897-$P897,IF($I897="Sell",IF($N897="", $M897*$O897-$P897,($O897-$N897)*$M897-$P897),"")),IF($I897="Sell",($N897-IF($O897="",0,$O897))*$M897*100-$P897,IF($I897="Buy",(IF($O897="",0,$O897)-$N897)*$M897*100-$P897,""))))</f>
        <v/>
      </c>
      <c r="R897" s="11">
        <f>IF($A897="","",IF($C897="Open","",$Q897))</f>
        <v/>
      </c>
      <c r="S897" s="12">
        <f>IF($A897="","",IFS($B897="Covered Call","Covered Call Premium",$B897="Cash Secured Put","Cash Secured Put Premium",$B897="Long Call/Put","Long Call/Put P/L",$B897="Debit Spread","Long Call/Put P/L",$B897="Stock Sale","Stock Sales",TRUE,"Other"))</f>
        <v/>
      </c>
      <c r="T897" s="11">
        <f>IF($A897="","",IF($B897="Cash Secured Put",$K897*$M897*100,IF($B897="Covered Call",$K897*$M897*100,IF($H897="Stock",$M897*$N897,""))))</f>
        <v/>
      </c>
      <c r="U897" s="19">
        <f>IF(OR($A897="",$C897&lt;&gt;"Closed",$D897="",$E897="",$T897=0),"",$R897/$T897*365/MAX(1,$E897-$D897))</f>
        <v/>
      </c>
      <c r="V897" s="14" t="n"/>
      <c r="W897" s="12" t="n"/>
    </row>
    <row r="898">
      <c r="A898" s="12" t="n"/>
      <c r="B898" s="14" t="n"/>
      <c r="C898" s="14" t="n"/>
      <c r="D898" s="15" t="n"/>
      <c r="E898" s="15" t="n"/>
      <c r="F898" s="16">
        <f>IF($E898="","",DATE(YEAR($E898),MONTH($E898),1))</f>
        <v/>
      </c>
      <c r="G898" s="14" t="n"/>
      <c r="H898" s="14" t="n"/>
      <c r="I898" s="14" t="n"/>
      <c r="J898" s="14" t="n"/>
      <c r="K898" s="17" t="n"/>
      <c r="L898" s="15" t="n"/>
      <c r="M898" s="14" t="n"/>
      <c r="N898" s="17" t="n"/>
      <c r="O898" s="17" t="n"/>
      <c r="P898" s="18" t="n"/>
      <c r="Q898" s="11">
        <f>IF($A898="","",IF($H898="Stock",IF($I898="Buy",-$M898*$N898-$P898,IF($I898="Sell",IF($N898="", $M898*$O898-$P898,($O898-$N898)*$M898-$P898),"")),IF($I898="Sell",($N898-IF($O898="",0,$O898))*$M898*100-$P898,IF($I898="Buy",(IF($O898="",0,$O898)-$N898)*$M898*100-$P898,""))))</f>
        <v/>
      </c>
      <c r="R898" s="11">
        <f>IF($A898="","",IF($C898="Open","",$Q898))</f>
        <v/>
      </c>
      <c r="S898" s="12">
        <f>IF($A898="","",IFS($B898="Covered Call","Covered Call Premium",$B898="Cash Secured Put","Cash Secured Put Premium",$B898="Long Call/Put","Long Call/Put P/L",$B898="Debit Spread","Long Call/Put P/L",$B898="Stock Sale","Stock Sales",TRUE,"Other"))</f>
        <v/>
      </c>
      <c r="T898" s="11">
        <f>IF($A898="","",IF($B898="Cash Secured Put",$K898*$M898*100,IF($B898="Covered Call",$K898*$M898*100,IF($H898="Stock",$M898*$N898,""))))</f>
        <v/>
      </c>
      <c r="U898" s="19">
        <f>IF(OR($A898="",$C898&lt;&gt;"Closed",$D898="",$E898="",$T898=0),"",$R898/$T898*365/MAX(1,$E898-$D898))</f>
        <v/>
      </c>
      <c r="V898" s="14" t="n"/>
      <c r="W898" s="12" t="n"/>
    </row>
    <row r="899">
      <c r="A899" s="12" t="n"/>
      <c r="B899" s="14" t="n"/>
      <c r="C899" s="14" t="n"/>
      <c r="D899" s="15" t="n"/>
      <c r="E899" s="15" t="n"/>
      <c r="F899" s="16">
        <f>IF($E899="","",DATE(YEAR($E899),MONTH($E899),1))</f>
        <v/>
      </c>
      <c r="G899" s="14" t="n"/>
      <c r="H899" s="14" t="n"/>
      <c r="I899" s="14" t="n"/>
      <c r="J899" s="14" t="n"/>
      <c r="K899" s="17" t="n"/>
      <c r="L899" s="15" t="n"/>
      <c r="M899" s="14" t="n"/>
      <c r="N899" s="17" t="n"/>
      <c r="O899" s="17" t="n"/>
      <c r="P899" s="18" t="n"/>
      <c r="Q899" s="11">
        <f>IF($A899="","",IF($H899="Stock",IF($I899="Buy",-$M899*$N899-$P899,IF($I899="Sell",IF($N899="", $M899*$O899-$P899,($O899-$N899)*$M899-$P899),"")),IF($I899="Sell",($N899-IF($O899="",0,$O899))*$M899*100-$P899,IF($I899="Buy",(IF($O899="",0,$O899)-$N899)*$M899*100-$P899,""))))</f>
        <v/>
      </c>
      <c r="R899" s="11">
        <f>IF($A899="","",IF($C899="Open","",$Q899))</f>
        <v/>
      </c>
      <c r="S899" s="12">
        <f>IF($A899="","",IFS($B899="Covered Call","Covered Call Premium",$B899="Cash Secured Put","Cash Secured Put Premium",$B899="Long Call/Put","Long Call/Put P/L",$B899="Debit Spread","Long Call/Put P/L",$B899="Stock Sale","Stock Sales",TRUE,"Other"))</f>
        <v/>
      </c>
      <c r="T899" s="11">
        <f>IF($A899="","",IF($B899="Cash Secured Put",$K899*$M899*100,IF($B899="Covered Call",$K899*$M899*100,IF($H899="Stock",$M899*$N899,""))))</f>
        <v/>
      </c>
      <c r="U899" s="19">
        <f>IF(OR($A899="",$C899&lt;&gt;"Closed",$D899="",$E899="",$T899=0),"",$R899/$T899*365/MAX(1,$E899-$D899))</f>
        <v/>
      </c>
      <c r="V899" s="14" t="n"/>
      <c r="W899" s="12" t="n"/>
    </row>
    <row r="900">
      <c r="A900" s="12" t="n"/>
      <c r="B900" s="14" t="n"/>
      <c r="C900" s="14" t="n"/>
      <c r="D900" s="15" t="n"/>
      <c r="E900" s="15" t="n"/>
      <c r="F900" s="16">
        <f>IF($E900="","",DATE(YEAR($E900),MONTH($E900),1))</f>
        <v/>
      </c>
      <c r="G900" s="14" t="n"/>
      <c r="H900" s="14" t="n"/>
      <c r="I900" s="14" t="n"/>
      <c r="J900" s="14" t="n"/>
      <c r="K900" s="17" t="n"/>
      <c r="L900" s="15" t="n"/>
      <c r="M900" s="14" t="n"/>
      <c r="N900" s="17" t="n"/>
      <c r="O900" s="17" t="n"/>
      <c r="P900" s="18" t="n"/>
      <c r="Q900" s="11">
        <f>IF($A900="","",IF($H900="Stock",IF($I900="Buy",-$M900*$N900-$P900,IF($I900="Sell",IF($N900="", $M900*$O900-$P900,($O900-$N900)*$M900-$P900),"")),IF($I900="Sell",($N900-IF($O900="",0,$O900))*$M900*100-$P900,IF($I900="Buy",(IF($O900="",0,$O900)-$N900)*$M900*100-$P900,""))))</f>
        <v/>
      </c>
      <c r="R900" s="11">
        <f>IF($A900="","",IF($C900="Open","",$Q900))</f>
        <v/>
      </c>
      <c r="S900" s="12">
        <f>IF($A900="","",IFS($B900="Covered Call","Covered Call Premium",$B900="Cash Secured Put","Cash Secured Put Premium",$B900="Long Call/Put","Long Call/Put P/L",$B900="Debit Spread","Long Call/Put P/L",$B900="Stock Sale","Stock Sales",TRUE,"Other"))</f>
        <v/>
      </c>
      <c r="T900" s="11">
        <f>IF($A900="","",IF($B900="Cash Secured Put",$K900*$M900*100,IF($B900="Covered Call",$K900*$M900*100,IF($H900="Stock",$M900*$N900,""))))</f>
        <v/>
      </c>
      <c r="U900" s="19">
        <f>IF(OR($A900="",$C900&lt;&gt;"Closed",$D900="",$E900="",$T900=0),"",$R900/$T900*365/MAX(1,$E900-$D900))</f>
        <v/>
      </c>
      <c r="V900" s="14" t="n"/>
      <c r="W900" s="12" t="n"/>
    </row>
    <row r="901">
      <c r="A901" s="12" t="n"/>
      <c r="B901" s="14" t="n"/>
      <c r="C901" s="14" t="n"/>
      <c r="D901" s="15" t="n"/>
      <c r="E901" s="15" t="n"/>
      <c r="F901" s="16">
        <f>IF($E901="","",DATE(YEAR($E901),MONTH($E901),1))</f>
        <v/>
      </c>
      <c r="G901" s="14" t="n"/>
      <c r="H901" s="14" t="n"/>
      <c r="I901" s="14" t="n"/>
      <c r="J901" s="14" t="n"/>
      <c r="K901" s="17" t="n"/>
      <c r="L901" s="15" t="n"/>
      <c r="M901" s="14" t="n"/>
      <c r="N901" s="17" t="n"/>
      <c r="O901" s="17" t="n"/>
      <c r="P901" s="18" t="n"/>
      <c r="Q901" s="11">
        <f>IF($A901="","",IF($H901="Stock",IF($I901="Buy",-$M901*$N901-$P901,IF($I901="Sell",IF($N901="", $M901*$O901-$P901,($O901-$N901)*$M901-$P901),"")),IF($I901="Sell",($N901-IF($O901="",0,$O901))*$M901*100-$P901,IF($I901="Buy",(IF($O901="",0,$O901)-$N901)*$M901*100-$P901,""))))</f>
        <v/>
      </c>
      <c r="R901" s="11">
        <f>IF($A901="","",IF($C901="Open","",$Q901))</f>
        <v/>
      </c>
      <c r="S901" s="12">
        <f>IF($A901="","",IFS($B901="Covered Call","Covered Call Premium",$B901="Cash Secured Put","Cash Secured Put Premium",$B901="Long Call/Put","Long Call/Put P/L",$B901="Debit Spread","Long Call/Put P/L",$B901="Stock Sale","Stock Sales",TRUE,"Other"))</f>
        <v/>
      </c>
      <c r="T901" s="11">
        <f>IF($A901="","",IF($B901="Cash Secured Put",$K901*$M901*100,IF($B901="Covered Call",$K901*$M901*100,IF($H901="Stock",$M901*$N901,""))))</f>
        <v/>
      </c>
      <c r="U901" s="19">
        <f>IF(OR($A901="",$C901&lt;&gt;"Closed",$D901="",$E901="",$T901=0),"",$R901/$T901*365/MAX(1,$E901-$D901))</f>
        <v/>
      </c>
      <c r="V901" s="14" t="n"/>
      <c r="W901" s="12" t="n"/>
    </row>
    <row r="902">
      <c r="A902" s="12" t="n"/>
      <c r="B902" s="14" t="n"/>
      <c r="C902" s="14" t="n"/>
      <c r="D902" s="15" t="n"/>
      <c r="E902" s="15" t="n"/>
      <c r="F902" s="16">
        <f>IF($E902="","",DATE(YEAR($E902),MONTH($E902),1))</f>
        <v/>
      </c>
      <c r="G902" s="14" t="n"/>
      <c r="H902" s="14" t="n"/>
      <c r="I902" s="14" t="n"/>
      <c r="J902" s="14" t="n"/>
      <c r="K902" s="17" t="n"/>
      <c r="L902" s="15" t="n"/>
      <c r="M902" s="14" t="n"/>
      <c r="N902" s="17" t="n"/>
      <c r="O902" s="17" t="n"/>
      <c r="P902" s="18" t="n"/>
      <c r="Q902" s="11">
        <f>IF($A902="","",IF($H902="Stock",IF($I902="Buy",-$M902*$N902-$P902,IF($I902="Sell",IF($N902="", $M902*$O902-$P902,($O902-$N902)*$M902-$P902),"")),IF($I902="Sell",($N902-IF($O902="",0,$O902))*$M902*100-$P902,IF($I902="Buy",(IF($O902="",0,$O902)-$N902)*$M902*100-$P902,""))))</f>
        <v/>
      </c>
      <c r="R902" s="11">
        <f>IF($A902="","",IF($C902="Open","",$Q902))</f>
        <v/>
      </c>
      <c r="S902" s="12">
        <f>IF($A902="","",IFS($B902="Covered Call","Covered Call Premium",$B902="Cash Secured Put","Cash Secured Put Premium",$B902="Long Call/Put","Long Call/Put P/L",$B902="Debit Spread","Long Call/Put P/L",$B902="Stock Sale","Stock Sales",TRUE,"Other"))</f>
        <v/>
      </c>
      <c r="T902" s="11">
        <f>IF($A902="","",IF($B902="Cash Secured Put",$K902*$M902*100,IF($B902="Covered Call",$K902*$M902*100,IF($H902="Stock",$M902*$N902,""))))</f>
        <v/>
      </c>
      <c r="U902" s="19">
        <f>IF(OR($A902="",$C902&lt;&gt;"Closed",$D902="",$E902="",$T902=0),"",$R902/$T902*365/MAX(1,$E902-$D902))</f>
        <v/>
      </c>
      <c r="V902" s="14" t="n"/>
      <c r="W902" s="12" t="n"/>
    </row>
    <row r="903">
      <c r="A903" s="12" t="n"/>
      <c r="B903" s="14" t="n"/>
      <c r="C903" s="14" t="n"/>
      <c r="D903" s="15" t="n"/>
      <c r="E903" s="15" t="n"/>
      <c r="F903" s="16">
        <f>IF($E903="","",DATE(YEAR($E903),MONTH($E903),1))</f>
        <v/>
      </c>
      <c r="G903" s="14" t="n"/>
      <c r="H903" s="14" t="n"/>
      <c r="I903" s="14" t="n"/>
      <c r="J903" s="14" t="n"/>
      <c r="K903" s="17" t="n"/>
      <c r="L903" s="15" t="n"/>
      <c r="M903" s="14" t="n"/>
      <c r="N903" s="17" t="n"/>
      <c r="O903" s="17" t="n"/>
      <c r="P903" s="18" t="n"/>
      <c r="Q903" s="11">
        <f>IF($A903="","",IF($H903="Stock",IF($I903="Buy",-$M903*$N903-$P903,IF($I903="Sell",IF($N903="", $M903*$O903-$P903,($O903-$N903)*$M903-$P903),"")),IF($I903="Sell",($N903-IF($O903="",0,$O903))*$M903*100-$P903,IF($I903="Buy",(IF($O903="",0,$O903)-$N903)*$M903*100-$P903,""))))</f>
        <v/>
      </c>
      <c r="R903" s="11">
        <f>IF($A903="","",IF($C903="Open","",$Q903))</f>
        <v/>
      </c>
      <c r="S903" s="12">
        <f>IF($A903="","",IFS($B903="Covered Call","Covered Call Premium",$B903="Cash Secured Put","Cash Secured Put Premium",$B903="Long Call/Put","Long Call/Put P/L",$B903="Debit Spread","Long Call/Put P/L",$B903="Stock Sale","Stock Sales",TRUE,"Other"))</f>
        <v/>
      </c>
      <c r="T903" s="11">
        <f>IF($A903="","",IF($B903="Cash Secured Put",$K903*$M903*100,IF($B903="Covered Call",$K903*$M903*100,IF($H903="Stock",$M903*$N903,""))))</f>
        <v/>
      </c>
      <c r="U903" s="19">
        <f>IF(OR($A903="",$C903&lt;&gt;"Closed",$D903="",$E903="",$T903=0),"",$R903/$T903*365/MAX(1,$E903-$D903))</f>
        <v/>
      </c>
      <c r="V903" s="14" t="n"/>
      <c r="W903" s="12" t="n"/>
    </row>
    <row r="904">
      <c r="A904" s="12" t="n"/>
      <c r="B904" s="14" t="n"/>
      <c r="C904" s="14" t="n"/>
      <c r="D904" s="15" t="n"/>
      <c r="E904" s="15" t="n"/>
      <c r="F904" s="16">
        <f>IF($E904="","",DATE(YEAR($E904),MONTH($E904),1))</f>
        <v/>
      </c>
      <c r="G904" s="14" t="n"/>
      <c r="H904" s="14" t="n"/>
      <c r="I904" s="14" t="n"/>
      <c r="J904" s="14" t="n"/>
      <c r="K904" s="17" t="n"/>
      <c r="L904" s="15" t="n"/>
      <c r="M904" s="14" t="n"/>
      <c r="N904" s="17" t="n"/>
      <c r="O904" s="17" t="n"/>
      <c r="P904" s="18" t="n"/>
      <c r="Q904" s="11">
        <f>IF($A904="","",IF($H904="Stock",IF($I904="Buy",-$M904*$N904-$P904,IF($I904="Sell",IF($N904="", $M904*$O904-$P904,($O904-$N904)*$M904-$P904),"")),IF($I904="Sell",($N904-IF($O904="",0,$O904))*$M904*100-$P904,IF($I904="Buy",(IF($O904="",0,$O904)-$N904)*$M904*100-$P904,""))))</f>
        <v/>
      </c>
      <c r="R904" s="11">
        <f>IF($A904="","",IF($C904="Open","",$Q904))</f>
        <v/>
      </c>
      <c r="S904" s="12">
        <f>IF($A904="","",IFS($B904="Covered Call","Covered Call Premium",$B904="Cash Secured Put","Cash Secured Put Premium",$B904="Long Call/Put","Long Call/Put P/L",$B904="Debit Spread","Long Call/Put P/L",$B904="Stock Sale","Stock Sales",TRUE,"Other"))</f>
        <v/>
      </c>
      <c r="T904" s="11">
        <f>IF($A904="","",IF($B904="Cash Secured Put",$K904*$M904*100,IF($B904="Covered Call",$K904*$M904*100,IF($H904="Stock",$M904*$N904,""))))</f>
        <v/>
      </c>
      <c r="U904" s="19">
        <f>IF(OR($A904="",$C904&lt;&gt;"Closed",$D904="",$E904="",$T904=0),"",$R904/$T904*365/MAX(1,$E904-$D904))</f>
        <v/>
      </c>
      <c r="V904" s="14" t="n"/>
      <c r="W904" s="12" t="n"/>
    </row>
    <row r="905">
      <c r="A905" s="12" t="n"/>
      <c r="B905" s="14" t="n"/>
      <c r="C905" s="14" t="n"/>
      <c r="D905" s="15" t="n"/>
      <c r="E905" s="15" t="n"/>
      <c r="F905" s="16">
        <f>IF($E905="","",DATE(YEAR($E905),MONTH($E905),1))</f>
        <v/>
      </c>
      <c r="G905" s="14" t="n"/>
      <c r="H905" s="14" t="n"/>
      <c r="I905" s="14" t="n"/>
      <c r="J905" s="14" t="n"/>
      <c r="K905" s="17" t="n"/>
      <c r="L905" s="15" t="n"/>
      <c r="M905" s="14" t="n"/>
      <c r="N905" s="17" t="n"/>
      <c r="O905" s="17" t="n"/>
      <c r="P905" s="18" t="n"/>
      <c r="Q905" s="11">
        <f>IF($A905="","",IF($H905="Stock",IF($I905="Buy",-$M905*$N905-$P905,IF($I905="Sell",IF($N905="", $M905*$O905-$P905,($O905-$N905)*$M905-$P905),"")),IF($I905="Sell",($N905-IF($O905="",0,$O905))*$M905*100-$P905,IF($I905="Buy",(IF($O905="",0,$O905)-$N905)*$M905*100-$P905,""))))</f>
        <v/>
      </c>
      <c r="R905" s="11">
        <f>IF($A905="","",IF($C905="Open","",$Q905))</f>
        <v/>
      </c>
      <c r="S905" s="12">
        <f>IF($A905="","",IFS($B905="Covered Call","Covered Call Premium",$B905="Cash Secured Put","Cash Secured Put Premium",$B905="Long Call/Put","Long Call/Put P/L",$B905="Debit Spread","Long Call/Put P/L",$B905="Stock Sale","Stock Sales",TRUE,"Other"))</f>
        <v/>
      </c>
      <c r="T905" s="11">
        <f>IF($A905="","",IF($B905="Cash Secured Put",$K905*$M905*100,IF($B905="Covered Call",$K905*$M905*100,IF($H905="Stock",$M905*$N905,""))))</f>
        <v/>
      </c>
      <c r="U905" s="19">
        <f>IF(OR($A905="",$C905&lt;&gt;"Closed",$D905="",$E905="",$T905=0),"",$R905/$T905*365/MAX(1,$E905-$D905))</f>
        <v/>
      </c>
      <c r="V905" s="14" t="n"/>
      <c r="W905" s="12" t="n"/>
    </row>
    <row r="906">
      <c r="A906" s="12" t="n"/>
      <c r="B906" s="14" t="n"/>
      <c r="C906" s="14" t="n"/>
      <c r="D906" s="15" t="n"/>
      <c r="E906" s="15" t="n"/>
      <c r="F906" s="16">
        <f>IF($E906="","",DATE(YEAR($E906),MONTH($E906),1))</f>
        <v/>
      </c>
      <c r="G906" s="14" t="n"/>
      <c r="H906" s="14" t="n"/>
      <c r="I906" s="14" t="n"/>
      <c r="J906" s="14" t="n"/>
      <c r="K906" s="17" t="n"/>
      <c r="L906" s="15" t="n"/>
      <c r="M906" s="14" t="n"/>
      <c r="N906" s="17" t="n"/>
      <c r="O906" s="17" t="n"/>
      <c r="P906" s="18" t="n"/>
      <c r="Q906" s="11">
        <f>IF($A906="","",IF($H906="Stock",IF($I906="Buy",-$M906*$N906-$P906,IF($I906="Sell",IF($N906="", $M906*$O906-$P906,($O906-$N906)*$M906-$P906),"")),IF($I906="Sell",($N906-IF($O906="",0,$O906))*$M906*100-$P906,IF($I906="Buy",(IF($O906="",0,$O906)-$N906)*$M906*100-$P906,""))))</f>
        <v/>
      </c>
      <c r="R906" s="11">
        <f>IF($A906="","",IF($C906="Open","",$Q906))</f>
        <v/>
      </c>
      <c r="S906" s="12">
        <f>IF($A906="","",IFS($B906="Covered Call","Covered Call Premium",$B906="Cash Secured Put","Cash Secured Put Premium",$B906="Long Call/Put","Long Call/Put P/L",$B906="Debit Spread","Long Call/Put P/L",$B906="Stock Sale","Stock Sales",TRUE,"Other"))</f>
        <v/>
      </c>
      <c r="T906" s="11">
        <f>IF($A906="","",IF($B906="Cash Secured Put",$K906*$M906*100,IF($B906="Covered Call",$K906*$M906*100,IF($H906="Stock",$M906*$N906,""))))</f>
        <v/>
      </c>
      <c r="U906" s="19">
        <f>IF(OR($A906="",$C906&lt;&gt;"Closed",$D906="",$E906="",$T906=0),"",$R906/$T906*365/MAX(1,$E906-$D906))</f>
        <v/>
      </c>
      <c r="V906" s="14" t="n"/>
      <c r="W906" s="12" t="n"/>
    </row>
    <row r="907">
      <c r="A907" s="12" t="n"/>
      <c r="B907" s="14" t="n"/>
      <c r="C907" s="14" t="n"/>
      <c r="D907" s="15" t="n"/>
      <c r="E907" s="15" t="n"/>
      <c r="F907" s="16">
        <f>IF($E907="","",DATE(YEAR($E907),MONTH($E907),1))</f>
        <v/>
      </c>
      <c r="G907" s="14" t="n"/>
      <c r="H907" s="14" t="n"/>
      <c r="I907" s="14" t="n"/>
      <c r="J907" s="14" t="n"/>
      <c r="K907" s="17" t="n"/>
      <c r="L907" s="15" t="n"/>
      <c r="M907" s="14" t="n"/>
      <c r="N907" s="17" t="n"/>
      <c r="O907" s="17" t="n"/>
      <c r="P907" s="18" t="n"/>
      <c r="Q907" s="11">
        <f>IF($A907="","",IF($H907="Stock",IF($I907="Buy",-$M907*$N907-$P907,IF($I907="Sell",IF($N907="", $M907*$O907-$P907,($O907-$N907)*$M907-$P907),"")),IF($I907="Sell",($N907-IF($O907="",0,$O907))*$M907*100-$P907,IF($I907="Buy",(IF($O907="",0,$O907)-$N907)*$M907*100-$P907,""))))</f>
        <v/>
      </c>
      <c r="R907" s="11">
        <f>IF($A907="","",IF($C907="Open","",$Q907))</f>
        <v/>
      </c>
      <c r="S907" s="12">
        <f>IF($A907="","",IFS($B907="Covered Call","Covered Call Premium",$B907="Cash Secured Put","Cash Secured Put Premium",$B907="Long Call/Put","Long Call/Put P/L",$B907="Debit Spread","Long Call/Put P/L",$B907="Stock Sale","Stock Sales",TRUE,"Other"))</f>
        <v/>
      </c>
      <c r="T907" s="11">
        <f>IF($A907="","",IF($B907="Cash Secured Put",$K907*$M907*100,IF($B907="Covered Call",$K907*$M907*100,IF($H907="Stock",$M907*$N907,""))))</f>
        <v/>
      </c>
      <c r="U907" s="19">
        <f>IF(OR($A907="",$C907&lt;&gt;"Closed",$D907="",$E907="",$T907=0),"",$R907/$T907*365/MAX(1,$E907-$D907))</f>
        <v/>
      </c>
      <c r="V907" s="14" t="n"/>
      <c r="W907" s="12" t="n"/>
    </row>
    <row r="908">
      <c r="A908" s="12" t="n"/>
      <c r="B908" s="14" t="n"/>
      <c r="C908" s="14" t="n"/>
      <c r="D908" s="15" t="n"/>
      <c r="E908" s="15" t="n"/>
      <c r="F908" s="16">
        <f>IF($E908="","",DATE(YEAR($E908),MONTH($E908),1))</f>
        <v/>
      </c>
      <c r="G908" s="14" t="n"/>
      <c r="H908" s="14" t="n"/>
      <c r="I908" s="14" t="n"/>
      <c r="J908" s="14" t="n"/>
      <c r="K908" s="17" t="n"/>
      <c r="L908" s="15" t="n"/>
      <c r="M908" s="14" t="n"/>
      <c r="N908" s="17" t="n"/>
      <c r="O908" s="17" t="n"/>
      <c r="P908" s="18" t="n"/>
      <c r="Q908" s="11">
        <f>IF($A908="","",IF($H908="Stock",IF($I908="Buy",-$M908*$N908-$P908,IF($I908="Sell",IF($N908="", $M908*$O908-$P908,($O908-$N908)*$M908-$P908),"")),IF($I908="Sell",($N908-IF($O908="",0,$O908))*$M908*100-$P908,IF($I908="Buy",(IF($O908="",0,$O908)-$N908)*$M908*100-$P908,""))))</f>
        <v/>
      </c>
      <c r="R908" s="11">
        <f>IF($A908="","",IF($C908="Open","",$Q908))</f>
        <v/>
      </c>
      <c r="S908" s="12">
        <f>IF($A908="","",IFS($B908="Covered Call","Covered Call Premium",$B908="Cash Secured Put","Cash Secured Put Premium",$B908="Long Call/Put","Long Call/Put P/L",$B908="Debit Spread","Long Call/Put P/L",$B908="Stock Sale","Stock Sales",TRUE,"Other"))</f>
        <v/>
      </c>
      <c r="T908" s="11">
        <f>IF($A908="","",IF($B908="Cash Secured Put",$K908*$M908*100,IF($B908="Covered Call",$K908*$M908*100,IF($H908="Stock",$M908*$N908,""))))</f>
        <v/>
      </c>
      <c r="U908" s="19">
        <f>IF(OR($A908="",$C908&lt;&gt;"Closed",$D908="",$E908="",$T908=0),"",$R908/$T908*365/MAX(1,$E908-$D908))</f>
        <v/>
      </c>
      <c r="V908" s="14" t="n"/>
      <c r="W908" s="12" t="n"/>
    </row>
    <row r="909">
      <c r="A909" s="12" t="n"/>
      <c r="B909" s="14" t="n"/>
      <c r="C909" s="14" t="n"/>
      <c r="D909" s="15" t="n"/>
      <c r="E909" s="15" t="n"/>
      <c r="F909" s="16">
        <f>IF($E909="","",DATE(YEAR($E909),MONTH($E909),1))</f>
        <v/>
      </c>
      <c r="G909" s="14" t="n"/>
      <c r="H909" s="14" t="n"/>
      <c r="I909" s="14" t="n"/>
      <c r="J909" s="14" t="n"/>
      <c r="K909" s="17" t="n"/>
      <c r="L909" s="15" t="n"/>
      <c r="M909" s="14" t="n"/>
      <c r="N909" s="17" t="n"/>
      <c r="O909" s="17" t="n"/>
      <c r="P909" s="18" t="n"/>
      <c r="Q909" s="11">
        <f>IF($A909="","",IF($H909="Stock",IF($I909="Buy",-$M909*$N909-$P909,IF($I909="Sell",IF($N909="", $M909*$O909-$P909,($O909-$N909)*$M909-$P909),"")),IF($I909="Sell",($N909-IF($O909="",0,$O909))*$M909*100-$P909,IF($I909="Buy",(IF($O909="",0,$O909)-$N909)*$M909*100-$P909,""))))</f>
        <v/>
      </c>
      <c r="R909" s="11">
        <f>IF($A909="","",IF($C909="Open","",$Q909))</f>
        <v/>
      </c>
      <c r="S909" s="12">
        <f>IF($A909="","",IFS($B909="Covered Call","Covered Call Premium",$B909="Cash Secured Put","Cash Secured Put Premium",$B909="Long Call/Put","Long Call/Put P/L",$B909="Debit Spread","Long Call/Put P/L",$B909="Stock Sale","Stock Sales",TRUE,"Other"))</f>
        <v/>
      </c>
      <c r="T909" s="11">
        <f>IF($A909="","",IF($B909="Cash Secured Put",$K909*$M909*100,IF($B909="Covered Call",$K909*$M909*100,IF($H909="Stock",$M909*$N909,""))))</f>
        <v/>
      </c>
      <c r="U909" s="19">
        <f>IF(OR($A909="",$C909&lt;&gt;"Closed",$D909="",$E909="",$T909=0),"",$R909/$T909*365/MAX(1,$E909-$D909))</f>
        <v/>
      </c>
      <c r="V909" s="14" t="n"/>
      <c r="W909" s="12" t="n"/>
    </row>
    <row r="910">
      <c r="A910" s="12" t="n"/>
      <c r="B910" s="14" t="n"/>
      <c r="C910" s="14" t="n"/>
      <c r="D910" s="15" t="n"/>
      <c r="E910" s="15" t="n"/>
      <c r="F910" s="16">
        <f>IF($E910="","",DATE(YEAR($E910),MONTH($E910),1))</f>
        <v/>
      </c>
      <c r="G910" s="14" t="n"/>
      <c r="H910" s="14" t="n"/>
      <c r="I910" s="14" t="n"/>
      <c r="J910" s="14" t="n"/>
      <c r="K910" s="17" t="n"/>
      <c r="L910" s="15" t="n"/>
      <c r="M910" s="14" t="n"/>
      <c r="N910" s="17" t="n"/>
      <c r="O910" s="17" t="n"/>
      <c r="P910" s="18" t="n"/>
      <c r="Q910" s="11">
        <f>IF($A910="","",IF($H910="Stock",IF($I910="Buy",-$M910*$N910-$P910,IF($I910="Sell",IF($N910="", $M910*$O910-$P910,($O910-$N910)*$M910-$P910),"")),IF($I910="Sell",($N910-IF($O910="",0,$O910))*$M910*100-$P910,IF($I910="Buy",(IF($O910="",0,$O910)-$N910)*$M910*100-$P910,""))))</f>
        <v/>
      </c>
      <c r="R910" s="11">
        <f>IF($A910="","",IF($C910="Open","",$Q910))</f>
        <v/>
      </c>
      <c r="S910" s="12">
        <f>IF($A910="","",IFS($B910="Covered Call","Covered Call Premium",$B910="Cash Secured Put","Cash Secured Put Premium",$B910="Long Call/Put","Long Call/Put P/L",$B910="Debit Spread","Long Call/Put P/L",$B910="Stock Sale","Stock Sales",TRUE,"Other"))</f>
        <v/>
      </c>
      <c r="T910" s="11">
        <f>IF($A910="","",IF($B910="Cash Secured Put",$K910*$M910*100,IF($B910="Covered Call",$K910*$M910*100,IF($H910="Stock",$M910*$N910,""))))</f>
        <v/>
      </c>
      <c r="U910" s="19">
        <f>IF(OR($A910="",$C910&lt;&gt;"Closed",$D910="",$E910="",$T910=0),"",$R910/$T910*365/MAX(1,$E910-$D910))</f>
        <v/>
      </c>
      <c r="V910" s="14" t="n"/>
      <c r="W910" s="12" t="n"/>
    </row>
    <row r="911">
      <c r="A911" s="12" t="n"/>
      <c r="B911" s="14" t="n"/>
      <c r="C911" s="14" t="n"/>
      <c r="D911" s="15" t="n"/>
      <c r="E911" s="15" t="n"/>
      <c r="F911" s="16">
        <f>IF($E911="","",DATE(YEAR($E911),MONTH($E911),1))</f>
        <v/>
      </c>
      <c r="G911" s="14" t="n"/>
      <c r="H911" s="14" t="n"/>
      <c r="I911" s="14" t="n"/>
      <c r="J911" s="14" t="n"/>
      <c r="K911" s="17" t="n"/>
      <c r="L911" s="15" t="n"/>
      <c r="M911" s="14" t="n"/>
      <c r="N911" s="17" t="n"/>
      <c r="O911" s="17" t="n"/>
      <c r="P911" s="18" t="n"/>
      <c r="Q911" s="11">
        <f>IF($A911="","",IF($H911="Stock",IF($I911="Buy",-$M911*$N911-$P911,IF($I911="Sell",IF($N911="", $M911*$O911-$P911,($O911-$N911)*$M911-$P911),"")),IF($I911="Sell",($N911-IF($O911="",0,$O911))*$M911*100-$P911,IF($I911="Buy",(IF($O911="",0,$O911)-$N911)*$M911*100-$P911,""))))</f>
        <v/>
      </c>
      <c r="R911" s="11">
        <f>IF($A911="","",IF($C911="Open","",$Q911))</f>
        <v/>
      </c>
      <c r="S911" s="12">
        <f>IF($A911="","",IFS($B911="Covered Call","Covered Call Premium",$B911="Cash Secured Put","Cash Secured Put Premium",$B911="Long Call/Put","Long Call/Put P/L",$B911="Debit Spread","Long Call/Put P/L",$B911="Stock Sale","Stock Sales",TRUE,"Other"))</f>
        <v/>
      </c>
      <c r="T911" s="11">
        <f>IF($A911="","",IF($B911="Cash Secured Put",$K911*$M911*100,IF($B911="Covered Call",$K911*$M911*100,IF($H911="Stock",$M911*$N911,""))))</f>
        <v/>
      </c>
      <c r="U911" s="19">
        <f>IF(OR($A911="",$C911&lt;&gt;"Closed",$D911="",$E911="",$T911=0),"",$R911/$T911*365/MAX(1,$E911-$D911))</f>
        <v/>
      </c>
      <c r="V911" s="14" t="n"/>
      <c r="W911" s="12" t="n"/>
    </row>
    <row r="912">
      <c r="A912" s="12" t="n"/>
      <c r="B912" s="14" t="n"/>
      <c r="C912" s="14" t="n"/>
      <c r="D912" s="15" t="n"/>
      <c r="E912" s="15" t="n"/>
      <c r="F912" s="16">
        <f>IF($E912="","",DATE(YEAR($E912),MONTH($E912),1))</f>
        <v/>
      </c>
      <c r="G912" s="14" t="n"/>
      <c r="H912" s="14" t="n"/>
      <c r="I912" s="14" t="n"/>
      <c r="J912" s="14" t="n"/>
      <c r="K912" s="17" t="n"/>
      <c r="L912" s="15" t="n"/>
      <c r="M912" s="14" t="n"/>
      <c r="N912" s="17" t="n"/>
      <c r="O912" s="17" t="n"/>
      <c r="P912" s="18" t="n"/>
      <c r="Q912" s="11">
        <f>IF($A912="","",IF($H912="Stock",IF($I912="Buy",-$M912*$N912-$P912,IF($I912="Sell",IF($N912="", $M912*$O912-$P912,($O912-$N912)*$M912-$P912),"")),IF($I912="Sell",($N912-IF($O912="",0,$O912))*$M912*100-$P912,IF($I912="Buy",(IF($O912="",0,$O912)-$N912)*$M912*100-$P912,""))))</f>
        <v/>
      </c>
      <c r="R912" s="11">
        <f>IF($A912="","",IF($C912="Open","",$Q912))</f>
        <v/>
      </c>
      <c r="S912" s="12">
        <f>IF($A912="","",IFS($B912="Covered Call","Covered Call Premium",$B912="Cash Secured Put","Cash Secured Put Premium",$B912="Long Call/Put","Long Call/Put P/L",$B912="Debit Spread","Long Call/Put P/L",$B912="Stock Sale","Stock Sales",TRUE,"Other"))</f>
        <v/>
      </c>
      <c r="T912" s="11">
        <f>IF($A912="","",IF($B912="Cash Secured Put",$K912*$M912*100,IF($B912="Covered Call",$K912*$M912*100,IF($H912="Stock",$M912*$N912,""))))</f>
        <v/>
      </c>
      <c r="U912" s="19">
        <f>IF(OR($A912="",$C912&lt;&gt;"Closed",$D912="",$E912="",$T912=0),"",$R912/$T912*365/MAX(1,$E912-$D912))</f>
        <v/>
      </c>
      <c r="V912" s="14" t="n"/>
      <c r="W912" s="12" t="n"/>
    </row>
    <row r="913">
      <c r="A913" s="12" t="n"/>
      <c r="B913" s="14" t="n"/>
      <c r="C913" s="14" t="n"/>
      <c r="D913" s="15" t="n"/>
      <c r="E913" s="15" t="n"/>
      <c r="F913" s="16">
        <f>IF($E913="","",DATE(YEAR($E913),MONTH($E913),1))</f>
        <v/>
      </c>
      <c r="G913" s="14" t="n"/>
      <c r="H913" s="14" t="n"/>
      <c r="I913" s="14" t="n"/>
      <c r="J913" s="14" t="n"/>
      <c r="K913" s="17" t="n"/>
      <c r="L913" s="15" t="n"/>
      <c r="M913" s="14" t="n"/>
      <c r="N913" s="17" t="n"/>
      <c r="O913" s="17" t="n"/>
      <c r="P913" s="18" t="n"/>
      <c r="Q913" s="11">
        <f>IF($A913="","",IF($H913="Stock",IF($I913="Buy",-$M913*$N913-$P913,IF($I913="Sell",IF($N913="", $M913*$O913-$P913,($O913-$N913)*$M913-$P913),"")),IF($I913="Sell",($N913-IF($O913="",0,$O913))*$M913*100-$P913,IF($I913="Buy",(IF($O913="",0,$O913)-$N913)*$M913*100-$P913,""))))</f>
        <v/>
      </c>
      <c r="R913" s="11">
        <f>IF($A913="","",IF($C913="Open","",$Q913))</f>
        <v/>
      </c>
      <c r="S913" s="12">
        <f>IF($A913="","",IFS($B913="Covered Call","Covered Call Premium",$B913="Cash Secured Put","Cash Secured Put Premium",$B913="Long Call/Put","Long Call/Put P/L",$B913="Debit Spread","Long Call/Put P/L",$B913="Stock Sale","Stock Sales",TRUE,"Other"))</f>
        <v/>
      </c>
      <c r="T913" s="11">
        <f>IF($A913="","",IF($B913="Cash Secured Put",$K913*$M913*100,IF($B913="Covered Call",$K913*$M913*100,IF($H913="Stock",$M913*$N913,""))))</f>
        <v/>
      </c>
      <c r="U913" s="19">
        <f>IF(OR($A913="",$C913&lt;&gt;"Closed",$D913="",$E913="",$T913=0),"",$R913/$T913*365/MAX(1,$E913-$D913))</f>
        <v/>
      </c>
      <c r="V913" s="14" t="n"/>
      <c r="W913" s="12" t="n"/>
    </row>
    <row r="914">
      <c r="A914" s="12" t="n"/>
      <c r="B914" s="14" t="n"/>
      <c r="C914" s="14" t="n"/>
      <c r="D914" s="15" t="n"/>
      <c r="E914" s="15" t="n"/>
      <c r="F914" s="16">
        <f>IF($E914="","",DATE(YEAR($E914),MONTH($E914),1))</f>
        <v/>
      </c>
      <c r="G914" s="14" t="n"/>
      <c r="H914" s="14" t="n"/>
      <c r="I914" s="14" t="n"/>
      <c r="J914" s="14" t="n"/>
      <c r="K914" s="17" t="n"/>
      <c r="L914" s="15" t="n"/>
      <c r="M914" s="14" t="n"/>
      <c r="N914" s="17" t="n"/>
      <c r="O914" s="17" t="n"/>
      <c r="P914" s="18" t="n"/>
      <c r="Q914" s="11">
        <f>IF($A914="","",IF($H914="Stock",IF($I914="Buy",-$M914*$N914-$P914,IF($I914="Sell",IF($N914="", $M914*$O914-$P914,($O914-$N914)*$M914-$P914),"")),IF($I914="Sell",($N914-IF($O914="",0,$O914))*$M914*100-$P914,IF($I914="Buy",(IF($O914="",0,$O914)-$N914)*$M914*100-$P914,""))))</f>
        <v/>
      </c>
      <c r="R914" s="11">
        <f>IF($A914="","",IF($C914="Open","",$Q914))</f>
        <v/>
      </c>
      <c r="S914" s="12">
        <f>IF($A914="","",IFS($B914="Covered Call","Covered Call Premium",$B914="Cash Secured Put","Cash Secured Put Premium",$B914="Long Call/Put","Long Call/Put P/L",$B914="Debit Spread","Long Call/Put P/L",$B914="Stock Sale","Stock Sales",TRUE,"Other"))</f>
        <v/>
      </c>
      <c r="T914" s="11">
        <f>IF($A914="","",IF($B914="Cash Secured Put",$K914*$M914*100,IF($B914="Covered Call",$K914*$M914*100,IF($H914="Stock",$M914*$N914,""))))</f>
        <v/>
      </c>
      <c r="U914" s="19">
        <f>IF(OR($A914="",$C914&lt;&gt;"Closed",$D914="",$E914="",$T914=0),"",$R914/$T914*365/MAX(1,$E914-$D914))</f>
        <v/>
      </c>
      <c r="V914" s="14" t="n"/>
      <c r="W914" s="12" t="n"/>
    </row>
    <row r="915">
      <c r="A915" s="12" t="n"/>
      <c r="B915" s="14" t="n"/>
      <c r="C915" s="14" t="n"/>
      <c r="D915" s="15" t="n"/>
      <c r="E915" s="15" t="n"/>
      <c r="F915" s="16">
        <f>IF($E915="","",DATE(YEAR($E915),MONTH($E915),1))</f>
        <v/>
      </c>
      <c r="G915" s="14" t="n"/>
      <c r="H915" s="14" t="n"/>
      <c r="I915" s="14" t="n"/>
      <c r="J915" s="14" t="n"/>
      <c r="K915" s="17" t="n"/>
      <c r="L915" s="15" t="n"/>
      <c r="M915" s="14" t="n"/>
      <c r="N915" s="17" t="n"/>
      <c r="O915" s="17" t="n"/>
      <c r="P915" s="18" t="n"/>
      <c r="Q915" s="11">
        <f>IF($A915="","",IF($H915="Stock",IF($I915="Buy",-$M915*$N915-$P915,IF($I915="Sell",IF($N915="", $M915*$O915-$P915,($O915-$N915)*$M915-$P915),"")),IF($I915="Sell",($N915-IF($O915="",0,$O915))*$M915*100-$P915,IF($I915="Buy",(IF($O915="",0,$O915)-$N915)*$M915*100-$P915,""))))</f>
        <v/>
      </c>
      <c r="R915" s="11">
        <f>IF($A915="","",IF($C915="Open","",$Q915))</f>
        <v/>
      </c>
      <c r="S915" s="12">
        <f>IF($A915="","",IFS($B915="Covered Call","Covered Call Premium",$B915="Cash Secured Put","Cash Secured Put Premium",$B915="Long Call/Put","Long Call/Put P/L",$B915="Debit Spread","Long Call/Put P/L",$B915="Stock Sale","Stock Sales",TRUE,"Other"))</f>
        <v/>
      </c>
      <c r="T915" s="11">
        <f>IF($A915="","",IF($B915="Cash Secured Put",$K915*$M915*100,IF($B915="Covered Call",$K915*$M915*100,IF($H915="Stock",$M915*$N915,""))))</f>
        <v/>
      </c>
      <c r="U915" s="19">
        <f>IF(OR($A915="",$C915&lt;&gt;"Closed",$D915="",$E915="",$T915=0),"",$R915/$T915*365/MAX(1,$E915-$D915))</f>
        <v/>
      </c>
      <c r="V915" s="14" t="n"/>
      <c r="W915" s="12" t="n"/>
    </row>
    <row r="916">
      <c r="A916" s="12" t="n"/>
      <c r="B916" s="14" t="n"/>
      <c r="C916" s="14" t="n"/>
      <c r="D916" s="15" t="n"/>
      <c r="E916" s="15" t="n"/>
      <c r="F916" s="16">
        <f>IF($E916="","",DATE(YEAR($E916),MONTH($E916),1))</f>
        <v/>
      </c>
      <c r="G916" s="14" t="n"/>
      <c r="H916" s="14" t="n"/>
      <c r="I916" s="14" t="n"/>
      <c r="J916" s="14" t="n"/>
      <c r="K916" s="17" t="n"/>
      <c r="L916" s="15" t="n"/>
      <c r="M916" s="14" t="n"/>
      <c r="N916" s="17" t="n"/>
      <c r="O916" s="17" t="n"/>
      <c r="P916" s="18" t="n"/>
      <c r="Q916" s="11">
        <f>IF($A916="","",IF($H916="Stock",IF($I916="Buy",-$M916*$N916-$P916,IF($I916="Sell",IF($N916="", $M916*$O916-$P916,($O916-$N916)*$M916-$P916),"")),IF($I916="Sell",($N916-IF($O916="",0,$O916))*$M916*100-$P916,IF($I916="Buy",(IF($O916="",0,$O916)-$N916)*$M916*100-$P916,""))))</f>
        <v/>
      </c>
      <c r="R916" s="11">
        <f>IF($A916="","",IF($C916="Open","",$Q916))</f>
        <v/>
      </c>
      <c r="S916" s="12">
        <f>IF($A916="","",IFS($B916="Covered Call","Covered Call Premium",$B916="Cash Secured Put","Cash Secured Put Premium",$B916="Long Call/Put","Long Call/Put P/L",$B916="Debit Spread","Long Call/Put P/L",$B916="Stock Sale","Stock Sales",TRUE,"Other"))</f>
        <v/>
      </c>
      <c r="T916" s="11">
        <f>IF($A916="","",IF($B916="Cash Secured Put",$K916*$M916*100,IF($B916="Covered Call",$K916*$M916*100,IF($H916="Stock",$M916*$N916,""))))</f>
        <v/>
      </c>
      <c r="U916" s="19">
        <f>IF(OR($A916="",$C916&lt;&gt;"Closed",$D916="",$E916="",$T916=0),"",$R916/$T916*365/MAX(1,$E916-$D916))</f>
        <v/>
      </c>
      <c r="V916" s="14" t="n"/>
      <c r="W916" s="12" t="n"/>
    </row>
    <row r="917">
      <c r="A917" s="12" t="n"/>
      <c r="B917" s="14" t="n"/>
      <c r="C917" s="14" t="n"/>
      <c r="D917" s="15" t="n"/>
      <c r="E917" s="15" t="n"/>
      <c r="F917" s="16">
        <f>IF($E917="","",DATE(YEAR($E917),MONTH($E917),1))</f>
        <v/>
      </c>
      <c r="G917" s="14" t="n"/>
      <c r="H917" s="14" t="n"/>
      <c r="I917" s="14" t="n"/>
      <c r="J917" s="14" t="n"/>
      <c r="K917" s="17" t="n"/>
      <c r="L917" s="15" t="n"/>
      <c r="M917" s="14" t="n"/>
      <c r="N917" s="17" t="n"/>
      <c r="O917" s="17" t="n"/>
      <c r="P917" s="18" t="n"/>
      <c r="Q917" s="11">
        <f>IF($A917="","",IF($H917="Stock",IF($I917="Buy",-$M917*$N917-$P917,IF($I917="Sell",IF($N917="", $M917*$O917-$P917,($O917-$N917)*$M917-$P917),"")),IF($I917="Sell",($N917-IF($O917="",0,$O917))*$M917*100-$P917,IF($I917="Buy",(IF($O917="",0,$O917)-$N917)*$M917*100-$P917,""))))</f>
        <v/>
      </c>
      <c r="R917" s="11">
        <f>IF($A917="","",IF($C917="Open","",$Q917))</f>
        <v/>
      </c>
      <c r="S917" s="12">
        <f>IF($A917="","",IFS($B917="Covered Call","Covered Call Premium",$B917="Cash Secured Put","Cash Secured Put Premium",$B917="Long Call/Put","Long Call/Put P/L",$B917="Debit Spread","Long Call/Put P/L",$B917="Stock Sale","Stock Sales",TRUE,"Other"))</f>
        <v/>
      </c>
      <c r="T917" s="11">
        <f>IF($A917="","",IF($B917="Cash Secured Put",$K917*$M917*100,IF($B917="Covered Call",$K917*$M917*100,IF($H917="Stock",$M917*$N917,""))))</f>
        <v/>
      </c>
      <c r="U917" s="19">
        <f>IF(OR($A917="",$C917&lt;&gt;"Closed",$D917="",$E917="",$T917=0),"",$R917/$T917*365/MAX(1,$E917-$D917))</f>
        <v/>
      </c>
      <c r="V917" s="14" t="n"/>
      <c r="W917" s="12" t="n"/>
    </row>
    <row r="918">
      <c r="A918" s="12" t="n"/>
      <c r="B918" s="14" t="n"/>
      <c r="C918" s="14" t="n"/>
      <c r="D918" s="15" t="n"/>
      <c r="E918" s="15" t="n"/>
      <c r="F918" s="16">
        <f>IF($E918="","",DATE(YEAR($E918),MONTH($E918),1))</f>
        <v/>
      </c>
      <c r="G918" s="14" t="n"/>
      <c r="H918" s="14" t="n"/>
      <c r="I918" s="14" t="n"/>
      <c r="J918" s="14" t="n"/>
      <c r="K918" s="17" t="n"/>
      <c r="L918" s="15" t="n"/>
      <c r="M918" s="14" t="n"/>
      <c r="N918" s="17" t="n"/>
      <c r="O918" s="17" t="n"/>
      <c r="P918" s="18" t="n"/>
      <c r="Q918" s="11">
        <f>IF($A918="","",IF($H918="Stock",IF($I918="Buy",-$M918*$N918-$P918,IF($I918="Sell",IF($N918="", $M918*$O918-$P918,($O918-$N918)*$M918-$P918),"")),IF($I918="Sell",($N918-IF($O918="",0,$O918))*$M918*100-$P918,IF($I918="Buy",(IF($O918="",0,$O918)-$N918)*$M918*100-$P918,""))))</f>
        <v/>
      </c>
      <c r="R918" s="11">
        <f>IF($A918="","",IF($C918="Open","",$Q918))</f>
        <v/>
      </c>
      <c r="S918" s="12">
        <f>IF($A918="","",IFS($B918="Covered Call","Covered Call Premium",$B918="Cash Secured Put","Cash Secured Put Premium",$B918="Long Call/Put","Long Call/Put P/L",$B918="Debit Spread","Long Call/Put P/L",$B918="Stock Sale","Stock Sales",TRUE,"Other"))</f>
        <v/>
      </c>
      <c r="T918" s="11">
        <f>IF($A918="","",IF($B918="Cash Secured Put",$K918*$M918*100,IF($B918="Covered Call",$K918*$M918*100,IF($H918="Stock",$M918*$N918,""))))</f>
        <v/>
      </c>
      <c r="U918" s="19">
        <f>IF(OR($A918="",$C918&lt;&gt;"Closed",$D918="",$E918="",$T918=0),"",$R918/$T918*365/MAX(1,$E918-$D918))</f>
        <v/>
      </c>
      <c r="V918" s="14" t="n"/>
      <c r="W918" s="12" t="n"/>
    </row>
    <row r="919">
      <c r="A919" s="12" t="n"/>
      <c r="B919" s="14" t="n"/>
      <c r="C919" s="14" t="n"/>
      <c r="D919" s="15" t="n"/>
      <c r="E919" s="15" t="n"/>
      <c r="F919" s="16">
        <f>IF($E919="","",DATE(YEAR($E919),MONTH($E919),1))</f>
        <v/>
      </c>
      <c r="G919" s="14" t="n"/>
      <c r="H919" s="14" t="n"/>
      <c r="I919" s="14" t="n"/>
      <c r="J919" s="14" t="n"/>
      <c r="K919" s="17" t="n"/>
      <c r="L919" s="15" t="n"/>
      <c r="M919" s="14" t="n"/>
      <c r="N919" s="17" t="n"/>
      <c r="O919" s="17" t="n"/>
      <c r="P919" s="18" t="n"/>
      <c r="Q919" s="11">
        <f>IF($A919="","",IF($H919="Stock",IF($I919="Buy",-$M919*$N919-$P919,IF($I919="Sell",IF($N919="", $M919*$O919-$P919,($O919-$N919)*$M919-$P919),"")),IF($I919="Sell",($N919-IF($O919="",0,$O919))*$M919*100-$P919,IF($I919="Buy",(IF($O919="",0,$O919)-$N919)*$M919*100-$P919,""))))</f>
        <v/>
      </c>
      <c r="R919" s="11">
        <f>IF($A919="","",IF($C919="Open","",$Q919))</f>
        <v/>
      </c>
      <c r="S919" s="12">
        <f>IF($A919="","",IFS($B919="Covered Call","Covered Call Premium",$B919="Cash Secured Put","Cash Secured Put Premium",$B919="Long Call/Put","Long Call/Put P/L",$B919="Debit Spread","Long Call/Put P/L",$B919="Stock Sale","Stock Sales",TRUE,"Other"))</f>
        <v/>
      </c>
      <c r="T919" s="11">
        <f>IF($A919="","",IF($B919="Cash Secured Put",$K919*$M919*100,IF($B919="Covered Call",$K919*$M919*100,IF($H919="Stock",$M919*$N919,""))))</f>
        <v/>
      </c>
      <c r="U919" s="19">
        <f>IF(OR($A919="",$C919&lt;&gt;"Closed",$D919="",$E919="",$T919=0),"",$R919/$T919*365/MAX(1,$E919-$D919))</f>
        <v/>
      </c>
      <c r="V919" s="14" t="n"/>
      <c r="W919" s="12" t="n"/>
    </row>
    <row r="920">
      <c r="A920" s="12" t="n"/>
      <c r="B920" s="14" t="n"/>
      <c r="C920" s="14" t="n"/>
      <c r="D920" s="15" t="n"/>
      <c r="E920" s="15" t="n"/>
      <c r="F920" s="16">
        <f>IF($E920="","",DATE(YEAR($E920),MONTH($E920),1))</f>
        <v/>
      </c>
      <c r="G920" s="14" t="n"/>
      <c r="H920" s="14" t="n"/>
      <c r="I920" s="14" t="n"/>
      <c r="J920" s="14" t="n"/>
      <c r="K920" s="17" t="n"/>
      <c r="L920" s="15" t="n"/>
      <c r="M920" s="14" t="n"/>
      <c r="N920" s="17" t="n"/>
      <c r="O920" s="17" t="n"/>
      <c r="P920" s="18" t="n"/>
      <c r="Q920" s="11">
        <f>IF($A920="","",IF($H920="Stock",IF($I920="Buy",-$M920*$N920-$P920,IF($I920="Sell",IF($N920="", $M920*$O920-$P920,($O920-$N920)*$M920-$P920),"")),IF($I920="Sell",($N920-IF($O920="",0,$O920))*$M920*100-$P920,IF($I920="Buy",(IF($O920="",0,$O920)-$N920)*$M920*100-$P920,""))))</f>
        <v/>
      </c>
      <c r="R920" s="11">
        <f>IF($A920="","",IF($C920="Open","",$Q920))</f>
        <v/>
      </c>
      <c r="S920" s="12">
        <f>IF($A920="","",IFS($B920="Covered Call","Covered Call Premium",$B920="Cash Secured Put","Cash Secured Put Premium",$B920="Long Call/Put","Long Call/Put P/L",$B920="Debit Spread","Long Call/Put P/L",$B920="Stock Sale","Stock Sales",TRUE,"Other"))</f>
        <v/>
      </c>
      <c r="T920" s="11">
        <f>IF($A920="","",IF($B920="Cash Secured Put",$K920*$M920*100,IF($B920="Covered Call",$K920*$M920*100,IF($H920="Stock",$M920*$N920,""))))</f>
        <v/>
      </c>
      <c r="U920" s="19">
        <f>IF(OR($A920="",$C920&lt;&gt;"Closed",$D920="",$E920="",$T920=0),"",$R920/$T920*365/MAX(1,$E920-$D920))</f>
        <v/>
      </c>
      <c r="V920" s="14" t="n"/>
      <c r="W920" s="12" t="n"/>
    </row>
    <row r="921">
      <c r="A921" s="12" t="n"/>
      <c r="B921" s="14" t="n"/>
      <c r="C921" s="14" t="n"/>
      <c r="D921" s="15" t="n"/>
      <c r="E921" s="15" t="n"/>
      <c r="F921" s="16">
        <f>IF($E921="","",DATE(YEAR($E921),MONTH($E921),1))</f>
        <v/>
      </c>
      <c r="G921" s="14" t="n"/>
      <c r="H921" s="14" t="n"/>
      <c r="I921" s="14" t="n"/>
      <c r="J921" s="14" t="n"/>
      <c r="K921" s="17" t="n"/>
      <c r="L921" s="15" t="n"/>
      <c r="M921" s="14" t="n"/>
      <c r="N921" s="17" t="n"/>
      <c r="O921" s="17" t="n"/>
      <c r="P921" s="18" t="n"/>
      <c r="Q921" s="11">
        <f>IF($A921="","",IF($H921="Stock",IF($I921="Buy",-$M921*$N921-$P921,IF($I921="Sell",IF($N921="", $M921*$O921-$P921,($O921-$N921)*$M921-$P921),"")),IF($I921="Sell",($N921-IF($O921="",0,$O921))*$M921*100-$P921,IF($I921="Buy",(IF($O921="",0,$O921)-$N921)*$M921*100-$P921,""))))</f>
        <v/>
      </c>
      <c r="R921" s="11">
        <f>IF($A921="","",IF($C921="Open","",$Q921))</f>
        <v/>
      </c>
      <c r="S921" s="12">
        <f>IF($A921="","",IFS($B921="Covered Call","Covered Call Premium",$B921="Cash Secured Put","Cash Secured Put Premium",$B921="Long Call/Put","Long Call/Put P/L",$B921="Debit Spread","Long Call/Put P/L",$B921="Stock Sale","Stock Sales",TRUE,"Other"))</f>
        <v/>
      </c>
      <c r="T921" s="11">
        <f>IF($A921="","",IF($B921="Cash Secured Put",$K921*$M921*100,IF($B921="Covered Call",$K921*$M921*100,IF($H921="Stock",$M921*$N921,""))))</f>
        <v/>
      </c>
      <c r="U921" s="19">
        <f>IF(OR($A921="",$C921&lt;&gt;"Closed",$D921="",$E921="",$T921=0),"",$R921/$T921*365/MAX(1,$E921-$D921))</f>
        <v/>
      </c>
      <c r="V921" s="14" t="n"/>
      <c r="W921" s="12" t="n"/>
    </row>
    <row r="922">
      <c r="A922" s="12" t="n"/>
      <c r="B922" s="14" t="n"/>
      <c r="C922" s="14" t="n"/>
      <c r="D922" s="15" t="n"/>
      <c r="E922" s="15" t="n"/>
      <c r="F922" s="16">
        <f>IF($E922="","",DATE(YEAR($E922),MONTH($E922),1))</f>
        <v/>
      </c>
      <c r="G922" s="14" t="n"/>
      <c r="H922" s="14" t="n"/>
      <c r="I922" s="14" t="n"/>
      <c r="J922" s="14" t="n"/>
      <c r="K922" s="17" t="n"/>
      <c r="L922" s="15" t="n"/>
      <c r="M922" s="14" t="n"/>
      <c r="N922" s="17" t="n"/>
      <c r="O922" s="17" t="n"/>
      <c r="P922" s="18" t="n"/>
      <c r="Q922" s="11">
        <f>IF($A922="","",IF($H922="Stock",IF($I922="Buy",-$M922*$N922-$P922,IF($I922="Sell",IF($N922="", $M922*$O922-$P922,($O922-$N922)*$M922-$P922),"")),IF($I922="Sell",($N922-IF($O922="",0,$O922))*$M922*100-$P922,IF($I922="Buy",(IF($O922="",0,$O922)-$N922)*$M922*100-$P922,""))))</f>
        <v/>
      </c>
      <c r="R922" s="11">
        <f>IF($A922="","",IF($C922="Open","",$Q922))</f>
        <v/>
      </c>
      <c r="S922" s="12">
        <f>IF($A922="","",IFS($B922="Covered Call","Covered Call Premium",$B922="Cash Secured Put","Cash Secured Put Premium",$B922="Long Call/Put","Long Call/Put P/L",$B922="Debit Spread","Long Call/Put P/L",$B922="Stock Sale","Stock Sales",TRUE,"Other"))</f>
        <v/>
      </c>
      <c r="T922" s="11">
        <f>IF($A922="","",IF($B922="Cash Secured Put",$K922*$M922*100,IF($B922="Covered Call",$K922*$M922*100,IF($H922="Stock",$M922*$N922,""))))</f>
        <v/>
      </c>
      <c r="U922" s="19">
        <f>IF(OR($A922="",$C922&lt;&gt;"Closed",$D922="",$E922="",$T922=0),"",$R922/$T922*365/MAX(1,$E922-$D922))</f>
        <v/>
      </c>
      <c r="V922" s="14" t="n"/>
      <c r="W922" s="12" t="n"/>
    </row>
    <row r="923">
      <c r="A923" s="12" t="n"/>
      <c r="B923" s="14" t="n"/>
      <c r="C923" s="14" t="n"/>
      <c r="D923" s="15" t="n"/>
      <c r="E923" s="15" t="n"/>
      <c r="F923" s="16">
        <f>IF($E923="","",DATE(YEAR($E923),MONTH($E923),1))</f>
        <v/>
      </c>
      <c r="G923" s="14" t="n"/>
      <c r="H923" s="14" t="n"/>
      <c r="I923" s="14" t="n"/>
      <c r="J923" s="14" t="n"/>
      <c r="K923" s="17" t="n"/>
      <c r="L923" s="15" t="n"/>
      <c r="M923" s="14" t="n"/>
      <c r="N923" s="17" t="n"/>
      <c r="O923" s="17" t="n"/>
      <c r="P923" s="18" t="n"/>
      <c r="Q923" s="11">
        <f>IF($A923="","",IF($H923="Stock",IF($I923="Buy",-$M923*$N923-$P923,IF($I923="Sell",IF($N923="", $M923*$O923-$P923,($O923-$N923)*$M923-$P923),"")),IF($I923="Sell",($N923-IF($O923="",0,$O923))*$M923*100-$P923,IF($I923="Buy",(IF($O923="",0,$O923)-$N923)*$M923*100-$P923,""))))</f>
        <v/>
      </c>
      <c r="R923" s="11">
        <f>IF($A923="","",IF($C923="Open","",$Q923))</f>
        <v/>
      </c>
      <c r="S923" s="12">
        <f>IF($A923="","",IFS($B923="Covered Call","Covered Call Premium",$B923="Cash Secured Put","Cash Secured Put Premium",$B923="Long Call/Put","Long Call/Put P/L",$B923="Debit Spread","Long Call/Put P/L",$B923="Stock Sale","Stock Sales",TRUE,"Other"))</f>
        <v/>
      </c>
      <c r="T923" s="11">
        <f>IF($A923="","",IF($B923="Cash Secured Put",$K923*$M923*100,IF($B923="Covered Call",$K923*$M923*100,IF($H923="Stock",$M923*$N923,""))))</f>
        <v/>
      </c>
      <c r="U923" s="19">
        <f>IF(OR($A923="",$C923&lt;&gt;"Closed",$D923="",$E923="",$T923=0),"",$R923/$T923*365/MAX(1,$E923-$D923))</f>
        <v/>
      </c>
      <c r="V923" s="14" t="n"/>
      <c r="W923" s="12" t="n"/>
    </row>
    <row r="924">
      <c r="A924" s="12" t="n"/>
      <c r="B924" s="14" t="n"/>
      <c r="C924" s="14" t="n"/>
      <c r="D924" s="15" t="n"/>
      <c r="E924" s="15" t="n"/>
      <c r="F924" s="16">
        <f>IF($E924="","",DATE(YEAR($E924),MONTH($E924),1))</f>
        <v/>
      </c>
      <c r="G924" s="14" t="n"/>
      <c r="H924" s="14" t="n"/>
      <c r="I924" s="14" t="n"/>
      <c r="J924" s="14" t="n"/>
      <c r="K924" s="17" t="n"/>
      <c r="L924" s="15" t="n"/>
      <c r="M924" s="14" t="n"/>
      <c r="N924" s="17" t="n"/>
      <c r="O924" s="17" t="n"/>
      <c r="P924" s="18" t="n"/>
      <c r="Q924" s="11">
        <f>IF($A924="","",IF($H924="Stock",IF($I924="Buy",-$M924*$N924-$P924,IF($I924="Sell",IF($N924="", $M924*$O924-$P924,($O924-$N924)*$M924-$P924),"")),IF($I924="Sell",($N924-IF($O924="",0,$O924))*$M924*100-$P924,IF($I924="Buy",(IF($O924="",0,$O924)-$N924)*$M924*100-$P924,""))))</f>
        <v/>
      </c>
      <c r="R924" s="11">
        <f>IF($A924="","",IF($C924="Open","",$Q924))</f>
        <v/>
      </c>
      <c r="S924" s="12">
        <f>IF($A924="","",IFS($B924="Covered Call","Covered Call Premium",$B924="Cash Secured Put","Cash Secured Put Premium",$B924="Long Call/Put","Long Call/Put P/L",$B924="Debit Spread","Long Call/Put P/L",$B924="Stock Sale","Stock Sales",TRUE,"Other"))</f>
        <v/>
      </c>
      <c r="T924" s="11">
        <f>IF($A924="","",IF($B924="Cash Secured Put",$K924*$M924*100,IF($B924="Covered Call",$K924*$M924*100,IF($H924="Stock",$M924*$N924,""))))</f>
        <v/>
      </c>
      <c r="U924" s="19">
        <f>IF(OR($A924="",$C924&lt;&gt;"Closed",$D924="",$E924="",$T924=0),"",$R924/$T924*365/MAX(1,$E924-$D924))</f>
        <v/>
      </c>
      <c r="V924" s="14" t="n"/>
      <c r="W924" s="12" t="n"/>
    </row>
    <row r="925">
      <c r="A925" s="12" t="n"/>
      <c r="B925" s="14" t="n"/>
      <c r="C925" s="14" t="n"/>
      <c r="D925" s="15" t="n"/>
      <c r="E925" s="15" t="n"/>
      <c r="F925" s="16">
        <f>IF($E925="","",DATE(YEAR($E925),MONTH($E925),1))</f>
        <v/>
      </c>
      <c r="G925" s="14" t="n"/>
      <c r="H925" s="14" t="n"/>
      <c r="I925" s="14" t="n"/>
      <c r="J925" s="14" t="n"/>
      <c r="K925" s="17" t="n"/>
      <c r="L925" s="15" t="n"/>
      <c r="M925" s="14" t="n"/>
      <c r="N925" s="17" t="n"/>
      <c r="O925" s="17" t="n"/>
      <c r="P925" s="18" t="n"/>
      <c r="Q925" s="11">
        <f>IF($A925="","",IF($H925="Stock",IF($I925="Buy",-$M925*$N925-$P925,IF($I925="Sell",IF($N925="", $M925*$O925-$P925,($O925-$N925)*$M925-$P925),"")),IF($I925="Sell",($N925-IF($O925="",0,$O925))*$M925*100-$P925,IF($I925="Buy",(IF($O925="",0,$O925)-$N925)*$M925*100-$P925,""))))</f>
        <v/>
      </c>
      <c r="R925" s="11">
        <f>IF($A925="","",IF($C925="Open","",$Q925))</f>
        <v/>
      </c>
      <c r="S925" s="12">
        <f>IF($A925="","",IFS($B925="Covered Call","Covered Call Premium",$B925="Cash Secured Put","Cash Secured Put Premium",$B925="Long Call/Put","Long Call/Put P/L",$B925="Debit Spread","Long Call/Put P/L",$B925="Stock Sale","Stock Sales",TRUE,"Other"))</f>
        <v/>
      </c>
      <c r="T925" s="11">
        <f>IF($A925="","",IF($B925="Cash Secured Put",$K925*$M925*100,IF($B925="Covered Call",$K925*$M925*100,IF($H925="Stock",$M925*$N925,""))))</f>
        <v/>
      </c>
      <c r="U925" s="19">
        <f>IF(OR($A925="",$C925&lt;&gt;"Closed",$D925="",$E925="",$T925=0),"",$R925/$T925*365/MAX(1,$E925-$D925))</f>
        <v/>
      </c>
      <c r="V925" s="14" t="n"/>
      <c r="W925" s="12" t="n"/>
    </row>
    <row r="926">
      <c r="A926" s="12" t="n"/>
      <c r="B926" s="14" t="n"/>
      <c r="C926" s="14" t="n"/>
      <c r="D926" s="15" t="n"/>
      <c r="E926" s="15" t="n"/>
      <c r="F926" s="16">
        <f>IF($E926="","",DATE(YEAR($E926),MONTH($E926),1))</f>
        <v/>
      </c>
      <c r="G926" s="14" t="n"/>
      <c r="H926" s="14" t="n"/>
      <c r="I926" s="14" t="n"/>
      <c r="J926" s="14" t="n"/>
      <c r="K926" s="17" t="n"/>
      <c r="L926" s="15" t="n"/>
      <c r="M926" s="14" t="n"/>
      <c r="N926" s="17" t="n"/>
      <c r="O926" s="17" t="n"/>
      <c r="P926" s="18" t="n"/>
      <c r="Q926" s="11">
        <f>IF($A926="","",IF($H926="Stock",IF($I926="Buy",-$M926*$N926-$P926,IF($I926="Sell",IF($N926="", $M926*$O926-$P926,($O926-$N926)*$M926-$P926),"")),IF($I926="Sell",($N926-IF($O926="",0,$O926))*$M926*100-$P926,IF($I926="Buy",(IF($O926="",0,$O926)-$N926)*$M926*100-$P926,""))))</f>
        <v/>
      </c>
      <c r="R926" s="11">
        <f>IF($A926="","",IF($C926="Open","",$Q926))</f>
        <v/>
      </c>
      <c r="S926" s="12">
        <f>IF($A926="","",IFS($B926="Covered Call","Covered Call Premium",$B926="Cash Secured Put","Cash Secured Put Premium",$B926="Long Call/Put","Long Call/Put P/L",$B926="Debit Spread","Long Call/Put P/L",$B926="Stock Sale","Stock Sales",TRUE,"Other"))</f>
        <v/>
      </c>
      <c r="T926" s="11">
        <f>IF($A926="","",IF($B926="Cash Secured Put",$K926*$M926*100,IF($B926="Covered Call",$K926*$M926*100,IF($H926="Stock",$M926*$N926,""))))</f>
        <v/>
      </c>
      <c r="U926" s="19">
        <f>IF(OR($A926="",$C926&lt;&gt;"Closed",$D926="",$E926="",$T926=0),"",$R926/$T926*365/MAX(1,$E926-$D926))</f>
        <v/>
      </c>
      <c r="V926" s="14" t="n"/>
      <c r="W926" s="12" t="n"/>
    </row>
    <row r="927">
      <c r="A927" s="12" t="n"/>
      <c r="B927" s="14" t="n"/>
      <c r="C927" s="14" t="n"/>
      <c r="D927" s="15" t="n"/>
      <c r="E927" s="15" t="n"/>
      <c r="F927" s="16">
        <f>IF($E927="","",DATE(YEAR($E927),MONTH($E927),1))</f>
        <v/>
      </c>
      <c r="G927" s="14" t="n"/>
      <c r="H927" s="14" t="n"/>
      <c r="I927" s="14" t="n"/>
      <c r="J927" s="14" t="n"/>
      <c r="K927" s="17" t="n"/>
      <c r="L927" s="15" t="n"/>
      <c r="M927" s="14" t="n"/>
      <c r="N927" s="17" t="n"/>
      <c r="O927" s="17" t="n"/>
      <c r="P927" s="18" t="n"/>
      <c r="Q927" s="11">
        <f>IF($A927="","",IF($H927="Stock",IF($I927="Buy",-$M927*$N927-$P927,IF($I927="Sell",IF($N927="", $M927*$O927-$P927,($O927-$N927)*$M927-$P927),"")),IF($I927="Sell",($N927-IF($O927="",0,$O927))*$M927*100-$P927,IF($I927="Buy",(IF($O927="",0,$O927)-$N927)*$M927*100-$P927,""))))</f>
        <v/>
      </c>
      <c r="R927" s="11">
        <f>IF($A927="","",IF($C927="Open","",$Q927))</f>
        <v/>
      </c>
      <c r="S927" s="12">
        <f>IF($A927="","",IFS($B927="Covered Call","Covered Call Premium",$B927="Cash Secured Put","Cash Secured Put Premium",$B927="Long Call/Put","Long Call/Put P/L",$B927="Debit Spread","Long Call/Put P/L",$B927="Stock Sale","Stock Sales",TRUE,"Other"))</f>
        <v/>
      </c>
      <c r="T927" s="11">
        <f>IF($A927="","",IF($B927="Cash Secured Put",$K927*$M927*100,IF($B927="Covered Call",$K927*$M927*100,IF($H927="Stock",$M927*$N927,""))))</f>
        <v/>
      </c>
      <c r="U927" s="19">
        <f>IF(OR($A927="",$C927&lt;&gt;"Closed",$D927="",$E927="",$T927=0),"",$R927/$T927*365/MAX(1,$E927-$D927))</f>
        <v/>
      </c>
      <c r="V927" s="14" t="n"/>
      <c r="W927" s="12" t="n"/>
    </row>
    <row r="928">
      <c r="A928" s="12" t="n"/>
      <c r="B928" s="14" t="n"/>
      <c r="C928" s="14" t="n"/>
      <c r="D928" s="15" t="n"/>
      <c r="E928" s="15" t="n"/>
      <c r="F928" s="16">
        <f>IF($E928="","",DATE(YEAR($E928),MONTH($E928),1))</f>
        <v/>
      </c>
      <c r="G928" s="14" t="n"/>
      <c r="H928" s="14" t="n"/>
      <c r="I928" s="14" t="n"/>
      <c r="J928" s="14" t="n"/>
      <c r="K928" s="17" t="n"/>
      <c r="L928" s="15" t="n"/>
      <c r="M928" s="14" t="n"/>
      <c r="N928" s="17" t="n"/>
      <c r="O928" s="17" t="n"/>
      <c r="P928" s="18" t="n"/>
      <c r="Q928" s="11">
        <f>IF($A928="","",IF($H928="Stock",IF($I928="Buy",-$M928*$N928-$P928,IF($I928="Sell",IF($N928="", $M928*$O928-$P928,($O928-$N928)*$M928-$P928),"")),IF($I928="Sell",($N928-IF($O928="",0,$O928))*$M928*100-$P928,IF($I928="Buy",(IF($O928="",0,$O928)-$N928)*$M928*100-$P928,""))))</f>
        <v/>
      </c>
      <c r="R928" s="11">
        <f>IF($A928="","",IF($C928="Open","",$Q928))</f>
        <v/>
      </c>
      <c r="S928" s="12">
        <f>IF($A928="","",IFS($B928="Covered Call","Covered Call Premium",$B928="Cash Secured Put","Cash Secured Put Premium",$B928="Long Call/Put","Long Call/Put P/L",$B928="Debit Spread","Long Call/Put P/L",$B928="Stock Sale","Stock Sales",TRUE,"Other"))</f>
        <v/>
      </c>
      <c r="T928" s="11">
        <f>IF($A928="","",IF($B928="Cash Secured Put",$K928*$M928*100,IF($B928="Covered Call",$K928*$M928*100,IF($H928="Stock",$M928*$N928,""))))</f>
        <v/>
      </c>
      <c r="U928" s="19">
        <f>IF(OR($A928="",$C928&lt;&gt;"Closed",$D928="",$E928="",$T928=0),"",$R928/$T928*365/MAX(1,$E928-$D928))</f>
        <v/>
      </c>
      <c r="V928" s="14" t="n"/>
      <c r="W928" s="12" t="n"/>
    </row>
    <row r="929">
      <c r="A929" s="12" t="n"/>
      <c r="B929" s="14" t="n"/>
      <c r="C929" s="14" t="n"/>
      <c r="D929" s="15" t="n"/>
      <c r="E929" s="15" t="n"/>
      <c r="F929" s="16">
        <f>IF($E929="","",DATE(YEAR($E929),MONTH($E929),1))</f>
        <v/>
      </c>
      <c r="G929" s="14" t="n"/>
      <c r="H929" s="14" t="n"/>
      <c r="I929" s="14" t="n"/>
      <c r="J929" s="14" t="n"/>
      <c r="K929" s="17" t="n"/>
      <c r="L929" s="15" t="n"/>
      <c r="M929" s="14" t="n"/>
      <c r="N929" s="17" t="n"/>
      <c r="O929" s="17" t="n"/>
      <c r="P929" s="18" t="n"/>
      <c r="Q929" s="11">
        <f>IF($A929="","",IF($H929="Stock",IF($I929="Buy",-$M929*$N929-$P929,IF($I929="Sell",IF($N929="", $M929*$O929-$P929,($O929-$N929)*$M929-$P929),"")),IF($I929="Sell",($N929-IF($O929="",0,$O929))*$M929*100-$P929,IF($I929="Buy",(IF($O929="",0,$O929)-$N929)*$M929*100-$P929,""))))</f>
        <v/>
      </c>
      <c r="R929" s="11">
        <f>IF($A929="","",IF($C929="Open","",$Q929))</f>
        <v/>
      </c>
      <c r="S929" s="12">
        <f>IF($A929="","",IFS($B929="Covered Call","Covered Call Premium",$B929="Cash Secured Put","Cash Secured Put Premium",$B929="Long Call/Put","Long Call/Put P/L",$B929="Debit Spread","Long Call/Put P/L",$B929="Stock Sale","Stock Sales",TRUE,"Other"))</f>
        <v/>
      </c>
      <c r="T929" s="11">
        <f>IF($A929="","",IF($B929="Cash Secured Put",$K929*$M929*100,IF($B929="Covered Call",$K929*$M929*100,IF($H929="Stock",$M929*$N929,""))))</f>
        <v/>
      </c>
      <c r="U929" s="19">
        <f>IF(OR($A929="",$C929&lt;&gt;"Closed",$D929="",$E929="",$T929=0),"",$R929/$T929*365/MAX(1,$E929-$D929))</f>
        <v/>
      </c>
      <c r="V929" s="14" t="n"/>
      <c r="W929" s="12" t="n"/>
    </row>
    <row r="930">
      <c r="A930" s="12" t="n"/>
      <c r="B930" s="14" t="n"/>
      <c r="C930" s="14" t="n"/>
      <c r="D930" s="15" t="n"/>
      <c r="E930" s="15" t="n"/>
      <c r="F930" s="16">
        <f>IF($E930="","",DATE(YEAR($E930),MONTH($E930),1))</f>
        <v/>
      </c>
      <c r="G930" s="14" t="n"/>
      <c r="H930" s="14" t="n"/>
      <c r="I930" s="14" t="n"/>
      <c r="J930" s="14" t="n"/>
      <c r="K930" s="17" t="n"/>
      <c r="L930" s="15" t="n"/>
      <c r="M930" s="14" t="n"/>
      <c r="N930" s="17" t="n"/>
      <c r="O930" s="17" t="n"/>
      <c r="P930" s="18" t="n"/>
      <c r="Q930" s="11">
        <f>IF($A930="","",IF($H930="Stock",IF($I930="Buy",-$M930*$N930-$P930,IF($I930="Sell",IF($N930="", $M930*$O930-$P930,($O930-$N930)*$M930-$P930),"")),IF($I930="Sell",($N930-IF($O930="",0,$O930))*$M930*100-$P930,IF($I930="Buy",(IF($O930="",0,$O930)-$N930)*$M930*100-$P930,""))))</f>
        <v/>
      </c>
      <c r="R930" s="11">
        <f>IF($A930="","",IF($C930="Open","",$Q930))</f>
        <v/>
      </c>
      <c r="S930" s="12">
        <f>IF($A930="","",IFS($B930="Covered Call","Covered Call Premium",$B930="Cash Secured Put","Cash Secured Put Premium",$B930="Long Call/Put","Long Call/Put P/L",$B930="Debit Spread","Long Call/Put P/L",$B930="Stock Sale","Stock Sales",TRUE,"Other"))</f>
        <v/>
      </c>
      <c r="T930" s="11">
        <f>IF($A930="","",IF($B930="Cash Secured Put",$K930*$M930*100,IF($B930="Covered Call",$K930*$M930*100,IF($H930="Stock",$M930*$N930,""))))</f>
        <v/>
      </c>
      <c r="U930" s="19">
        <f>IF(OR($A930="",$C930&lt;&gt;"Closed",$D930="",$E930="",$T930=0),"",$R930/$T930*365/MAX(1,$E930-$D930))</f>
        <v/>
      </c>
      <c r="V930" s="14" t="n"/>
      <c r="W930" s="12" t="n"/>
    </row>
    <row r="931">
      <c r="A931" s="12" t="n"/>
      <c r="B931" s="14" t="n"/>
      <c r="C931" s="14" t="n"/>
      <c r="D931" s="15" t="n"/>
      <c r="E931" s="15" t="n"/>
      <c r="F931" s="16">
        <f>IF($E931="","",DATE(YEAR($E931),MONTH($E931),1))</f>
        <v/>
      </c>
      <c r="G931" s="14" t="n"/>
      <c r="H931" s="14" t="n"/>
      <c r="I931" s="14" t="n"/>
      <c r="J931" s="14" t="n"/>
      <c r="K931" s="17" t="n"/>
      <c r="L931" s="15" t="n"/>
      <c r="M931" s="14" t="n"/>
      <c r="N931" s="17" t="n"/>
      <c r="O931" s="17" t="n"/>
      <c r="P931" s="18" t="n"/>
      <c r="Q931" s="11">
        <f>IF($A931="","",IF($H931="Stock",IF($I931="Buy",-$M931*$N931-$P931,IF($I931="Sell",IF($N931="", $M931*$O931-$P931,($O931-$N931)*$M931-$P931),"")),IF($I931="Sell",($N931-IF($O931="",0,$O931))*$M931*100-$P931,IF($I931="Buy",(IF($O931="",0,$O931)-$N931)*$M931*100-$P931,""))))</f>
        <v/>
      </c>
      <c r="R931" s="11">
        <f>IF($A931="","",IF($C931="Open","",$Q931))</f>
        <v/>
      </c>
      <c r="S931" s="12">
        <f>IF($A931="","",IFS($B931="Covered Call","Covered Call Premium",$B931="Cash Secured Put","Cash Secured Put Premium",$B931="Long Call/Put","Long Call/Put P/L",$B931="Debit Spread","Long Call/Put P/L",$B931="Stock Sale","Stock Sales",TRUE,"Other"))</f>
        <v/>
      </c>
      <c r="T931" s="11">
        <f>IF($A931="","",IF($B931="Cash Secured Put",$K931*$M931*100,IF($B931="Covered Call",$K931*$M931*100,IF($H931="Stock",$M931*$N931,""))))</f>
        <v/>
      </c>
      <c r="U931" s="19">
        <f>IF(OR($A931="",$C931&lt;&gt;"Closed",$D931="",$E931="",$T931=0),"",$R931/$T931*365/MAX(1,$E931-$D931))</f>
        <v/>
      </c>
      <c r="V931" s="14" t="n"/>
      <c r="W931" s="12" t="n"/>
    </row>
    <row r="932">
      <c r="A932" s="12" t="n"/>
      <c r="B932" s="14" t="n"/>
      <c r="C932" s="14" t="n"/>
      <c r="D932" s="15" t="n"/>
      <c r="E932" s="15" t="n"/>
      <c r="F932" s="16">
        <f>IF($E932="","",DATE(YEAR($E932),MONTH($E932),1))</f>
        <v/>
      </c>
      <c r="G932" s="14" t="n"/>
      <c r="H932" s="14" t="n"/>
      <c r="I932" s="14" t="n"/>
      <c r="J932" s="14" t="n"/>
      <c r="K932" s="17" t="n"/>
      <c r="L932" s="15" t="n"/>
      <c r="M932" s="14" t="n"/>
      <c r="N932" s="17" t="n"/>
      <c r="O932" s="17" t="n"/>
      <c r="P932" s="18" t="n"/>
      <c r="Q932" s="11">
        <f>IF($A932="","",IF($H932="Stock",IF($I932="Buy",-$M932*$N932-$P932,IF($I932="Sell",IF($N932="", $M932*$O932-$P932,($O932-$N932)*$M932-$P932),"")),IF($I932="Sell",($N932-IF($O932="",0,$O932))*$M932*100-$P932,IF($I932="Buy",(IF($O932="",0,$O932)-$N932)*$M932*100-$P932,""))))</f>
        <v/>
      </c>
      <c r="R932" s="11">
        <f>IF($A932="","",IF($C932="Open","",$Q932))</f>
        <v/>
      </c>
      <c r="S932" s="12">
        <f>IF($A932="","",IFS($B932="Covered Call","Covered Call Premium",$B932="Cash Secured Put","Cash Secured Put Premium",$B932="Long Call/Put","Long Call/Put P/L",$B932="Debit Spread","Long Call/Put P/L",$B932="Stock Sale","Stock Sales",TRUE,"Other"))</f>
        <v/>
      </c>
      <c r="T932" s="11">
        <f>IF($A932="","",IF($B932="Cash Secured Put",$K932*$M932*100,IF($B932="Covered Call",$K932*$M932*100,IF($H932="Stock",$M932*$N932,""))))</f>
        <v/>
      </c>
      <c r="U932" s="19">
        <f>IF(OR($A932="",$C932&lt;&gt;"Closed",$D932="",$E932="",$T932=0),"",$R932/$T932*365/MAX(1,$E932-$D932))</f>
        <v/>
      </c>
      <c r="V932" s="14" t="n"/>
      <c r="W932" s="12" t="n"/>
    </row>
    <row r="933">
      <c r="A933" s="12" t="n"/>
      <c r="B933" s="14" t="n"/>
      <c r="C933" s="14" t="n"/>
      <c r="D933" s="15" t="n"/>
      <c r="E933" s="15" t="n"/>
      <c r="F933" s="16">
        <f>IF($E933="","",DATE(YEAR($E933),MONTH($E933),1))</f>
        <v/>
      </c>
      <c r="G933" s="14" t="n"/>
      <c r="H933" s="14" t="n"/>
      <c r="I933" s="14" t="n"/>
      <c r="J933" s="14" t="n"/>
      <c r="K933" s="17" t="n"/>
      <c r="L933" s="15" t="n"/>
      <c r="M933" s="14" t="n"/>
      <c r="N933" s="17" t="n"/>
      <c r="O933" s="17" t="n"/>
      <c r="P933" s="18" t="n"/>
      <c r="Q933" s="11">
        <f>IF($A933="","",IF($H933="Stock",IF($I933="Buy",-$M933*$N933-$P933,IF($I933="Sell",IF($N933="", $M933*$O933-$P933,($O933-$N933)*$M933-$P933),"")),IF($I933="Sell",($N933-IF($O933="",0,$O933))*$M933*100-$P933,IF($I933="Buy",(IF($O933="",0,$O933)-$N933)*$M933*100-$P933,""))))</f>
        <v/>
      </c>
      <c r="R933" s="11">
        <f>IF($A933="","",IF($C933="Open","",$Q933))</f>
        <v/>
      </c>
      <c r="S933" s="12">
        <f>IF($A933="","",IFS($B933="Covered Call","Covered Call Premium",$B933="Cash Secured Put","Cash Secured Put Premium",$B933="Long Call/Put","Long Call/Put P/L",$B933="Debit Spread","Long Call/Put P/L",$B933="Stock Sale","Stock Sales",TRUE,"Other"))</f>
        <v/>
      </c>
      <c r="T933" s="11">
        <f>IF($A933="","",IF($B933="Cash Secured Put",$K933*$M933*100,IF($B933="Covered Call",$K933*$M933*100,IF($H933="Stock",$M933*$N933,""))))</f>
        <v/>
      </c>
      <c r="U933" s="19">
        <f>IF(OR($A933="",$C933&lt;&gt;"Closed",$D933="",$E933="",$T933=0),"",$R933/$T933*365/MAX(1,$E933-$D933))</f>
        <v/>
      </c>
      <c r="V933" s="14" t="n"/>
      <c r="W933" s="12" t="n"/>
    </row>
    <row r="934">
      <c r="A934" s="12" t="n"/>
      <c r="B934" s="14" t="n"/>
      <c r="C934" s="14" t="n"/>
      <c r="D934" s="15" t="n"/>
      <c r="E934" s="15" t="n"/>
      <c r="F934" s="16">
        <f>IF($E934="","",DATE(YEAR($E934),MONTH($E934),1))</f>
        <v/>
      </c>
      <c r="G934" s="14" t="n"/>
      <c r="H934" s="14" t="n"/>
      <c r="I934" s="14" t="n"/>
      <c r="J934" s="14" t="n"/>
      <c r="K934" s="17" t="n"/>
      <c r="L934" s="15" t="n"/>
      <c r="M934" s="14" t="n"/>
      <c r="N934" s="17" t="n"/>
      <c r="O934" s="17" t="n"/>
      <c r="P934" s="18" t="n"/>
      <c r="Q934" s="11">
        <f>IF($A934="","",IF($H934="Stock",IF($I934="Buy",-$M934*$N934-$P934,IF($I934="Sell",IF($N934="", $M934*$O934-$P934,($O934-$N934)*$M934-$P934),"")),IF($I934="Sell",($N934-IF($O934="",0,$O934))*$M934*100-$P934,IF($I934="Buy",(IF($O934="",0,$O934)-$N934)*$M934*100-$P934,""))))</f>
        <v/>
      </c>
      <c r="R934" s="11">
        <f>IF($A934="","",IF($C934="Open","",$Q934))</f>
        <v/>
      </c>
      <c r="S934" s="12">
        <f>IF($A934="","",IFS($B934="Covered Call","Covered Call Premium",$B934="Cash Secured Put","Cash Secured Put Premium",$B934="Long Call/Put","Long Call/Put P/L",$B934="Debit Spread","Long Call/Put P/L",$B934="Stock Sale","Stock Sales",TRUE,"Other"))</f>
        <v/>
      </c>
      <c r="T934" s="11">
        <f>IF($A934="","",IF($B934="Cash Secured Put",$K934*$M934*100,IF($B934="Covered Call",$K934*$M934*100,IF($H934="Stock",$M934*$N934,""))))</f>
        <v/>
      </c>
      <c r="U934" s="19">
        <f>IF(OR($A934="",$C934&lt;&gt;"Closed",$D934="",$E934="",$T934=0),"",$R934/$T934*365/MAX(1,$E934-$D934))</f>
        <v/>
      </c>
      <c r="V934" s="14" t="n"/>
      <c r="W934" s="12" t="n"/>
    </row>
    <row r="935">
      <c r="A935" s="12" t="n"/>
      <c r="B935" s="14" t="n"/>
      <c r="C935" s="14" t="n"/>
      <c r="D935" s="15" t="n"/>
      <c r="E935" s="15" t="n"/>
      <c r="F935" s="16">
        <f>IF($E935="","",DATE(YEAR($E935),MONTH($E935),1))</f>
        <v/>
      </c>
      <c r="G935" s="14" t="n"/>
      <c r="H935" s="14" t="n"/>
      <c r="I935" s="14" t="n"/>
      <c r="J935" s="14" t="n"/>
      <c r="K935" s="17" t="n"/>
      <c r="L935" s="15" t="n"/>
      <c r="M935" s="14" t="n"/>
      <c r="N935" s="17" t="n"/>
      <c r="O935" s="17" t="n"/>
      <c r="P935" s="18" t="n"/>
      <c r="Q935" s="11">
        <f>IF($A935="","",IF($H935="Stock",IF($I935="Buy",-$M935*$N935-$P935,IF($I935="Sell",IF($N935="", $M935*$O935-$P935,($O935-$N935)*$M935-$P935),"")),IF($I935="Sell",($N935-IF($O935="",0,$O935))*$M935*100-$P935,IF($I935="Buy",(IF($O935="",0,$O935)-$N935)*$M935*100-$P935,""))))</f>
        <v/>
      </c>
      <c r="R935" s="11">
        <f>IF($A935="","",IF($C935="Open","",$Q935))</f>
        <v/>
      </c>
      <c r="S935" s="12">
        <f>IF($A935="","",IFS($B935="Covered Call","Covered Call Premium",$B935="Cash Secured Put","Cash Secured Put Premium",$B935="Long Call/Put","Long Call/Put P/L",$B935="Debit Spread","Long Call/Put P/L",$B935="Stock Sale","Stock Sales",TRUE,"Other"))</f>
        <v/>
      </c>
      <c r="T935" s="11">
        <f>IF($A935="","",IF($B935="Cash Secured Put",$K935*$M935*100,IF($B935="Covered Call",$K935*$M935*100,IF($H935="Stock",$M935*$N935,""))))</f>
        <v/>
      </c>
      <c r="U935" s="19">
        <f>IF(OR($A935="",$C935&lt;&gt;"Closed",$D935="",$E935="",$T935=0),"",$R935/$T935*365/MAX(1,$E935-$D935))</f>
        <v/>
      </c>
      <c r="V935" s="14" t="n"/>
      <c r="W935" s="12" t="n"/>
    </row>
    <row r="936">
      <c r="A936" s="12" t="n"/>
      <c r="B936" s="14" t="n"/>
      <c r="C936" s="14" t="n"/>
      <c r="D936" s="15" t="n"/>
      <c r="E936" s="15" t="n"/>
      <c r="F936" s="16">
        <f>IF($E936="","",DATE(YEAR($E936),MONTH($E936),1))</f>
        <v/>
      </c>
      <c r="G936" s="14" t="n"/>
      <c r="H936" s="14" t="n"/>
      <c r="I936" s="14" t="n"/>
      <c r="J936" s="14" t="n"/>
      <c r="K936" s="17" t="n"/>
      <c r="L936" s="15" t="n"/>
      <c r="M936" s="14" t="n"/>
      <c r="N936" s="17" t="n"/>
      <c r="O936" s="17" t="n"/>
      <c r="P936" s="18" t="n"/>
      <c r="Q936" s="11">
        <f>IF($A936="","",IF($H936="Stock",IF($I936="Buy",-$M936*$N936-$P936,IF($I936="Sell",IF($N936="", $M936*$O936-$P936,($O936-$N936)*$M936-$P936),"")),IF($I936="Sell",($N936-IF($O936="",0,$O936))*$M936*100-$P936,IF($I936="Buy",(IF($O936="",0,$O936)-$N936)*$M936*100-$P936,""))))</f>
        <v/>
      </c>
      <c r="R936" s="11">
        <f>IF($A936="","",IF($C936="Open","",$Q936))</f>
        <v/>
      </c>
      <c r="S936" s="12">
        <f>IF($A936="","",IFS($B936="Covered Call","Covered Call Premium",$B936="Cash Secured Put","Cash Secured Put Premium",$B936="Long Call/Put","Long Call/Put P/L",$B936="Debit Spread","Long Call/Put P/L",$B936="Stock Sale","Stock Sales",TRUE,"Other"))</f>
        <v/>
      </c>
      <c r="T936" s="11">
        <f>IF($A936="","",IF($B936="Cash Secured Put",$K936*$M936*100,IF($B936="Covered Call",$K936*$M936*100,IF($H936="Stock",$M936*$N936,""))))</f>
        <v/>
      </c>
      <c r="U936" s="19">
        <f>IF(OR($A936="",$C936&lt;&gt;"Closed",$D936="",$E936="",$T936=0),"",$R936/$T936*365/MAX(1,$E936-$D936))</f>
        <v/>
      </c>
      <c r="V936" s="14" t="n"/>
      <c r="W936" s="12" t="n"/>
    </row>
    <row r="937">
      <c r="A937" s="12" t="n"/>
      <c r="B937" s="14" t="n"/>
      <c r="C937" s="14" t="n"/>
      <c r="D937" s="15" t="n"/>
      <c r="E937" s="15" t="n"/>
      <c r="F937" s="16">
        <f>IF($E937="","",DATE(YEAR($E937),MONTH($E937),1))</f>
        <v/>
      </c>
      <c r="G937" s="14" t="n"/>
      <c r="H937" s="14" t="n"/>
      <c r="I937" s="14" t="n"/>
      <c r="J937" s="14" t="n"/>
      <c r="K937" s="17" t="n"/>
      <c r="L937" s="15" t="n"/>
      <c r="M937" s="14" t="n"/>
      <c r="N937" s="17" t="n"/>
      <c r="O937" s="17" t="n"/>
      <c r="P937" s="18" t="n"/>
      <c r="Q937" s="11">
        <f>IF($A937="","",IF($H937="Stock",IF($I937="Buy",-$M937*$N937-$P937,IF($I937="Sell",IF($N937="", $M937*$O937-$P937,($O937-$N937)*$M937-$P937),"")),IF($I937="Sell",($N937-IF($O937="",0,$O937))*$M937*100-$P937,IF($I937="Buy",(IF($O937="",0,$O937)-$N937)*$M937*100-$P937,""))))</f>
        <v/>
      </c>
      <c r="R937" s="11">
        <f>IF($A937="","",IF($C937="Open","",$Q937))</f>
        <v/>
      </c>
      <c r="S937" s="12">
        <f>IF($A937="","",IFS($B937="Covered Call","Covered Call Premium",$B937="Cash Secured Put","Cash Secured Put Premium",$B937="Long Call/Put","Long Call/Put P/L",$B937="Debit Spread","Long Call/Put P/L",$B937="Stock Sale","Stock Sales",TRUE,"Other"))</f>
        <v/>
      </c>
      <c r="T937" s="11">
        <f>IF($A937="","",IF($B937="Cash Secured Put",$K937*$M937*100,IF($B937="Covered Call",$K937*$M937*100,IF($H937="Stock",$M937*$N937,""))))</f>
        <v/>
      </c>
      <c r="U937" s="19">
        <f>IF(OR($A937="",$C937&lt;&gt;"Closed",$D937="",$E937="",$T937=0),"",$R937/$T937*365/MAX(1,$E937-$D937))</f>
        <v/>
      </c>
      <c r="V937" s="14" t="n"/>
      <c r="W937" s="12" t="n"/>
    </row>
    <row r="938">
      <c r="A938" s="12" t="n"/>
      <c r="B938" s="14" t="n"/>
      <c r="C938" s="14" t="n"/>
      <c r="D938" s="15" t="n"/>
      <c r="E938" s="15" t="n"/>
      <c r="F938" s="16">
        <f>IF($E938="","",DATE(YEAR($E938),MONTH($E938),1))</f>
        <v/>
      </c>
      <c r="G938" s="14" t="n"/>
      <c r="H938" s="14" t="n"/>
      <c r="I938" s="14" t="n"/>
      <c r="J938" s="14" t="n"/>
      <c r="K938" s="17" t="n"/>
      <c r="L938" s="15" t="n"/>
      <c r="M938" s="14" t="n"/>
      <c r="N938" s="17" t="n"/>
      <c r="O938" s="17" t="n"/>
      <c r="P938" s="18" t="n"/>
      <c r="Q938" s="11">
        <f>IF($A938="","",IF($H938="Stock",IF($I938="Buy",-$M938*$N938-$P938,IF($I938="Sell",IF($N938="", $M938*$O938-$P938,($O938-$N938)*$M938-$P938),"")),IF($I938="Sell",($N938-IF($O938="",0,$O938))*$M938*100-$P938,IF($I938="Buy",(IF($O938="",0,$O938)-$N938)*$M938*100-$P938,""))))</f>
        <v/>
      </c>
      <c r="R938" s="11">
        <f>IF($A938="","",IF($C938="Open","",$Q938))</f>
        <v/>
      </c>
      <c r="S938" s="12">
        <f>IF($A938="","",IFS($B938="Covered Call","Covered Call Premium",$B938="Cash Secured Put","Cash Secured Put Premium",$B938="Long Call/Put","Long Call/Put P/L",$B938="Debit Spread","Long Call/Put P/L",$B938="Stock Sale","Stock Sales",TRUE,"Other"))</f>
        <v/>
      </c>
      <c r="T938" s="11">
        <f>IF($A938="","",IF($B938="Cash Secured Put",$K938*$M938*100,IF($B938="Covered Call",$K938*$M938*100,IF($H938="Stock",$M938*$N938,""))))</f>
        <v/>
      </c>
      <c r="U938" s="19">
        <f>IF(OR($A938="",$C938&lt;&gt;"Closed",$D938="",$E938="",$T938=0),"",$R938/$T938*365/MAX(1,$E938-$D938))</f>
        <v/>
      </c>
      <c r="V938" s="14" t="n"/>
      <c r="W938" s="12" t="n"/>
    </row>
    <row r="939">
      <c r="A939" s="12" t="n"/>
      <c r="B939" s="14" t="n"/>
      <c r="C939" s="14" t="n"/>
      <c r="D939" s="15" t="n"/>
      <c r="E939" s="15" t="n"/>
      <c r="F939" s="16">
        <f>IF($E939="","",DATE(YEAR($E939),MONTH($E939),1))</f>
        <v/>
      </c>
      <c r="G939" s="14" t="n"/>
      <c r="H939" s="14" t="n"/>
      <c r="I939" s="14" t="n"/>
      <c r="J939" s="14" t="n"/>
      <c r="K939" s="17" t="n"/>
      <c r="L939" s="15" t="n"/>
      <c r="M939" s="14" t="n"/>
      <c r="N939" s="17" t="n"/>
      <c r="O939" s="17" t="n"/>
      <c r="P939" s="18" t="n"/>
      <c r="Q939" s="11">
        <f>IF($A939="","",IF($H939="Stock",IF($I939="Buy",-$M939*$N939-$P939,IF($I939="Sell",IF($N939="", $M939*$O939-$P939,($O939-$N939)*$M939-$P939),"")),IF($I939="Sell",($N939-IF($O939="",0,$O939))*$M939*100-$P939,IF($I939="Buy",(IF($O939="",0,$O939)-$N939)*$M939*100-$P939,""))))</f>
        <v/>
      </c>
      <c r="R939" s="11">
        <f>IF($A939="","",IF($C939="Open","",$Q939))</f>
        <v/>
      </c>
      <c r="S939" s="12">
        <f>IF($A939="","",IFS($B939="Covered Call","Covered Call Premium",$B939="Cash Secured Put","Cash Secured Put Premium",$B939="Long Call/Put","Long Call/Put P/L",$B939="Debit Spread","Long Call/Put P/L",$B939="Stock Sale","Stock Sales",TRUE,"Other"))</f>
        <v/>
      </c>
      <c r="T939" s="11">
        <f>IF($A939="","",IF($B939="Cash Secured Put",$K939*$M939*100,IF($B939="Covered Call",$K939*$M939*100,IF($H939="Stock",$M939*$N939,""))))</f>
        <v/>
      </c>
      <c r="U939" s="19">
        <f>IF(OR($A939="",$C939&lt;&gt;"Closed",$D939="",$E939="",$T939=0),"",$R939/$T939*365/MAX(1,$E939-$D939))</f>
        <v/>
      </c>
      <c r="V939" s="14" t="n"/>
      <c r="W939" s="12" t="n"/>
    </row>
    <row r="940">
      <c r="A940" s="12" t="n"/>
      <c r="B940" s="14" t="n"/>
      <c r="C940" s="14" t="n"/>
      <c r="D940" s="15" t="n"/>
      <c r="E940" s="15" t="n"/>
      <c r="F940" s="16">
        <f>IF($E940="","",DATE(YEAR($E940),MONTH($E940),1))</f>
        <v/>
      </c>
      <c r="G940" s="14" t="n"/>
      <c r="H940" s="14" t="n"/>
      <c r="I940" s="14" t="n"/>
      <c r="J940" s="14" t="n"/>
      <c r="K940" s="17" t="n"/>
      <c r="L940" s="15" t="n"/>
      <c r="M940" s="14" t="n"/>
      <c r="N940" s="17" t="n"/>
      <c r="O940" s="17" t="n"/>
      <c r="P940" s="18" t="n"/>
      <c r="Q940" s="11">
        <f>IF($A940="","",IF($H940="Stock",IF($I940="Buy",-$M940*$N940-$P940,IF($I940="Sell",IF($N940="", $M940*$O940-$P940,($O940-$N940)*$M940-$P940),"")),IF($I940="Sell",($N940-IF($O940="",0,$O940))*$M940*100-$P940,IF($I940="Buy",(IF($O940="",0,$O940)-$N940)*$M940*100-$P940,""))))</f>
        <v/>
      </c>
      <c r="R940" s="11">
        <f>IF($A940="","",IF($C940="Open","",$Q940))</f>
        <v/>
      </c>
      <c r="S940" s="12">
        <f>IF($A940="","",IFS($B940="Covered Call","Covered Call Premium",$B940="Cash Secured Put","Cash Secured Put Premium",$B940="Long Call/Put","Long Call/Put P/L",$B940="Debit Spread","Long Call/Put P/L",$B940="Stock Sale","Stock Sales",TRUE,"Other"))</f>
        <v/>
      </c>
      <c r="T940" s="11">
        <f>IF($A940="","",IF($B940="Cash Secured Put",$K940*$M940*100,IF($B940="Covered Call",$K940*$M940*100,IF($H940="Stock",$M940*$N940,""))))</f>
        <v/>
      </c>
      <c r="U940" s="19">
        <f>IF(OR($A940="",$C940&lt;&gt;"Closed",$D940="",$E940="",$T940=0),"",$R940/$T940*365/MAX(1,$E940-$D940))</f>
        <v/>
      </c>
      <c r="V940" s="14" t="n"/>
      <c r="W940" s="12" t="n"/>
    </row>
    <row r="941">
      <c r="A941" s="12" t="n"/>
      <c r="B941" s="14" t="n"/>
      <c r="C941" s="14" t="n"/>
      <c r="D941" s="15" t="n"/>
      <c r="E941" s="15" t="n"/>
      <c r="F941" s="16">
        <f>IF($E941="","",DATE(YEAR($E941),MONTH($E941),1))</f>
        <v/>
      </c>
      <c r="G941" s="14" t="n"/>
      <c r="H941" s="14" t="n"/>
      <c r="I941" s="14" t="n"/>
      <c r="J941" s="14" t="n"/>
      <c r="K941" s="17" t="n"/>
      <c r="L941" s="15" t="n"/>
      <c r="M941" s="14" t="n"/>
      <c r="N941" s="17" t="n"/>
      <c r="O941" s="17" t="n"/>
      <c r="P941" s="18" t="n"/>
      <c r="Q941" s="11">
        <f>IF($A941="","",IF($H941="Stock",IF($I941="Buy",-$M941*$N941-$P941,IF($I941="Sell",IF($N941="", $M941*$O941-$P941,($O941-$N941)*$M941-$P941),"")),IF($I941="Sell",($N941-IF($O941="",0,$O941))*$M941*100-$P941,IF($I941="Buy",(IF($O941="",0,$O941)-$N941)*$M941*100-$P941,""))))</f>
        <v/>
      </c>
      <c r="R941" s="11">
        <f>IF($A941="","",IF($C941="Open","",$Q941))</f>
        <v/>
      </c>
      <c r="S941" s="12">
        <f>IF($A941="","",IFS($B941="Covered Call","Covered Call Premium",$B941="Cash Secured Put","Cash Secured Put Premium",$B941="Long Call/Put","Long Call/Put P/L",$B941="Debit Spread","Long Call/Put P/L",$B941="Stock Sale","Stock Sales",TRUE,"Other"))</f>
        <v/>
      </c>
      <c r="T941" s="11">
        <f>IF($A941="","",IF($B941="Cash Secured Put",$K941*$M941*100,IF($B941="Covered Call",$K941*$M941*100,IF($H941="Stock",$M941*$N941,""))))</f>
        <v/>
      </c>
      <c r="U941" s="19">
        <f>IF(OR($A941="",$C941&lt;&gt;"Closed",$D941="",$E941="",$T941=0),"",$R941/$T941*365/MAX(1,$E941-$D941))</f>
        <v/>
      </c>
      <c r="V941" s="14" t="n"/>
      <c r="W941" s="12" t="n"/>
    </row>
    <row r="942">
      <c r="A942" s="12" t="n"/>
      <c r="B942" s="14" t="n"/>
      <c r="C942" s="14" t="n"/>
      <c r="D942" s="15" t="n"/>
      <c r="E942" s="15" t="n"/>
      <c r="F942" s="16">
        <f>IF($E942="","",DATE(YEAR($E942),MONTH($E942),1))</f>
        <v/>
      </c>
      <c r="G942" s="14" t="n"/>
      <c r="H942" s="14" t="n"/>
      <c r="I942" s="14" t="n"/>
      <c r="J942" s="14" t="n"/>
      <c r="K942" s="17" t="n"/>
      <c r="L942" s="15" t="n"/>
      <c r="M942" s="14" t="n"/>
      <c r="N942" s="17" t="n"/>
      <c r="O942" s="17" t="n"/>
      <c r="P942" s="18" t="n"/>
      <c r="Q942" s="11">
        <f>IF($A942="","",IF($H942="Stock",IF($I942="Buy",-$M942*$N942-$P942,IF($I942="Sell",IF($N942="", $M942*$O942-$P942,($O942-$N942)*$M942-$P942),"")),IF($I942="Sell",($N942-IF($O942="",0,$O942))*$M942*100-$P942,IF($I942="Buy",(IF($O942="",0,$O942)-$N942)*$M942*100-$P942,""))))</f>
        <v/>
      </c>
      <c r="R942" s="11">
        <f>IF($A942="","",IF($C942="Open","",$Q942))</f>
        <v/>
      </c>
      <c r="S942" s="12">
        <f>IF($A942="","",IFS($B942="Covered Call","Covered Call Premium",$B942="Cash Secured Put","Cash Secured Put Premium",$B942="Long Call/Put","Long Call/Put P/L",$B942="Debit Spread","Long Call/Put P/L",$B942="Stock Sale","Stock Sales",TRUE,"Other"))</f>
        <v/>
      </c>
      <c r="T942" s="11">
        <f>IF($A942="","",IF($B942="Cash Secured Put",$K942*$M942*100,IF($B942="Covered Call",$K942*$M942*100,IF($H942="Stock",$M942*$N942,""))))</f>
        <v/>
      </c>
      <c r="U942" s="19">
        <f>IF(OR($A942="",$C942&lt;&gt;"Closed",$D942="",$E942="",$T942=0),"",$R942/$T942*365/MAX(1,$E942-$D942))</f>
        <v/>
      </c>
      <c r="V942" s="14" t="n"/>
      <c r="W942" s="12" t="n"/>
    </row>
    <row r="943">
      <c r="A943" s="12" t="n"/>
      <c r="B943" s="14" t="n"/>
      <c r="C943" s="14" t="n"/>
      <c r="D943" s="15" t="n"/>
      <c r="E943" s="15" t="n"/>
      <c r="F943" s="16">
        <f>IF($E943="","",DATE(YEAR($E943),MONTH($E943),1))</f>
        <v/>
      </c>
      <c r="G943" s="14" t="n"/>
      <c r="H943" s="14" t="n"/>
      <c r="I943" s="14" t="n"/>
      <c r="J943" s="14" t="n"/>
      <c r="K943" s="17" t="n"/>
      <c r="L943" s="15" t="n"/>
      <c r="M943" s="14" t="n"/>
      <c r="N943" s="17" t="n"/>
      <c r="O943" s="17" t="n"/>
      <c r="P943" s="18" t="n"/>
      <c r="Q943" s="11">
        <f>IF($A943="","",IF($H943="Stock",IF($I943="Buy",-$M943*$N943-$P943,IF($I943="Sell",IF($N943="", $M943*$O943-$P943,($O943-$N943)*$M943-$P943),"")),IF($I943="Sell",($N943-IF($O943="",0,$O943))*$M943*100-$P943,IF($I943="Buy",(IF($O943="",0,$O943)-$N943)*$M943*100-$P943,""))))</f>
        <v/>
      </c>
      <c r="R943" s="11">
        <f>IF($A943="","",IF($C943="Open","",$Q943))</f>
        <v/>
      </c>
      <c r="S943" s="12">
        <f>IF($A943="","",IFS($B943="Covered Call","Covered Call Premium",$B943="Cash Secured Put","Cash Secured Put Premium",$B943="Long Call/Put","Long Call/Put P/L",$B943="Debit Spread","Long Call/Put P/L",$B943="Stock Sale","Stock Sales",TRUE,"Other"))</f>
        <v/>
      </c>
      <c r="T943" s="11">
        <f>IF($A943="","",IF($B943="Cash Secured Put",$K943*$M943*100,IF($B943="Covered Call",$K943*$M943*100,IF($H943="Stock",$M943*$N943,""))))</f>
        <v/>
      </c>
      <c r="U943" s="19">
        <f>IF(OR($A943="",$C943&lt;&gt;"Closed",$D943="",$E943="",$T943=0),"",$R943/$T943*365/MAX(1,$E943-$D943))</f>
        <v/>
      </c>
      <c r="V943" s="14" t="n"/>
      <c r="W943" s="12" t="n"/>
    </row>
    <row r="944">
      <c r="A944" s="12" t="n"/>
      <c r="B944" s="14" t="n"/>
      <c r="C944" s="14" t="n"/>
      <c r="D944" s="15" t="n"/>
      <c r="E944" s="15" t="n"/>
      <c r="F944" s="16">
        <f>IF($E944="","",DATE(YEAR($E944),MONTH($E944),1))</f>
        <v/>
      </c>
      <c r="G944" s="14" t="n"/>
      <c r="H944" s="14" t="n"/>
      <c r="I944" s="14" t="n"/>
      <c r="J944" s="14" t="n"/>
      <c r="K944" s="17" t="n"/>
      <c r="L944" s="15" t="n"/>
      <c r="M944" s="14" t="n"/>
      <c r="N944" s="17" t="n"/>
      <c r="O944" s="17" t="n"/>
      <c r="P944" s="18" t="n"/>
      <c r="Q944" s="11">
        <f>IF($A944="","",IF($H944="Stock",IF($I944="Buy",-$M944*$N944-$P944,IF($I944="Sell",IF($N944="", $M944*$O944-$P944,($O944-$N944)*$M944-$P944),"")),IF($I944="Sell",($N944-IF($O944="",0,$O944))*$M944*100-$P944,IF($I944="Buy",(IF($O944="",0,$O944)-$N944)*$M944*100-$P944,""))))</f>
        <v/>
      </c>
      <c r="R944" s="11">
        <f>IF($A944="","",IF($C944="Open","",$Q944))</f>
        <v/>
      </c>
      <c r="S944" s="12">
        <f>IF($A944="","",IFS($B944="Covered Call","Covered Call Premium",$B944="Cash Secured Put","Cash Secured Put Premium",$B944="Long Call/Put","Long Call/Put P/L",$B944="Debit Spread","Long Call/Put P/L",$B944="Stock Sale","Stock Sales",TRUE,"Other"))</f>
        <v/>
      </c>
      <c r="T944" s="11">
        <f>IF($A944="","",IF($B944="Cash Secured Put",$K944*$M944*100,IF($B944="Covered Call",$K944*$M944*100,IF($H944="Stock",$M944*$N944,""))))</f>
        <v/>
      </c>
      <c r="U944" s="19">
        <f>IF(OR($A944="",$C944&lt;&gt;"Closed",$D944="",$E944="",$T944=0),"",$R944/$T944*365/MAX(1,$E944-$D944))</f>
        <v/>
      </c>
      <c r="V944" s="14" t="n"/>
      <c r="W944" s="12" t="n"/>
    </row>
    <row r="945">
      <c r="A945" s="12" t="n"/>
      <c r="B945" s="14" t="n"/>
      <c r="C945" s="14" t="n"/>
      <c r="D945" s="15" t="n"/>
      <c r="E945" s="15" t="n"/>
      <c r="F945" s="16">
        <f>IF($E945="","",DATE(YEAR($E945),MONTH($E945),1))</f>
        <v/>
      </c>
      <c r="G945" s="14" t="n"/>
      <c r="H945" s="14" t="n"/>
      <c r="I945" s="14" t="n"/>
      <c r="J945" s="14" t="n"/>
      <c r="K945" s="17" t="n"/>
      <c r="L945" s="15" t="n"/>
      <c r="M945" s="14" t="n"/>
      <c r="N945" s="17" t="n"/>
      <c r="O945" s="17" t="n"/>
      <c r="P945" s="18" t="n"/>
      <c r="Q945" s="11">
        <f>IF($A945="","",IF($H945="Stock",IF($I945="Buy",-$M945*$N945-$P945,IF($I945="Sell",IF($N945="", $M945*$O945-$P945,($O945-$N945)*$M945-$P945),"")),IF($I945="Sell",($N945-IF($O945="",0,$O945))*$M945*100-$P945,IF($I945="Buy",(IF($O945="",0,$O945)-$N945)*$M945*100-$P945,""))))</f>
        <v/>
      </c>
      <c r="R945" s="11">
        <f>IF($A945="","",IF($C945="Open","",$Q945))</f>
        <v/>
      </c>
      <c r="S945" s="12">
        <f>IF($A945="","",IFS($B945="Covered Call","Covered Call Premium",$B945="Cash Secured Put","Cash Secured Put Premium",$B945="Long Call/Put","Long Call/Put P/L",$B945="Debit Spread","Long Call/Put P/L",$B945="Stock Sale","Stock Sales",TRUE,"Other"))</f>
        <v/>
      </c>
      <c r="T945" s="11">
        <f>IF($A945="","",IF($B945="Cash Secured Put",$K945*$M945*100,IF($B945="Covered Call",$K945*$M945*100,IF($H945="Stock",$M945*$N945,""))))</f>
        <v/>
      </c>
      <c r="U945" s="19">
        <f>IF(OR($A945="",$C945&lt;&gt;"Closed",$D945="",$E945="",$T945=0),"",$R945/$T945*365/MAX(1,$E945-$D945))</f>
        <v/>
      </c>
      <c r="V945" s="14" t="n"/>
      <c r="W945" s="12" t="n"/>
    </row>
    <row r="946">
      <c r="A946" s="12" t="n"/>
      <c r="B946" s="14" t="n"/>
      <c r="C946" s="14" t="n"/>
      <c r="D946" s="15" t="n"/>
      <c r="E946" s="15" t="n"/>
      <c r="F946" s="16">
        <f>IF($E946="","",DATE(YEAR($E946),MONTH($E946),1))</f>
        <v/>
      </c>
      <c r="G946" s="14" t="n"/>
      <c r="H946" s="14" t="n"/>
      <c r="I946" s="14" t="n"/>
      <c r="J946" s="14" t="n"/>
      <c r="K946" s="17" t="n"/>
      <c r="L946" s="15" t="n"/>
      <c r="M946" s="14" t="n"/>
      <c r="N946" s="17" t="n"/>
      <c r="O946" s="17" t="n"/>
      <c r="P946" s="18" t="n"/>
      <c r="Q946" s="11">
        <f>IF($A946="","",IF($H946="Stock",IF($I946="Buy",-$M946*$N946-$P946,IF($I946="Sell",IF($N946="", $M946*$O946-$P946,($O946-$N946)*$M946-$P946),"")),IF($I946="Sell",($N946-IF($O946="",0,$O946))*$M946*100-$P946,IF($I946="Buy",(IF($O946="",0,$O946)-$N946)*$M946*100-$P946,""))))</f>
        <v/>
      </c>
      <c r="R946" s="11">
        <f>IF($A946="","",IF($C946="Open","",$Q946))</f>
        <v/>
      </c>
      <c r="S946" s="12">
        <f>IF($A946="","",IFS($B946="Covered Call","Covered Call Premium",$B946="Cash Secured Put","Cash Secured Put Premium",$B946="Long Call/Put","Long Call/Put P/L",$B946="Debit Spread","Long Call/Put P/L",$B946="Stock Sale","Stock Sales",TRUE,"Other"))</f>
        <v/>
      </c>
      <c r="T946" s="11">
        <f>IF($A946="","",IF($B946="Cash Secured Put",$K946*$M946*100,IF($B946="Covered Call",$K946*$M946*100,IF($H946="Stock",$M946*$N946,""))))</f>
        <v/>
      </c>
      <c r="U946" s="19">
        <f>IF(OR($A946="",$C946&lt;&gt;"Closed",$D946="",$E946="",$T946=0),"",$R946/$T946*365/MAX(1,$E946-$D946))</f>
        <v/>
      </c>
      <c r="V946" s="14" t="n"/>
      <c r="W946" s="12" t="n"/>
    </row>
    <row r="947">
      <c r="A947" s="12" t="n"/>
      <c r="B947" s="14" t="n"/>
      <c r="C947" s="14" t="n"/>
      <c r="D947" s="15" t="n"/>
      <c r="E947" s="15" t="n"/>
      <c r="F947" s="16">
        <f>IF($E947="","",DATE(YEAR($E947),MONTH($E947),1))</f>
        <v/>
      </c>
      <c r="G947" s="14" t="n"/>
      <c r="H947" s="14" t="n"/>
      <c r="I947" s="14" t="n"/>
      <c r="J947" s="14" t="n"/>
      <c r="K947" s="17" t="n"/>
      <c r="L947" s="15" t="n"/>
      <c r="M947" s="14" t="n"/>
      <c r="N947" s="17" t="n"/>
      <c r="O947" s="17" t="n"/>
      <c r="P947" s="18" t="n"/>
      <c r="Q947" s="11">
        <f>IF($A947="","",IF($H947="Stock",IF($I947="Buy",-$M947*$N947-$P947,IF($I947="Sell",IF($N947="", $M947*$O947-$P947,($O947-$N947)*$M947-$P947),"")),IF($I947="Sell",($N947-IF($O947="",0,$O947))*$M947*100-$P947,IF($I947="Buy",(IF($O947="",0,$O947)-$N947)*$M947*100-$P947,""))))</f>
        <v/>
      </c>
      <c r="R947" s="11">
        <f>IF($A947="","",IF($C947="Open","",$Q947))</f>
        <v/>
      </c>
      <c r="S947" s="12">
        <f>IF($A947="","",IFS($B947="Covered Call","Covered Call Premium",$B947="Cash Secured Put","Cash Secured Put Premium",$B947="Long Call/Put","Long Call/Put P/L",$B947="Debit Spread","Long Call/Put P/L",$B947="Stock Sale","Stock Sales",TRUE,"Other"))</f>
        <v/>
      </c>
      <c r="T947" s="11">
        <f>IF($A947="","",IF($B947="Cash Secured Put",$K947*$M947*100,IF($B947="Covered Call",$K947*$M947*100,IF($H947="Stock",$M947*$N947,""))))</f>
        <v/>
      </c>
      <c r="U947" s="19">
        <f>IF(OR($A947="",$C947&lt;&gt;"Closed",$D947="",$E947="",$T947=0),"",$R947/$T947*365/MAX(1,$E947-$D947))</f>
        <v/>
      </c>
      <c r="V947" s="14" t="n"/>
      <c r="W947" s="12" t="n"/>
    </row>
    <row r="948">
      <c r="A948" s="12" t="n"/>
      <c r="B948" s="14" t="n"/>
      <c r="C948" s="14" t="n"/>
      <c r="D948" s="15" t="n"/>
      <c r="E948" s="15" t="n"/>
      <c r="F948" s="16">
        <f>IF($E948="","",DATE(YEAR($E948),MONTH($E948),1))</f>
        <v/>
      </c>
      <c r="G948" s="14" t="n"/>
      <c r="H948" s="14" t="n"/>
      <c r="I948" s="14" t="n"/>
      <c r="J948" s="14" t="n"/>
      <c r="K948" s="17" t="n"/>
      <c r="L948" s="15" t="n"/>
      <c r="M948" s="14" t="n"/>
      <c r="N948" s="17" t="n"/>
      <c r="O948" s="17" t="n"/>
      <c r="P948" s="18" t="n"/>
      <c r="Q948" s="11">
        <f>IF($A948="","",IF($H948="Stock",IF($I948="Buy",-$M948*$N948-$P948,IF($I948="Sell",IF($N948="", $M948*$O948-$P948,($O948-$N948)*$M948-$P948),"")),IF($I948="Sell",($N948-IF($O948="",0,$O948))*$M948*100-$P948,IF($I948="Buy",(IF($O948="",0,$O948)-$N948)*$M948*100-$P948,""))))</f>
        <v/>
      </c>
      <c r="R948" s="11">
        <f>IF($A948="","",IF($C948="Open","",$Q948))</f>
        <v/>
      </c>
      <c r="S948" s="12">
        <f>IF($A948="","",IFS($B948="Covered Call","Covered Call Premium",$B948="Cash Secured Put","Cash Secured Put Premium",$B948="Long Call/Put","Long Call/Put P/L",$B948="Debit Spread","Long Call/Put P/L",$B948="Stock Sale","Stock Sales",TRUE,"Other"))</f>
        <v/>
      </c>
      <c r="T948" s="11">
        <f>IF($A948="","",IF($B948="Cash Secured Put",$K948*$M948*100,IF($B948="Covered Call",$K948*$M948*100,IF($H948="Stock",$M948*$N948,""))))</f>
        <v/>
      </c>
      <c r="U948" s="19">
        <f>IF(OR($A948="",$C948&lt;&gt;"Closed",$D948="",$E948="",$T948=0),"",$R948/$T948*365/MAX(1,$E948-$D948))</f>
        <v/>
      </c>
      <c r="V948" s="14" t="n"/>
      <c r="W948" s="12" t="n"/>
    </row>
    <row r="949">
      <c r="A949" s="12" t="n"/>
      <c r="B949" s="14" t="n"/>
      <c r="C949" s="14" t="n"/>
      <c r="D949" s="15" t="n"/>
      <c r="E949" s="15" t="n"/>
      <c r="F949" s="16">
        <f>IF($E949="","",DATE(YEAR($E949),MONTH($E949),1))</f>
        <v/>
      </c>
      <c r="G949" s="14" t="n"/>
      <c r="H949" s="14" t="n"/>
      <c r="I949" s="14" t="n"/>
      <c r="J949" s="14" t="n"/>
      <c r="K949" s="17" t="n"/>
      <c r="L949" s="15" t="n"/>
      <c r="M949" s="14" t="n"/>
      <c r="N949" s="17" t="n"/>
      <c r="O949" s="17" t="n"/>
      <c r="P949" s="18" t="n"/>
      <c r="Q949" s="11">
        <f>IF($A949="","",IF($H949="Stock",IF($I949="Buy",-$M949*$N949-$P949,IF($I949="Sell",IF($N949="", $M949*$O949-$P949,($O949-$N949)*$M949-$P949),"")),IF($I949="Sell",($N949-IF($O949="",0,$O949))*$M949*100-$P949,IF($I949="Buy",(IF($O949="",0,$O949)-$N949)*$M949*100-$P949,""))))</f>
        <v/>
      </c>
      <c r="R949" s="11">
        <f>IF($A949="","",IF($C949="Open","",$Q949))</f>
        <v/>
      </c>
      <c r="S949" s="12">
        <f>IF($A949="","",IFS($B949="Covered Call","Covered Call Premium",$B949="Cash Secured Put","Cash Secured Put Premium",$B949="Long Call/Put","Long Call/Put P/L",$B949="Debit Spread","Long Call/Put P/L",$B949="Stock Sale","Stock Sales",TRUE,"Other"))</f>
        <v/>
      </c>
      <c r="T949" s="11">
        <f>IF($A949="","",IF($B949="Cash Secured Put",$K949*$M949*100,IF($B949="Covered Call",$K949*$M949*100,IF($H949="Stock",$M949*$N949,""))))</f>
        <v/>
      </c>
      <c r="U949" s="19">
        <f>IF(OR($A949="",$C949&lt;&gt;"Closed",$D949="",$E949="",$T949=0),"",$R949/$T949*365/MAX(1,$E949-$D949))</f>
        <v/>
      </c>
      <c r="V949" s="14" t="n"/>
      <c r="W949" s="12" t="n"/>
    </row>
    <row r="950">
      <c r="A950" s="12" t="n"/>
      <c r="B950" s="14" t="n"/>
      <c r="C950" s="14" t="n"/>
      <c r="D950" s="15" t="n"/>
      <c r="E950" s="15" t="n"/>
      <c r="F950" s="16">
        <f>IF($E950="","",DATE(YEAR($E950),MONTH($E950),1))</f>
        <v/>
      </c>
      <c r="G950" s="14" t="n"/>
      <c r="H950" s="14" t="n"/>
      <c r="I950" s="14" t="n"/>
      <c r="J950" s="14" t="n"/>
      <c r="K950" s="17" t="n"/>
      <c r="L950" s="15" t="n"/>
      <c r="M950" s="14" t="n"/>
      <c r="N950" s="17" t="n"/>
      <c r="O950" s="17" t="n"/>
      <c r="P950" s="18" t="n"/>
      <c r="Q950" s="11">
        <f>IF($A950="","",IF($H950="Stock",IF($I950="Buy",-$M950*$N950-$P950,IF($I950="Sell",IF($N950="", $M950*$O950-$P950,($O950-$N950)*$M950-$P950),"")),IF($I950="Sell",($N950-IF($O950="",0,$O950))*$M950*100-$P950,IF($I950="Buy",(IF($O950="",0,$O950)-$N950)*$M950*100-$P950,""))))</f>
        <v/>
      </c>
      <c r="R950" s="11">
        <f>IF($A950="","",IF($C950="Open","",$Q950))</f>
        <v/>
      </c>
      <c r="S950" s="12">
        <f>IF($A950="","",IFS($B950="Covered Call","Covered Call Premium",$B950="Cash Secured Put","Cash Secured Put Premium",$B950="Long Call/Put","Long Call/Put P/L",$B950="Debit Spread","Long Call/Put P/L",$B950="Stock Sale","Stock Sales",TRUE,"Other"))</f>
        <v/>
      </c>
      <c r="T950" s="11">
        <f>IF($A950="","",IF($B950="Cash Secured Put",$K950*$M950*100,IF($B950="Covered Call",$K950*$M950*100,IF($H950="Stock",$M950*$N950,""))))</f>
        <v/>
      </c>
      <c r="U950" s="19">
        <f>IF(OR($A950="",$C950&lt;&gt;"Closed",$D950="",$E950="",$T950=0),"",$R950/$T950*365/MAX(1,$E950-$D950))</f>
        <v/>
      </c>
      <c r="V950" s="14" t="n"/>
      <c r="W950" s="12" t="n"/>
    </row>
    <row r="951">
      <c r="A951" s="12" t="n"/>
      <c r="B951" s="14" t="n"/>
      <c r="C951" s="14" t="n"/>
      <c r="D951" s="15" t="n"/>
      <c r="E951" s="15" t="n"/>
      <c r="F951" s="16">
        <f>IF($E951="","",DATE(YEAR($E951),MONTH($E951),1))</f>
        <v/>
      </c>
      <c r="G951" s="14" t="n"/>
      <c r="H951" s="14" t="n"/>
      <c r="I951" s="14" t="n"/>
      <c r="J951" s="14" t="n"/>
      <c r="K951" s="17" t="n"/>
      <c r="L951" s="15" t="n"/>
      <c r="M951" s="14" t="n"/>
      <c r="N951" s="17" t="n"/>
      <c r="O951" s="17" t="n"/>
      <c r="P951" s="18" t="n"/>
      <c r="Q951" s="11">
        <f>IF($A951="","",IF($H951="Stock",IF($I951="Buy",-$M951*$N951-$P951,IF($I951="Sell",IF($N951="", $M951*$O951-$P951,($O951-$N951)*$M951-$P951),"")),IF($I951="Sell",($N951-IF($O951="",0,$O951))*$M951*100-$P951,IF($I951="Buy",(IF($O951="",0,$O951)-$N951)*$M951*100-$P951,""))))</f>
        <v/>
      </c>
      <c r="R951" s="11">
        <f>IF($A951="","",IF($C951="Open","",$Q951))</f>
        <v/>
      </c>
      <c r="S951" s="12">
        <f>IF($A951="","",IFS($B951="Covered Call","Covered Call Premium",$B951="Cash Secured Put","Cash Secured Put Premium",$B951="Long Call/Put","Long Call/Put P/L",$B951="Debit Spread","Long Call/Put P/L",$B951="Stock Sale","Stock Sales",TRUE,"Other"))</f>
        <v/>
      </c>
      <c r="T951" s="11">
        <f>IF($A951="","",IF($B951="Cash Secured Put",$K951*$M951*100,IF($B951="Covered Call",$K951*$M951*100,IF($H951="Stock",$M951*$N951,""))))</f>
        <v/>
      </c>
      <c r="U951" s="19">
        <f>IF(OR($A951="",$C951&lt;&gt;"Closed",$D951="",$E951="",$T951=0),"",$R951/$T951*365/MAX(1,$E951-$D951))</f>
        <v/>
      </c>
      <c r="V951" s="14" t="n"/>
      <c r="W951" s="12" t="n"/>
    </row>
    <row r="952">
      <c r="A952" s="12" t="n"/>
      <c r="B952" s="14" t="n"/>
      <c r="C952" s="14" t="n"/>
      <c r="D952" s="15" t="n"/>
      <c r="E952" s="15" t="n"/>
      <c r="F952" s="16">
        <f>IF($E952="","",DATE(YEAR($E952),MONTH($E952),1))</f>
        <v/>
      </c>
      <c r="G952" s="14" t="n"/>
      <c r="H952" s="14" t="n"/>
      <c r="I952" s="14" t="n"/>
      <c r="J952" s="14" t="n"/>
      <c r="K952" s="17" t="n"/>
      <c r="L952" s="15" t="n"/>
      <c r="M952" s="14" t="n"/>
      <c r="N952" s="17" t="n"/>
      <c r="O952" s="17" t="n"/>
      <c r="P952" s="18" t="n"/>
      <c r="Q952" s="11">
        <f>IF($A952="","",IF($H952="Stock",IF($I952="Buy",-$M952*$N952-$P952,IF($I952="Sell",IF($N952="", $M952*$O952-$P952,($O952-$N952)*$M952-$P952),"")),IF($I952="Sell",($N952-IF($O952="",0,$O952))*$M952*100-$P952,IF($I952="Buy",(IF($O952="",0,$O952)-$N952)*$M952*100-$P952,""))))</f>
        <v/>
      </c>
      <c r="R952" s="11">
        <f>IF($A952="","",IF($C952="Open","",$Q952))</f>
        <v/>
      </c>
      <c r="S952" s="12">
        <f>IF($A952="","",IFS($B952="Covered Call","Covered Call Premium",$B952="Cash Secured Put","Cash Secured Put Premium",$B952="Long Call/Put","Long Call/Put P/L",$B952="Debit Spread","Long Call/Put P/L",$B952="Stock Sale","Stock Sales",TRUE,"Other"))</f>
        <v/>
      </c>
      <c r="T952" s="11">
        <f>IF($A952="","",IF($B952="Cash Secured Put",$K952*$M952*100,IF($B952="Covered Call",$K952*$M952*100,IF($H952="Stock",$M952*$N952,""))))</f>
        <v/>
      </c>
      <c r="U952" s="19">
        <f>IF(OR($A952="",$C952&lt;&gt;"Closed",$D952="",$E952="",$T952=0),"",$R952/$T952*365/MAX(1,$E952-$D952))</f>
        <v/>
      </c>
      <c r="V952" s="14" t="n"/>
      <c r="W952" s="12" t="n"/>
    </row>
    <row r="953">
      <c r="A953" s="12" t="n"/>
      <c r="B953" s="14" t="n"/>
      <c r="C953" s="14" t="n"/>
      <c r="D953" s="15" t="n"/>
      <c r="E953" s="15" t="n"/>
      <c r="F953" s="16">
        <f>IF($E953="","",DATE(YEAR($E953),MONTH($E953),1))</f>
        <v/>
      </c>
      <c r="G953" s="14" t="n"/>
      <c r="H953" s="14" t="n"/>
      <c r="I953" s="14" t="n"/>
      <c r="J953" s="14" t="n"/>
      <c r="K953" s="17" t="n"/>
      <c r="L953" s="15" t="n"/>
      <c r="M953" s="14" t="n"/>
      <c r="N953" s="17" t="n"/>
      <c r="O953" s="17" t="n"/>
      <c r="P953" s="18" t="n"/>
      <c r="Q953" s="11">
        <f>IF($A953="","",IF($H953="Stock",IF($I953="Buy",-$M953*$N953-$P953,IF($I953="Sell",IF($N953="", $M953*$O953-$P953,($O953-$N953)*$M953-$P953),"")),IF($I953="Sell",($N953-IF($O953="",0,$O953))*$M953*100-$P953,IF($I953="Buy",(IF($O953="",0,$O953)-$N953)*$M953*100-$P953,""))))</f>
        <v/>
      </c>
      <c r="R953" s="11">
        <f>IF($A953="","",IF($C953="Open","",$Q953))</f>
        <v/>
      </c>
      <c r="S953" s="12">
        <f>IF($A953="","",IFS($B953="Covered Call","Covered Call Premium",$B953="Cash Secured Put","Cash Secured Put Premium",$B953="Long Call/Put","Long Call/Put P/L",$B953="Debit Spread","Long Call/Put P/L",$B953="Stock Sale","Stock Sales",TRUE,"Other"))</f>
        <v/>
      </c>
      <c r="T953" s="11">
        <f>IF($A953="","",IF($B953="Cash Secured Put",$K953*$M953*100,IF($B953="Covered Call",$K953*$M953*100,IF($H953="Stock",$M953*$N953,""))))</f>
        <v/>
      </c>
      <c r="U953" s="19">
        <f>IF(OR($A953="",$C953&lt;&gt;"Closed",$D953="",$E953="",$T953=0),"",$R953/$T953*365/MAX(1,$E953-$D953))</f>
        <v/>
      </c>
      <c r="V953" s="14" t="n"/>
      <c r="W953" s="12" t="n"/>
    </row>
    <row r="954">
      <c r="A954" s="12" t="n"/>
      <c r="B954" s="14" t="n"/>
      <c r="C954" s="14" t="n"/>
      <c r="D954" s="15" t="n"/>
      <c r="E954" s="15" t="n"/>
      <c r="F954" s="16">
        <f>IF($E954="","",DATE(YEAR($E954),MONTH($E954),1))</f>
        <v/>
      </c>
      <c r="G954" s="14" t="n"/>
      <c r="H954" s="14" t="n"/>
      <c r="I954" s="14" t="n"/>
      <c r="J954" s="14" t="n"/>
      <c r="K954" s="17" t="n"/>
      <c r="L954" s="15" t="n"/>
      <c r="M954" s="14" t="n"/>
      <c r="N954" s="17" t="n"/>
      <c r="O954" s="17" t="n"/>
      <c r="P954" s="18" t="n"/>
      <c r="Q954" s="11">
        <f>IF($A954="","",IF($H954="Stock",IF($I954="Buy",-$M954*$N954-$P954,IF($I954="Sell",IF($N954="", $M954*$O954-$P954,($O954-$N954)*$M954-$P954),"")),IF($I954="Sell",($N954-IF($O954="",0,$O954))*$M954*100-$P954,IF($I954="Buy",(IF($O954="",0,$O954)-$N954)*$M954*100-$P954,""))))</f>
        <v/>
      </c>
      <c r="R954" s="11">
        <f>IF($A954="","",IF($C954="Open","",$Q954))</f>
        <v/>
      </c>
      <c r="S954" s="12">
        <f>IF($A954="","",IFS($B954="Covered Call","Covered Call Premium",$B954="Cash Secured Put","Cash Secured Put Premium",$B954="Long Call/Put","Long Call/Put P/L",$B954="Debit Spread","Long Call/Put P/L",$B954="Stock Sale","Stock Sales",TRUE,"Other"))</f>
        <v/>
      </c>
      <c r="T954" s="11">
        <f>IF($A954="","",IF($B954="Cash Secured Put",$K954*$M954*100,IF($B954="Covered Call",$K954*$M954*100,IF($H954="Stock",$M954*$N954,""))))</f>
        <v/>
      </c>
      <c r="U954" s="19">
        <f>IF(OR($A954="",$C954&lt;&gt;"Closed",$D954="",$E954="",$T954=0),"",$R954/$T954*365/MAX(1,$E954-$D954))</f>
        <v/>
      </c>
      <c r="V954" s="14" t="n"/>
      <c r="W954" s="12" t="n"/>
    </row>
    <row r="955">
      <c r="A955" s="12" t="n"/>
      <c r="B955" s="14" t="n"/>
      <c r="C955" s="14" t="n"/>
      <c r="D955" s="15" t="n"/>
      <c r="E955" s="15" t="n"/>
      <c r="F955" s="16">
        <f>IF($E955="","",DATE(YEAR($E955),MONTH($E955),1))</f>
        <v/>
      </c>
      <c r="G955" s="14" t="n"/>
      <c r="H955" s="14" t="n"/>
      <c r="I955" s="14" t="n"/>
      <c r="J955" s="14" t="n"/>
      <c r="K955" s="17" t="n"/>
      <c r="L955" s="15" t="n"/>
      <c r="M955" s="14" t="n"/>
      <c r="N955" s="17" t="n"/>
      <c r="O955" s="17" t="n"/>
      <c r="P955" s="18" t="n"/>
      <c r="Q955" s="11">
        <f>IF($A955="","",IF($H955="Stock",IF($I955="Buy",-$M955*$N955-$P955,IF($I955="Sell",IF($N955="", $M955*$O955-$P955,($O955-$N955)*$M955-$P955),"")),IF($I955="Sell",($N955-IF($O955="",0,$O955))*$M955*100-$P955,IF($I955="Buy",(IF($O955="",0,$O955)-$N955)*$M955*100-$P955,""))))</f>
        <v/>
      </c>
      <c r="R955" s="11">
        <f>IF($A955="","",IF($C955="Open","",$Q955))</f>
        <v/>
      </c>
      <c r="S955" s="12">
        <f>IF($A955="","",IFS($B955="Covered Call","Covered Call Premium",$B955="Cash Secured Put","Cash Secured Put Premium",$B955="Long Call/Put","Long Call/Put P/L",$B955="Debit Spread","Long Call/Put P/L",$B955="Stock Sale","Stock Sales",TRUE,"Other"))</f>
        <v/>
      </c>
      <c r="T955" s="11">
        <f>IF($A955="","",IF($B955="Cash Secured Put",$K955*$M955*100,IF($B955="Covered Call",$K955*$M955*100,IF($H955="Stock",$M955*$N955,""))))</f>
        <v/>
      </c>
      <c r="U955" s="19">
        <f>IF(OR($A955="",$C955&lt;&gt;"Closed",$D955="",$E955="",$T955=0),"",$R955/$T955*365/MAX(1,$E955-$D955))</f>
        <v/>
      </c>
      <c r="V955" s="14" t="n"/>
      <c r="W955" s="12" t="n"/>
    </row>
    <row r="956">
      <c r="A956" s="12" t="n"/>
      <c r="B956" s="14" t="n"/>
      <c r="C956" s="14" t="n"/>
      <c r="D956" s="15" t="n"/>
      <c r="E956" s="15" t="n"/>
      <c r="F956" s="16">
        <f>IF($E956="","",DATE(YEAR($E956),MONTH($E956),1))</f>
        <v/>
      </c>
      <c r="G956" s="14" t="n"/>
      <c r="H956" s="14" t="n"/>
      <c r="I956" s="14" t="n"/>
      <c r="J956" s="14" t="n"/>
      <c r="K956" s="17" t="n"/>
      <c r="L956" s="15" t="n"/>
      <c r="M956" s="14" t="n"/>
      <c r="N956" s="17" t="n"/>
      <c r="O956" s="17" t="n"/>
      <c r="P956" s="18" t="n"/>
      <c r="Q956" s="11">
        <f>IF($A956="","",IF($H956="Stock",IF($I956="Buy",-$M956*$N956-$P956,IF($I956="Sell",IF($N956="", $M956*$O956-$P956,($O956-$N956)*$M956-$P956),"")),IF($I956="Sell",($N956-IF($O956="",0,$O956))*$M956*100-$P956,IF($I956="Buy",(IF($O956="",0,$O956)-$N956)*$M956*100-$P956,""))))</f>
        <v/>
      </c>
      <c r="R956" s="11">
        <f>IF($A956="","",IF($C956="Open","",$Q956))</f>
        <v/>
      </c>
      <c r="S956" s="12">
        <f>IF($A956="","",IFS($B956="Covered Call","Covered Call Premium",$B956="Cash Secured Put","Cash Secured Put Premium",$B956="Long Call/Put","Long Call/Put P/L",$B956="Debit Spread","Long Call/Put P/L",$B956="Stock Sale","Stock Sales",TRUE,"Other"))</f>
        <v/>
      </c>
      <c r="T956" s="11">
        <f>IF($A956="","",IF($B956="Cash Secured Put",$K956*$M956*100,IF($B956="Covered Call",$K956*$M956*100,IF($H956="Stock",$M956*$N956,""))))</f>
        <v/>
      </c>
      <c r="U956" s="19">
        <f>IF(OR($A956="",$C956&lt;&gt;"Closed",$D956="",$E956="",$T956=0),"",$R956/$T956*365/MAX(1,$E956-$D956))</f>
        <v/>
      </c>
      <c r="V956" s="14" t="n"/>
      <c r="W956" s="12" t="n"/>
    </row>
    <row r="957">
      <c r="A957" s="12" t="n"/>
      <c r="B957" s="14" t="n"/>
      <c r="C957" s="14" t="n"/>
      <c r="D957" s="15" t="n"/>
      <c r="E957" s="15" t="n"/>
      <c r="F957" s="16">
        <f>IF($E957="","",DATE(YEAR($E957),MONTH($E957),1))</f>
        <v/>
      </c>
      <c r="G957" s="14" t="n"/>
      <c r="H957" s="14" t="n"/>
      <c r="I957" s="14" t="n"/>
      <c r="J957" s="14" t="n"/>
      <c r="K957" s="17" t="n"/>
      <c r="L957" s="15" t="n"/>
      <c r="M957" s="14" t="n"/>
      <c r="N957" s="17" t="n"/>
      <c r="O957" s="17" t="n"/>
      <c r="P957" s="18" t="n"/>
      <c r="Q957" s="11">
        <f>IF($A957="","",IF($H957="Stock",IF($I957="Buy",-$M957*$N957-$P957,IF($I957="Sell",IF($N957="", $M957*$O957-$P957,($O957-$N957)*$M957-$P957),"")),IF($I957="Sell",($N957-IF($O957="",0,$O957))*$M957*100-$P957,IF($I957="Buy",(IF($O957="",0,$O957)-$N957)*$M957*100-$P957,""))))</f>
        <v/>
      </c>
      <c r="R957" s="11">
        <f>IF($A957="","",IF($C957="Open","",$Q957))</f>
        <v/>
      </c>
      <c r="S957" s="12">
        <f>IF($A957="","",IFS($B957="Covered Call","Covered Call Premium",$B957="Cash Secured Put","Cash Secured Put Premium",$B957="Long Call/Put","Long Call/Put P/L",$B957="Debit Spread","Long Call/Put P/L",$B957="Stock Sale","Stock Sales",TRUE,"Other"))</f>
        <v/>
      </c>
      <c r="T957" s="11">
        <f>IF($A957="","",IF($B957="Cash Secured Put",$K957*$M957*100,IF($B957="Covered Call",$K957*$M957*100,IF($H957="Stock",$M957*$N957,""))))</f>
        <v/>
      </c>
      <c r="U957" s="19">
        <f>IF(OR($A957="",$C957&lt;&gt;"Closed",$D957="",$E957="",$T957=0),"",$R957/$T957*365/MAX(1,$E957-$D957))</f>
        <v/>
      </c>
      <c r="V957" s="14" t="n"/>
      <c r="W957" s="12" t="n"/>
    </row>
    <row r="958">
      <c r="A958" s="12" t="n"/>
      <c r="B958" s="14" t="n"/>
      <c r="C958" s="14" t="n"/>
      <c r="D958" s="15" t="n"/>
      <c r="E958" s="15" t="n"/>
      <c r="F958" s="16">
        <f>IF($E958="","",DATE(YEAR($E958),MONTH($E958),1))</f>
        <v/>
      </c>
      <c r="G958" s="14" t="n"/>
      <c r="H958" s="14" t="n"/>
      <c r="I958" s="14" t="n"/>
      <c r="J958" s="14" t="n"/>
      <c r="K958" s="17" t="n"/>
      <c r="L958" s="15" t="n"/>
      <c r="M958" s="14" t="n"/>
      <c r="N958" s="17" t="n"/>
      <c r="O958" s="17" t="n"/>
      <c r="P958" s="18" t="n"/>
      <c r="Q958" s="11">
        <f>IF($A958="","",IF($H958="Stock",IF($I958="Buy",-$M958*$N958-$P958,IF($I958="Sell",IF($N958="", $M958*$O958-$P958,($O958-$N958)*$M958-$P958),"")),IF($I958="Sell",($N958-IF($O958="",0,$O958))*$M958*100-$P958,IF($I958="Buy",(IF($O958="",0,$O958)-$N958)*$M958*100-$P958,""))))</f>
        <v/>
      </c>
      <c r="R958" s="11">
        <f>IF($A958="","",IF($C958="Open","",$Q958))</f>
        <v/>
      </c>
      <c r="S958" s="12">
        <f>IF($A958="","",IFS($B958="Covered Call","Covered Call Premium",$B958="Cash Secured Put","Cash Secured Put Premium",$B958="Long Call/Put","Long Call/Put P/L",$B958="Debit Spread","Long Call/Put P/L",$B958="Stock Sale","Stock Sales",TRUE,"Other"))</f>
        <v/>
      </c>
      <c r="T958" s="11">
        <f>IF($A958="","",IF($B958="Cash Secured Put",$K958*$M958*100,IF($B958="Covered Call",$K958*$M958*100,IF($H958="Stock",$M958*$N958,""))))</f>
        <v/>
      </c>
      <c r="U958" s="19">
        <f>IF(OR($A958="",$C958&lt;&gt;"Closed",$D958="",$E958="",$T958=0),"",$R958/$T958*365/MAX(1,$E958-$D958))</f>
        <v/>
      </c>
      <c r="V958" s="14" t="n"/>
      <c r="W958" s="12" t="n"/>
    </row>
    <row r="959">
      <c r="A959" s="12" t="n"/>
      <c r="B959" s="14" t="n"/>
      <c r="C959" s="14" t="n"/>
      <c r="D959" s="15" t="n"/>
      <c r="E959" s="15" t="n"/>
      <c r="F959" s="16">
        <f>IF($E959="","",DATE(YEAR($E959),MONTH($E959),1))</f>
        <v/>
      </c>
      <c r="G959" s="14" t="n"/>
      <c r="H959" s="14" t="n"/>
      <c r="I959" s="14" t="n"/>
      <c r="J959" s="14" t="n"/>
      <c r="K959" s="17" t="n"/>
      <c r="L959" s="15" t="n"/>
      <c r="M959" s="14" t="n"/>
      <c r="N959" s="17" t="n"/>
      <c r="O959" s="17" t="n"/>
      <c r="P959" s="18" t="n"/>
      <c r="Q959" s="11">
        <f>IF($A959="","",IF($H959="Stock",IF($I959="Buy",-$M959*$N959-$P959,IF($I959="Sell",IF($N959="", $M959*$O959-$P959,($O959-$N959)*$M959-$P959),"")),IF($I959="Sell",($N959-IF($O959="",0,$O959))*$M959*100-$P959,IF($I959="Buy",(IF($O959="",0,$O959)-$N959)*$M959*100-$P959,""))))</f>
        <v/>
      </c>
      <c r="R959" s="11">
        <f>IF($A959="","",IF($C959="Open","",$Q959))</f>
        <v/>
      </c>
      <c r="S959" s="12">
        <f>IF($A959="","",IFS($B959="Covered Call","Covered Call Premium",$B959="Cash Secured Put","Cash Secured Put Premium",$B959="Long Call/Put","Long Call/Put P/L",$B959="Debit Spread","Long Call/Put P/L",$B959="Stock Sale","Stock Sales",TRUE,"Other"))</f>
        <v/>
      </c>
      <c r="T959" s="11">
        <f>IF($A959="","",IF($B959="Cash Secured Put",$K959*$M959*100,IF($B959="Covered Call",$K959*$M959*100,IF($H959="Stock",$M959*$N959,""))))</f>
        <v/>
      </c>
      <c r="U959" s="19">
        <f>IF(OR($A959="",$C959&lt;&gt;"Closed",$D959="",$E959="",$T959=0),"",$R959/$T959*365/MAX(1,$E959-$D959))</f>
        <v/>
      </c>
      <c r="V959" s="14" t="n"/>
      <c r="W959" s="12" t="n"/>
    </row>
    <row r="960">
      <c r="A960" s="12" t="n"/>
      <c r="B960" s="14" t="n"/>
      <c r="C960" s="14" t="n"/>
      <c r="D960" s="15" t="n"/>
      <c r="E960" s="15" t="n"/>
      <c r="F960" s="16">
        <f>IF($E960="","",DATE(YEAR($E960),MONTH($E960),1))</f>
        <v/>
      </c>
      <c r="G960" s="14" t="n"/>
      <c r="H960" s="14" t="n"/>
      <c r="I960" s="14" t="n"/>
      <c r="J960" s="14" t="n"/>
      <c r="K960" s="17" t="n"/>
      <c r="L960" s="15" t="n"/>
      <c r="M960" s="14" t="n"/>
      <c r="N960" s="17" t="n"/>
      <c r="O960" s="17" t="n"/>
      <c r="P960" s="18" t="n"/>
      <c r="Q960" s="11">
        <f>IF($A960="","",IF($H960="Stock",IF($I960="Buy",-$M960*$N960-$P960,IF($I960="Sell",IF($N960="", $M960*$O960-$P960,($O960-$N960)*$M960-$P960),"")),IF($I960="Sell",($N960-IF($O960="",0,$O960))*$M960*100-$P960,IF($I960="Buy",(IF($O960="",0,$O960)-$N960)*$M960*100-$P960,""))))</f>
        <v/>
      </c>
      <c r="R960" s="11">
        <f>IF($A960="","",IF($C960="Open","",$Q960))</f>
        <v/>
      </c>
      <c r="S960" s="12">
        <f>IF($A960="","",IFS($B960="Covered Call","Covered Call Premium",$B960="Cash Secured Put","Cash Secured Put Premium",$B960="Long Call/Put","Long Call/Put P/L",$B960="Debit Spread","Long Call/Put P/L",$B960="Stock Sale","Stock Sales",TRUE,"Other"))</f>
        <v/>
      </c>
      <c r="T960" s="11">
        <f>IF($A960="","",IF($B960="Cash Secured Put",$K960*$M960*100,IF($B960="Covered Call",$K960*$M960*100,IF($H960="Stock",$M960*$N960,""))))</f>
        <v/>
      </c>
      <c r="U960" s="19">
        <f>IF(OR($A960="",$C960&lt;&gt;"Closed",$D960="",$E960="",$T960=0),"",$R960/$T960*365/MAX(1,$E960-$D960))</f>
        <v/>
      </c>
      <c r="V960" s="14" t="n"/>
      <c r="W960" s="12" t="n"/>
    </row>
    <row r="961">
      <c r="A961" s="12" t="n"/>
      <c r="B961" s="14" t="n"/>
      <c r="C961" s="14" t="n"/>
      <c r="D961" s="15" t="n"/>
      <c r="E961" s="15" t="n"/>
      <c r="F961" s="16">
        <f>IF($E961="","",DATE(YEAR($E961),MONTH($E961),1))</f>
        <v/>
      </c>
      <c r="G961" s="14" t="n"/>
      <c r="H961" s="14" t="n"/>
      <c r="I961" s="14" t="n"/>
      <c r="J961" s="14" t="n"/>
      <c r="K961" s="17" t="n"/>
      <c r="L961" s="15" t="n"/>
      <c r="M961" s="14" t="n"/>
      <c r="N961" s="17" t="n"/>
      <c r="O961" s="17" t="n"/>
      <c r="P961" s="18" t="n"/>
      <c r="Q961" s="11">
        <f>IF($A961="","",IF($H961="Stock",IF($I961="Buy",-$M961*$N961-$P961,IF($I961="Sell",IF($N961="", $M961*$O961-$P961,($O961-$N961)*$M961-$P961),"")),IF($I961="Sell",($N961-IF($O961="",0,$O961))*$M961*100-$P961,IF($I961="Buy",(IF($O961="",0,$O961)-$N961)*$M961*100-$P961,""))))</f>
        <v/>
      </c>
      <c r="R961" s="11">
        <f>IF($A961="","",IF($C961="Open","",$Q961))</f>
        <v/>
      </c>
      <c r="S961" s="12">
        <f>IF($A961="","",IFS($B961="Covered Call","Covered Call Premium",$B961="Cash Secured Put","Cash Secured Put Premium",$B961="Long Call/Put","Long Call/Put P/L",$B961="Debit Spread","Long Call/Put P/L",$B961="Stock Sale","Stock Sales",TRUE,"Other"))</f>
        <v/>
      </c>
      <c r="T961" s="11">
        <f>IF($A961="","",IF($B961="Cash Secured Put",$K961*$M961*100,IF($B961="Covered Call",$K961*$M961*100,IF($H961="Stock",$M961*$N961,""))))</f>
        <v/>
      </c>
      <c r="U961" s="19">
        <f>IF(OR($A961="",$C961&lt;&gt;"Closed",$D961="",$E961="",$T961=0),"",$R961/$T961*365/MAX(1,$E961-$D961))</f>
        <v/>
      </c>
      <c r="V961" s="14" t="n"/>
      <c r="W961" s="12" t="n"/>
    </row>
    <row r="962">
      <c r="A962" s="12" t="n"/>
      <c r="B962" s="14" t="n"/>
      <c r="C962" s="14" t="n"/>
      <c r="D962" s="15" t="n"/>
      <c r="E962" s="15" t="n"/>
      <c r="F962" s="16">
        <f>IF($E962="","",DATE(YEAR($E962),MONTH($E962),1))</f>
        <v/>
      </c>
      <c r="G962" s="14" t="n"/>
      <c r="H962" s="14" t="n"/>
      <c r="I962" s="14" t="n"/>
      <c r="J962" s="14" t="n"/>
      <c r="K962" s="17" t="n"/>
      <c r="L962" s="15" t="n"/>
      <c r="M962" s="14" t="n"/>
      <c r="N962" s="17" t="n"/>
      <c r="O962" s="17" t="n"/>
      <c r="P962" s="18" t="n"/>
      <c r="Q962" s="11">
        <f>IF($A962="","",IF($H962="Stock",IF($I962="Buy",-$M962*$N962-$P962,IF($I962="Sell",IF($N962="", $M962*$O962-$P962,($O962-$N962)*$M962-$P962),"")),IF($I962="Sell",($N962-IF($O962="",0,$O962))*$M962*100-$P962,IF($I962="Buy",(IF($O962="",0,$O962)-$N962)*$M962*100-$P962,""))))</f>
        <v/>
      </c>
      <c r="R962" s="11">
        <f>IF($A962="","",IF($C962="Open","",$Q962))</f>
        <v/>
      </c>
      <c r="S962" s="12">
        <f>IF($A962="","",IFS($B962="Covered Call","Covered Call Premium",$B962="Cash Secured Put","Cash Secured Put Premium",$B962="Long Call/Put","Long Call/Put P/L",$B962="Debit Spread","Long Call/Put P/L",$B962="Stock Sale","Stock Sales",TRUE,"Other"))</f>
        <v/>
      </c>
      <c r="T962" s="11">
        <f>IF($A962="","",IF($B962="Cash Secured Put",$K962*$M962*100,IF($B962="Covered Call",$K962*$M962*100,IF($H962="Stock",$M962*$N962,""))))</f>
        <v/>
      </c>
      <c r="U962" s="19">
        <f>IF(OR($A962="",$C962&lt;&gt;"Closed",$D962="",$E962="",$T962=0),"",$R962/$T962*365/MAX(1,$E962-$D962))</f>
        <v/>
      </c>
      <c r="V962" s="14" t="n"/>
      <c r="W962" s="12" t="n"/>
    </row>
    <row r="963">
      <c r="A963" s="12" t="n"/>
      <c r="B963" s="14" t="n"/>
      <c r="C963" s="14" t="n"/>
      <c r="D963" s="15" t="n"/>
      <c r="E963" s="15" t="n"/>
      <c r="F963" s="16">
        <f>IF($E963="","",DATE(YEAR($E963),MONTH($E963),1))</f>
        <v/>
      </c>
      <c r="G963" s="14" t="n"/>
      <c r="H963" s="14" t="n"/>
      <c r="I963" s="14" t="n"/>
      <c r="J963" s="14" t="n"/>
      <c r="K963" s="17" t="n"/>
      <c r="L963" s="15" t="n"/>
      <c r="M963" s="14" t="n"/>
      <c r="N963" s="17" t="n"/>
      <c r="O963" s="17" t="n"/>
      <c r="P963" s="18" t="n"/>
      <c r="Q963" s="11">
        <f>IF($A963="","",IF($H963="Stock",IF($I963="Buy",-$M963*$N963-$P963,IF($I963="Sell",IF($N963="", $M963*$O963-$P963,($O963-$N963)*$M963-$P963),"")),IF($I963="Sell",($N963-IF($O963="",0,$O963))*$M963*100-$P963,IF($I963="Buy",(IF($O963="",0,$O963)-$N963)*$M963*100-$P963,""))))</f>
        <v/>
      </c>
      <c r="R963" s="11">
        <f>IF($A963="","",IF($C963="Open","",$Q963))</f>
        <v/>
      </c>
      <c r="S963" s="12">
        <f>IF($A963="","",IFS($B963="Covered Call","Covered Call Premium",$B963="Cash Secured Put","Cash Secured Put Premium",$B963="Long Call/Put","Long Call/Put P/L",$B963="Debit Spread","Long Call/Put P/L",$B963="Stock Sale","Stock Sales",TRUE,"Other"))</f>
        <v/>
      </c>
      <c r="T963" s="11">
        <f>IF($A963="","",IF($B963="Cash Secured Put",$K963*$M963*100,IF($B963="Covered Call",$K963*$M963*100,IF($H963="Stock",$M963*$N963,""))))</f>
        <v/>
      </c>
      <c r="U963" s="19">
        <f>IF(OR($A963="",$C963&lt;&gt;"Closed",$D963="",$E963="",$T963=0),"",$R963/$T963*365/MAX(1,$E963-$D963))</f>
        <v/>
      </c>
      <c r="V963" s="14" t="n"/>
      <c r="W963" s="12" t="n"/>
    </row>
    <row r="964">
      <c r="A964" s="12" t="n"/>
      <c r="B964" s="14" t="n"/>
      <c r="C964" s="14" t="n"/>
      <c r="D964" s="15" t="n"/>
      <c r="E964" s="15" t="n"/>
      <c r="F964" s="16">
        <f>IF($E964="","",DATE(YEAR($E964),MONTH($E964),1))</f>
        <v/>
      </c>
      <c r="G964" s="14" t="n"/>
      <c r="H964" s="14" t="n"/>
      <c r="I964" s="14" t="n"/>
      <c r="J964" s="14" t="n"/>
      <c r="K964" s="17" t="n"/>
      <c r="L964" s="15" t="n"/>
      <c r="M964" s="14" t="n"/>
      <c r="N964" s="17" t="n"/>
      <c r="O964" s="17" t="n"/>
      <c r="P964" s="18" t="n"/>
      <c r="Q964" s="11">
        <f>IF($A964="","",IF($H964="Stock",IF($I964="Buy",-$M964*$N964-$P964,IF($I964="Sell",IF($N964="", $M964*$O964-$P964,($O964-$N964)*$M964-$P964),"")),IF($I964="Sell",($N964-IF($O964="",0,$O964))*$M964*100-$P964,IF($I964="Buy",(IF($O964="",0,$O964)-$N964)*$M964*100-$P964,""))))</f>
        <v/>
      </c>
      <c r="R964" s="11">
        <f>IF($A964="","",IF($C964="Open","",$Q964))</f>
        <v/>
      </c>
      <c r="S964" s="12">
        <f>IF($A964="","",IFS($B964="Covered Call","Covered Call Premium",$B964="Cash Secured Put","Cash Secured Put Premium",$B964="Long Call/Put","Long Call/Put P/L",$B964="Debit Spread","Long Call/Put P/L",$B964="Stock Sale","Stock Sales",TRUE,"Other"))</f>
        <v/>
      </c>
      <c r="T964" s="11">
        <f>IF($A964="","",IF($B964="Cash Secured Put",$K964*$M964*100,IF($B964="Covered Call",$K964*$M964*100,IF($H964="Stock",$M964*$N964,""))))</f>
        <v/>
      </c>
      <c r="U964" s="19">
        <f>IF(OR($A964="",$C964&lt;&gt;"Closed",$D964="",$E964="",$T964=0),"",$R964/$T964*365/MAX(1,$E964-$D964))</f>
        <v/>
      </c>
      <c r="V964" s="14" t="n"/>
      <c r="W964" s="12" t="n"/>
    </row>
    <row r="965">
      <c r="A965" s="12" t="n"/>
      <c r="B965" s="14" t="n"/>
      <c r="C965" s="14" t="n"/>
      <c r="D965" s="15" t="n"/>
      <c r="E965" s="15" t="n"/>
      <c r="F965" s="16">
        <f>IF($E965="","",DATE(YEAR($E965),MONTH($E965),1))</f>
        <v/>
      </c>
      <c r="G965" s="14" t="n"/>
      <c r="H965" s="14" t="n"/>
      <c r="I965" s="14" t="n"/>
      <c r="J965" s="14" t="n"/>
      <c r="K965" s="17" t="n"/>
      <c r="L965" s="15" t="n"/>
      <c r="M965" s="14" t="n"/>
      <c r="N965" s="17" t="n"/>
      <c r="O965" s="17" t="n"/>
      <c r="P965" s="18" t="n"/>
      <c r="Q965" s="11">
        <f>IF($A965="","",IF($H965="Stock",IF($I965="Buy",-$M965*$N965-$P965,IF($I965="Sell",IF($N965="", $M965*$O965-$P965,($O965-$N965)*$M965-$P965),"")),IF($I965="Sell",($N965-IF($O965="",0,$O965))*$M965*100-$P965,IF($I965="Buy",(IF($O965="",0,$O965)-$N965)*$M965*100-$P965,""))))</f>
        <v/>
      </c>
      <c r="R965" s="11">
        <f>IF($A965="","",IF($C965="Open","",$Q965))</f>
        <v/>
      </c>
      <c r="S965" s="12">
        <f>IF($A965="","",IFS($B965="Covered Call","Covered Call Premium",$B965="Cash Secured Put","Cash Secured Put Premium",$B965="Long Call/Put","Long Call/Put P/L",$B965="Debit Spread","Long Call/Put P/L",$B965="Stock Sale","Stock Sales",TRUE,"Other"))</f>
        <v/>
      </c>
      <c r="T965" s="11">
        <f>IF($A965="","",IF($B965="Cash Secured Put",$K965*$M965*100,IF($B965="Covered Call",$K965*$M965*100,IF($H965="Stock",$M965*$N965,""))))</f>
        <v/>
      </c>
      <c r="U965" s="19">
        <f>IF(OR($A965="",$C965&lt;&gt;"Closed",$D965="",$E965="",$T965=0),"",$R965/$T965*365/MAX(1,$E965-$D965))</f>
        <v/>
      </c>
      <c r="V965" s="14" t="n"/>
      <c r="W965" s="12" t="n"/>
    </row>
    <row r="966">
      <c r="A966" s="12" t="n"/>
      <c r="B966" s="14" t="n"/>
      <c r="C966" s="14" t="n"/>
      <c r="D966" s="15" t="n"/>
      <c r="E966" s="15" t="n"/>
      <c r="F966" s="16">
        <f>IF($E966="","",DATE(YEAR($E966),MONTH($E966),1))</f>
        <v/>
      </c>
      <c r="G966" s="14" t="n"/>
      <c r="H966" s="14" t="n"/>
      <c r="I966" s="14" t="n"/>
      <c r="J966" s="14" t="n"/>
      <c r="K966" s="17" t="n"/>
      <c r="L966" s="15" t="n"/>
      <c r="M966" s="14" t="n"/>
      <c r="N966" s="17" t="n"/>
      <c r="O966" s="17" t="n"/>
      <c r="P966" s="18" t="n"/>
      <c r="Q966" s="11">
        <f>IF($A966="","",IF($H966="Stock",IF($I966="Buy",-$M966*$N966-$P966,IF($I966="Sell",IF($N966="", $M966*$O966-$P966,($O966-$N966)*$M966-$P966),"")),IF($I966="Sell",($N966-IF($O966="",0,$O966))*$M966*100-$P966,IF($I966="Buy",(IF($O966="",0,$O966)-$N966)*$M966*100-$P966,""))))</f>
        <v/>
      </c>
      <c r="R966" s="11">
        <f>IF($A966="","",IF($C966="Open","",$Q966))</f>
        <v/>
      </c>
      <c r="S966" s="12">
        <f>IF($A966="","",IFS($B966="Covered Call","Covered Call Premium",$B966="Cash Secured Put","Cash Secured Put Premium",$B966="Long Call/Put","Long Call/Put P/L",$B966="Debit Spread","Long Call/Put P/L",$B966="Stock Sale","Stock Sales",TRUE,"Other"))</f>
        <v/>
      </c>
      <c r="T966" s="11">
        <f>IF($A966="","",IF($B966="Cash Secured Put",$K966*$M966*100,IF($B966="Covered Call",$K966*$M966*100,IF($H966="Stock",$M966*$N966,""))))</f>
        <v/>
      </c>
      <c r="U966" s="19">
        <f>IF(OR($A966="",$C966&lt;&gt;"Closed",$D966="",$E966="",$T966=0),"",$R966/$T966*365/MAX(1,$E966-$D966))</f>
        <v/>
      </c>
      <c r="V966" s="14" t="n"/>
      <c r="W966" s="12" t="n"/>
    </row>
    <row r="967">
      <c r="A967" s="12" t="n"/>
      <c r="B967" s="14" t="n"/>
      <c r="C967" s="14" t="n"/>
      <c r="D967" s="15" t="n"/>
      <c r="E967" s="15" t="n"/>
      <c r="F967" s="16">
        <f>IF($E967="","",DATE(YEAR($E967),MONTH($E967),1))</f>
        <v/>
      </c>
      <c r="G967" s="14" t="n"/>
      <c r="H967" s="14" t="n"/>
      <c r="I967" s="14" t="n"/>
      <c r="J967" s="14" t="n"/>
      <c r="K967" s="17" t="n"/>
      <c r="L967" s="15" t="n"/>
      <c r="M967" s="14" t="n"/>
      <c r="N967" s="17" t="n"/>
      <c r="O967" s="17" t="n"/>
      <c r="P967" s="18" t="n"/>
      <c r="Q967" s="11">
        <f>IF($A967="","",IF($H967="Stock",IF($I967="Buy",-$M967*$N967-$P967,IF($I967="Sell",IF($N967="", $M967*$O967-$P967,($O967-$N967)*$M967-$P967),"")),IF($I967="Sell",($N967-IF($O967="",0,$O967))*$M967*100-$P967,IF($I967="Buy",(IF($O967="",0,$O967)-$N967)*$M967*100-$P967,""))))</f>
        <v/>
      </c>
      <c r="R967" s="11">
        <f>IF($A967="","",IF($C967="Open","",$Q967))</f>
        <v/>
      </c>
      <c r="S967" s="12">
        <f>IF($A967="","",IFS($B967="Covered Call","Covered Call Premium",$B967="Cash Secured Put","Cash Secured Put Premium",$B967="Long Call/Put","Long Call/Put P/L",$B967="Debit Spread","Long Call/Put P/L",$B967="Stock Sale","Stock Sales",TRUE,"Other"))</f>
        <v/>
      </c>
      <c r="T967" s="11">
        <f>IF($A967="","",IF($B967="Cash Secured Put",$K967*$M967*100,IF($B967="Covered Call",$K967*$M967*100,IF($H967="Stock",$M967*$N967,""))))</f>
        <v/>
      </c>
      <c r="U967" s="19">
        <f>IF(OR($A967="",$C967&lt;&gt;"Closed",$D967="",$E967="",$T967=0),"",$R967/$T967*365/MAX(1,$E967-$D967))</f>
        <v/>
      </c>
      <c r="V967" s="14" t="n"/>
      <c r="W967" s="12" t="n"/>
    </row>
    <row r="968">
      <c r="A968" s="12" t="n"/>
      <c r="B968" s="14" t="n"/>
      <c r="C968" s="14" t="n"/>
      <c r="D968" s="15" t="n"/>
      <c r="E968" s="15" t="n"/>
      <c r="F968" s="16">
        <f>IF($E968="","",DATE(YEAR($E968),MONTH($E968),1))</f>
        <v/>
      </c>
      <c r="G968" s="14" t="n"/>
      <c r="H968" s="14" t="n"/>
      <c r="I968" s="14" t="n"/>
      <c r="J968" s="14" t="n"/>
      <c r="K968" s="17" t="n"/>
      <c r="L968" s="15" t="n"/>
      <c r="M968" s="14" t="n"/>
      <c r="N968" s="17" t="n"/>
      <c r="O968" s="17" t="n"/>
      <c r="P968" s="18" t="n"/>
      <c r="Q968" s="11">
        <f>IF($A968="","",IF($H968="Stock",IF($I968="Buy",-$M968*$N968-$P968,IF($I968="Sell",IF($N968="", $M968*$O968-$P968,($O968-$N968)*$M968-$P968),"")),IF($I968="Sell",($N968-IF($O968="",0,$O968))*$M968*100-$P968,IF($I968="Buy",(IF($O968="",0,$O968)-$N968)*$M968*100-$P968,""))))</f>
        <v/>
      </c>
      <c r="R968" s="11">
        <f>IF($A968="","",IF($C968="Open","",$Q968))</f>
        <v/>
      </c>
      <c r="S968" s="12">
        <f>IF($A968="","",IFS($B968="Covered Call","Covered Call Premium",$B968="Cash Secured Put","Cash Secured Put Premium",$B968="Long Call/Put","Long Call/Put P/L",$B968="Debit Spread","Long Call/Put P/L",$B968="Stock Sale","Stock Sales",TRUE,"Other"))</f>
        <v/>
      </c>
      <c r="T968" s="11">
        <f>IF($A968="","",IF($B968="Cash Secured Put",$K968*$M968*100,IF($B968="Covered Call",$K968*$M968*100,IF($H968="Stock",$M968*$N968,""))))</f>
        <v/>
      </c>
      <c r="U968" s="19">
        <f>IF(OR($A968="",$C968&lt;&gt;"Closed",$D968="",$E968="",$T968=0),"",$R968/$T968*365/MAX(1,$E968-$D968))</f>
        <v/>
      </c>
      <c r="V968" s="14" t="n"/>
      <c r="W968" s="12" t="n"/>
    </row>
    <row r="969">
      <c r="A969" s="12" t="n"/>
      <c r="B969" s="14" t="n"/>
      <c r="C969" s="14" t="n"/>
      <c r="D969" s="15" t="n"/>
      <c r="E969" s="15" t="n"/>
      <c r="F969" s="16">
        <f>IF($E969="","",DATE(YEAR($E969),MONTH($E969),1))</f>
        <v/>
      </c>
      <c r="G969" s="14" t="n"/>
      <c r="H969" s="14" t="n"/>
      <c r="I969" s="14" t="n"/>
      <c r="J969" s="14" t="n"/>
      <c r="K969" s="17" t="n"/>
      <c r="L969" s="15" t="n"/>
      <c r="M969" s="14" t="n"/>
      <c r="N969" s="17" t="n"/>
      <c r="O969" s="17" t="n"/>
      <c r="P969" s="18" t="n"/>
      <c r="Q969" s="11">
        <f>IF($A969="","",IF($H969="Stock",IF($I969="Buy",-$M969*$N969-$P969,IF($I969="Sell",IF($N969="", $M969*$O969-$P969,($O969-$N969)*$M969-$P969),"")),IF($I969="Sell",($N969-IF($O969="",0,$O969))*$M969*100-$P969,IF($I969="Buy",(IF($O969="",0,$O969)-$N969)*$M969*100-$P969,""))))</f>
        <v/>
      </c>
      <c r="R969" s="11">
        <f>IF($A969="","",IF($C969="Open","",$Q969))</f>
        <v/>
      </c>
      <c r="S969" s="12">
        <f>IF($A969="","",IFS($B969="Covered Call","Covered Call Premium",$B969="Cash Secured Put","Cash Secured Put Premium",$B969="Long Call/Put","Long Call/Put P/L",$B969="Debit Spread","Long Call/Put P/L",$B969="Stock Sale","Stock Sales",TRUE,"Other"))</f>
        <v/>
      </c>
      <c r="T969" s="11">
        <f>IF($A969="","",IF($B969="Cash Secured Put",$K969*$M969*100,IF($B969="Covered Call",$K969*$M969*100,IF($H969="Stock",$M969*$N969,""))))</f>
        <v/>
      </c>
      <c r="U969" s="19">
        <f>IF(OR($A969="",$C969&lt;&gt;"Closed",$D969="",$E969="",$T969=0),"",$R969/$T969*365/MAX(1,$E969-$D969))</f>
        <v/>
      </c>
      <c r="V969" s="14" t="n"/>
      <c r="W969" s="12" t="n"/>
    </row>
    <row r="970">
      <c r="A970" s="12" t="n"/>
      <c r="B970" s="14" t="n"/>
      <c r="C970" s="14" t="n"/>
      <c r="D970" s="15" t="n"/>
      <c r="E970" s="15" t="n"/>
      <c r="F970" s="16">
        <f>IF($E970="","",DATE(YEAR($E970),MONTH($E970),1))</f>
        <v/>
      </c>
      <c r="G970" s="14" t="n"/>
      <c r="H970" s="14" t="n"/>
      <c r="I970" s="14" t="n"/>
      <c r="J970" s="14" t="n"/>
      <c r="K970" s="17" t="n"/>
      <c r="L970" s="15" t="n"/>
      <c r="M970" s="14" t="n"/>
      <c r="N970" s="17" t="n"/>
      <c r="O970" s="17" t="n"/>
      <c r="P970" s="18" t="n"/>
      <c r="Q970" s="11">
        <f>IF($A970="","",IF($H970="Stock",IF($I970="Buy",-$M970*$N970-$P970,IF($I970="Sell",IF($N970="", $M970*$O970-$P970,($O970-$N970)*$M970-$P970),"")),IF($I970="Sell",($N970-IF($O970="",0,$O970))*$M970*100-$P970,IF($I970="Buy",(IF($O970="",0,$O970)-$N970)*$M970*100-$P970,""))))</f>
        <v/>
      </c>
      <c r="R970" s="11">
        <f>IF($A970="","",IF($C970="Open","",$Q970))</f>
        <v/>
      </c>
      <c r="S970" s="12">
        <f>IF($A970="","",IFS($B970="Covered Call","Covered Call Premium",$B970="Cash Secured Put","Cash Secured Put Premium",$B970="Long Call/Put","Long Call/Put P/L",$B970="Debit Spread","Long Call/Put P/L",$B970="Stock Sale","Stock Sales",TRUE,"Other"))</f>
        <v/>
      </c>
      <c r="T970" s="11">
        <f>IF($A970="","",IF($B970="Cash Secured Put",$K970*$M970*100,IF($B970="Covered Call",$K970*$M970*100,IF($H970="Stock",$M970*$N970,""))))</f>
        <v/>
      </c>
      <c r="U970" s="19">
        <f>IF(OR($A970="",$C970&lt;&gt;"Closed",$D970="",$E970="",$T970=0),"",$R970/$T970*365/MAX(1,$E970-$D970))</f>
        <v/>
      </c>
      <c r="V970" s="14" t="n"/>
      <c r="W970" s="12" t="n"/>
    </row>
    <row r="971">
      <c r="A971" s="12" t="n"/>
      <c r="B971" s="14" t="n"/>
      <c r="C971" s="14" t="n"/>
      <c r="D971" s="15" t="n"/>
      <c r="E971" s="15" t="n"/>
      <c r="F971" s="16">
        <f>IF($E971="","",DATE(YEAR($E971),MONTH($E971),1))</f>
        <v/>
      </c>
      <c r="G971" s="14" t="n"/>
      <c r="H971" s="14" t="n"/>
      <c r="I971" s="14" t="n"/>
      <c r="J971" s="14" t="n"/>
      <c r="K971" s="17" t="n"/>
      <c r="L971" s="15" t="n"/>
      <c r="M971" s="14" t="n"/>
      <c r="N971" s="17" t="n"/>
      <c r="O971" s="17" t="n"/>
      <c r="P971" s="18" t="n"/>
      <c r="Q971" s="11">
        <f>IF($A971="","",IF($H971="Stock",IF($I971="Buy",-$M971*$N971-$P971,IF($I971="Sell",IF($N971="", $M971*$O971-$P971,($O971-$N971)*$M971-$P971),"")),IF($I971="Sell",($N971-IF($O971="",0,$O971))*$M971*100-$P971,IF($I971="Buy",(IF($O971="",0,$O971)-$N971)*$M971*100-$P971,""))))</f>
        <v/>
      </c>
      <c r="R971" s="11">
        <f>IF($A971="","",IF($C971="Open","",$Q971))</f>
        <v/>
      </c>
      <c r="S971" s="12">
        <f>IF($A971="","",IFS($B971="Covered Call","Covered Call Premium",$B971="Cash Secured Put","Cash Secured Put Premium",$B971="Long Call/Put","Long Call/Put P/L",$B971="Debit Spread","Long Call/Put P/L",$B971="Stock Sale","Stock Sales",TRUE,"Other"))</f>
        <v/>
      </c>
      <c r="T971" s="11">
        <f>IF($A971="","",IF($B971="Cash Secured Put",$K971*$M971*100,IF($B971="Covered Call",$K971*$M971*100,IF($H971="Stock",$M971*$N971,""))))</f>
        <v/>
      </c>
      <c r="U971" s="19">
        <f>IF(OR($A971="",$C971&lt;&gt;"Closed",$D971="",$E971="",$T971=0),"",$R971/$T971*365/MAX(1,$E971-$D971))</f>
        <v/>
      </c>
      <c r="V971" s="14" t="n"/>
      <c r="W971" s="12" t="n"/>
    </row>
    <row r="972">
      <c r="A972" s="12" t="n"/>
      <c r="B972" s="14" t="n"/>
      <c r="C972" s="14" t="n"/>
      <c r="D972" s="15" t="n"/>
      <c r="E972" s="15" t="n"/>
      <c r="F972" s="16">
        <f>IF($E972="","",DATE(YEAR($E972),MONTH($E972),1))</f>
        <v/>
      </c>
      <c r="G972" s="14" t="n"/>
      <c r="H972" s="14" t="n"/>
      <c r="I972" s="14" t="n"/>
      <c r="J972" s="14" t="n"/>
      <c r="K972" s="17" t="n"/>
      <c r="L972" s="15" t="n"/>
      <c r="M972" s="14" t="n"/>
      <c r="N972" s="17" t="n"/>
      <c r="O972" s="17" t="n"/>
      <c r="P972" s="18" t="n"/>
      <c r="Q972" s="11">
        <f>IF($A972="","",IF($H972="Stock",IF($I972="Buy",-$M972*$N972-$P972,IF($I972="Sell",IF($N972="", $M972*$O972-$P972,($O972-$N972)*$M972-$P972),"")),IF($I972="Sell",($N972-IF($O972="",0,$O972))*$M972*100-$P972,IF($I972="Buy",(IF($O972="",0,$O972)-$N972)*$M972*100-$P972,""))))</f>
        <v/>
      </c>
      <c r="R972" s="11">
        <f>IF($A972="","",IF($C972="Open","",$Q972))</f>
        <v/>
      </c>
      <c r="S972" s="12">
        <f>IF($A972="","",IFS($B972="Covered Call","Covered Call Premium",$B972="Cash Secured Put","Cash Secured Put Premium",$B972="Long Call/Put","Long Call/Put P/L",$B972="Debit Spread","Long Call/Put P/L",$B972="Stock Sale","Stock Sales",TRUE,"Other"))</f>
        <v/>
      </c>
      <c r="T972" s="11">
        <f>IF($A972="","",IF($B972="Cash Secured Put",$K972*$M972*100,IF($B972="Covered Call",$K972*$M972*100,IF($H972="Stock",$M972*$N972,""))))</f>
        <v/>
      </c>
      <c r="U972" s="19">
        <f>IF(OR($A972="",$C972&lt;&gt;"Closed",$D972="",$E972="",$T972=0),"",$R972/$T972*365/MAX(1,$E972-$D972))</f>
        <v/>
      </c>
      <c r="V972" s="14" t="n"/>
      <c r="W972" s="12" t="n"/>
    </row>
    <row r="973">
      <c r="A973" s="12" t="n"/>
      <c r="B973" s="14" t="n"/>
      <c r="C973" s="14" t="n"/>
      <c r="D973" s="15" t="n"/>
      <c r="E973" s="15" t="n"/>
      <c r="F973" s="16">
        <f>IF($E973="","",DATE(YEAR($E973),MONTH($E973),1))</f>
        <v/>
      </c>
      <c r="G973" s="14" t="n"/>
      <c r="H973" s="14" t="n"/>
      <c r="I973" s="14" t="n"/>
      <c r="J973" s="14" t="n"/>
      <c r="K973" s="17" t="n"/>
      <c r="L973" s="15" t="n"/>
      <c r="M973" s="14" t="n"/>
      <c r="N973" s="17" t="n"/>
      <c r="O973" s="17" t="n"/>
      <c r="P973" s="18" t="n"/>
      <c r="Q973" s="11">
        <f>IF($A973="","",IF($H973="Stock",IF($I973="Buy",-$M973*$N973-$P973,IF($I973="Sell",IF($N973="", $M973*$O973-$P973,($O973-$N973)*$M973-$P973),"")),IF($I973="Sell",($N973-IF($O973="",0,$O973))*$M973*100-$P973,IF($I973="Buy",(IF($O973="",0,$O973)-$N973)*$M973*100-$P973,""))))</f>
        <v/>
      </c>
      <c r="R973" s="11">
        <f>IF($A973="","",IF($C973="Open","",$Q973))</f>
        <v/>
      </c>
      <c r="S973" s="12">
        <f>IF($A973="","",IFS($B973="Covered Call","Covered Call Premium",$B973="Cash Secured Put","Cash Secured Put Premium",$B973="Long Call/Put","Long Call/Put P/L",$B973="Debit Spread","Long Call/Put P/L",$B973="Stock Sale","Stock Sales",TRUE,"Other"))</f>
        <v/>
      </c>
      <c r="T973" s="11">
        <f>IF($A973="","",IF($B973="Cash Secured Put",$K973*$M973*100,IF($B973="Covered Call",$K973*$M973*100,IF($H973="Stock",$M973*$N973,""))))</f>
        <v/>
      </c>
      <c r="U973" s="19">
        <f>IF(OR($A973="",$C973&lt;&gt;"Closed",$D973="",$E973="",$T973=0),"",$R973/$T973*365/MAX(1,$E973-$D973))</f>
        <v/>
      </c>
      <c r="V973" s="14" t="n"/>
      <c r="W973" s="12" t="n"/>
    </row>
    <row r="974">
      <c r="A974" s="12" t="n"/>
      <c r="B974" s="14" t="n"/>
      <c r="C974" s="14" t="n"/>
      <c r="D974" s="15" t="n"/>
      <c r="E974" s="15" t="n"/>
      <c r="F974" s="16">
        <f>IF($E974="","",DATE(YEAR($E974),MONTH($E974),1))</f>
        <v/>
      </c>
      <c r="G974" s="14" t="n"/>
      <c r="H974" s="14" t="n"/>
      <c r="I974" s="14" t="n"/>
      <c r="J974" s="14" t="n"/>
      <c r="K974" s="17" t="n"/>
      <c r="L974" s="15" t="n"/>
      <c r="M974" s="14" t="n"/>
      <c r="N974" s="17" t="n"/>
      <c r="O974" s="17" t="n"/>
      <c r="P974" s="18" t="n"/>
      <c r="Q974" s="11">
        <f>IF($A974="","",IF($H974="Stock",IF($I974="Buy",-$M974*$N974-$P974,IF($I974="Sell",IF($N974="", $M974*$O974-$P974,($O974-$N974)*$M974-$P974),"")),IF($I974="Sell",($N974-IF($O974="",0,$O974))*$M974*100-$P974,IF($I974="Buy",(IF($O974="",0,$O974)-$N974)*$M974*100-$P974,""))))</f>
        <v/>
      </c>
      <c r="R974" s="11">
        <f>IF($A974="","",IF($C974="Open","",$Q974))</f>
        <v/>
      </c>
      <c r="S974" s="12">
        <f>IF($A974="","",IFS($B974="Covered Call","Covered Call Premium",$B974="Cash Secured Put","Cash Secured Put Premium",$B974="Long Call/Put","Long Call/Put P/L",$B974="Debit Spread","Long Call/Put P/L",$B974="Stock Sale","Stock Sales",TRUE,"Other"))</f>
        <v/>
      </c>
      <c r="T974" s="11">
        <f>IF($A974="","",IF($B974="Cash Secured Put",$K974*$M974*100,IF($B974="Covered Call",$K974*$M974*100,IF($H974="Stock",$M974*$N974,""))))</f>
        <v/>
      </c>
      <c r="U974" s="19">
        <f>IF(OR($A974="",$C974&lt;&gt;"Closed",$D974="",$E974="",$T974=0),"",$R974/$T974*365/MAX(1,$E974-$D974))</f>
        <v/>
      </c>
      <c r="V974" s="14" t="n"/>
      <c r="W974" s="12" t="n"/>
    </row>
    <row r="975">
      <c r="A975" s="12" t="n"/>
      <c r="B975" s="14" t="n"/>
      <c r="C975" s="14" t="n"/>
      <c r="D975" s="15" t="n"/>
      <c r="E975" s="15" t="n"/>
      <c r="F975" s="16">
        <f>IF($E975="","",DATE(YEAR($E975),MONTH($E975),1))</f>
        <v/>
      </c>
      <c r="G975" s="14" t="n"/>
      <c r="H975" s="14" t="n"/>
      <c r="I975" s="14" t="n"/>
      <c r="J975" s="14" t="n"/>
      <c r="K975" s="17" t="n"/>
      <c r="L975" s="15" t="n"/>
      <c r="M975" s="14" t="n"/>
      <c r="N975" s="17" t="n"/>
      <c r="O975" s="17" t="n"/>
      <c r="P975" s="18" t="n"/>
      <c r="Q975" s="11">
        <f>IF($A975="","",IF($H975="Stock",IF($I975="Buy",-$M975*$N975-$P975,IF($I975="Sell",IF($N975="", $M975*$O975-$P975,($O975-$N975)*$M975-$P975),"")),IF($I975="Sell",($N975-IF($O975="",0,$O975))*$M975*100-$P975,IF($I975="Buy",(IF($O975="",0,$O975)-$N975)*$M975*100-$P975,""))))</f>
        <v/>
      </c>
      <c r="R975" s="11">
        <f>IF($A975="","",IF($C975="Open","",$Q975))</f>
        <v/>
      </c>
      <c r="S975" s="12">
        <f>IF($A975="","",IFS($B975="Covered Call","Covered Call Premium",$B975="Cash Secured Put","Cash Secured Put Premium",$B975="Long Call/Put","Long Call/Put P/L",$B975="Debit Spread","Long Call/Put P/L",$B975="Stock Sale","Stock Sales",TRUE,"Other"))</f>
        <v/>
      </c>
      <c r="T975" s="11">
        <f>IF($A975="","",IF($B975="Cash Secured Put",$K975*$M975*100,IF($B975="Covered Call",$K975*$M975*100,IF($H975="Stock",$M975*$N975,""))))</f>
        <v/>
      </c>
      <c r="U975" s="19">
        <f>IF(OR($A975="",$C975&lt;&gt;"Closed",$D975="",$E975="",$T975=0),"",$R975/$T975*365/MAX(1,$E975-$D975))</f>
        <v/>
      </c>
      <c r="V975" s="14" t="n"/>
      <c r="W975" s="12" t="n"/>
    </row>
    <row r="976">
      <c r="A976" s="12" t="n"/>
      <c r="B976" s="14" t="n"/>
      <c r="C976" s="14" t="n"/>
      <c r="D976" s="15" t="n"/>
      <c r="E976" s="15" t="n"/>
      <c r="F976" s="16">
        <f>IF($E976="","",DATE(YEAR($E976),MONTH($E976),1))</f>
        <v/>
      </c>
      <c r="G976" s="14" t="n"/>
      <c r="H976" s="14" t="n"/>
      <c r="I976" s="14" t="n"/>
      <c r="J976" s="14" t="n"/>
      <c r="K976" s="17" t="n"/>
      <c r="L976" s="15" t="n"/>
      <c r="M976" s="14" t="n"/>
      <c r="N976" s="17" t="n"/>
      <c r="O976" s="17" t="n"/>
      <c r="P976" s="18" t="n"/>
      <c r="Q976" s="11">
        <f>IF($A976="","",IF($H976="Stock",IF($I976="Buy",-$M976*$N976-$P976,IF($I976="Sell",IF($N976="", $M976*$O976-$P976,($O976-$N976)*$M976-$P976),"")),IF($I976="Sell",($N976-IF($O976="",0,$O976))*$M976*100-$P976,IF($I976="Buy",(IF($O976="",0,$O976)-$N976)*$M976*100-$P976,""))))</f>
        <v/>
      </c>
      <c r="R976" s="11">
        <f>IF($A976="","",IF($C976="Open","",$Q976))</f>
        <v/>
      </c>
      <c r="S976" s="12">
        <f>IF($A976="","",IFS($B976="Covered Call","Covered Call Premium",$B976="Cash Secured Put","Cash Secured Put Premium",$B976="Long Call/Put","Long Call/Put P/L",$B976="Debit Spread","Long Call/Put P/L",$B976="Stock Sale","Stock Sales",TRUE,"Other"))</f>
        <v/>
      </c>
      <c r="T976" s="11">
        <f>IF($A976="","",IF($B976="Cash Secured Put",$K976*$M976*100,IF($B976="Covered Call",$K976*$M976*100,IF($H976="Stock",$M976*$N976,""))))</f>
        <v/>
      </c>
      <c r="U976" s="19">
        <f>IF(OR($A976="",$C976&lt;&gt;"Closed",$D976="",$E976="",$T976=0),"",$R976/$T976*365/MAX(1,$E976-$D976))</f>
        <v/>
      </c>
      <c r="V976" s="14" t="n"/>
      <c r="W976" s="12" t="n"/>
    </row>
    <row r="977">
      <c r="A977" s="12" t="n"/>
      <c r="B977" s="14" t="n"/>
      <c r="C977" s="14" t="n"/>
      <c r="D977" s="15" t="n"/>
      <c r="E977" s="15" t="n"/>
      <c r="F977" s="16">
        <f>IF($E977="","",DATE(YEAR($E977),MONTH($E977),1))</f>
        <v/>
      </c>
      <c r="G977" s="14" t="n"/>
      <c r="H977" s="14" t="n"/>
      <c r="I977" s="14" t="n"/>
      <c r="J977" s="14" t="n"/>
      <c r="K977" s="17" t="n"/>
      <c r="L977" s="15" t="n"/>
      <c r="M977" s="14" t="n"/>
      <c r="N977" s="17" t="n"/>
      <c r="O977" s="17" t="n"/>
      <c r="P977" s="18" t="n"/>
      <c r="Q977" s="11">
        <f>IF($A977="","",IF($H977="Stock",IF($I977="Buy",-$M977*$N977-$P977,IF($I977="Sell",IF($N977="", $M977*$O977-$P977,($O977-$N977)*$M977-$P977),"")),IF($I977="Sell",($N977-IF($O977="",0,$O977))*$M977*100-$P977,IF($I977="Buy",(IF($O977="",0,$O977)-$N977)*$M977*100-$P977,""))))</f>
        <v/>
      </c>
      <c r="R977" s="11">
        <f>IF($A977="","",IF($C977="Open","",$Q977))</f>
        <v/>
      </c>
      <c r="S977" s="12">
        <f>IF($A977="","",IFS($B977="Covered Call","Covered Call Premium",$B977="Cash Secured Put","Cash Secured Put Premium",$B977="Long Call/Put","Long Call/Put P/L",$B977="Debit Spread","Long Call/Put P/L",$B977="Stock Sale","Stock Sales",TRUE,"Other"))</f>
        <v/>
      </c>
      <c r="T977" s="11">
        <f>IF($A977="","",IF($B977="Cash Secured Put",$K977*$M977*100,IF($B977="Covered Call",$K977*$M977*100,IF($H977="Stock",$M977*$N977,""))))</f>
        <v/>
      </c>
      <c r="U977" s="19">
        <f>IF(OR($A977="",$C977&lt;&gt;"Closed",$D977="",$E977="",$T977=0),"",$R977/$T977*365/MAX(1,$E977-$D977))</f>
        <v/>
      </c>
      <c r="V977" s="14" t="n"/>
      <c r="W977" s="12" t="n"/>
    </row>
    <row r="978">
      <c r="A978" s="12" t="n"/>
      <c r="B978" s="14" t="n"/>
      <c r="C978" s="14" t="n"/>
      <c r="D978" s="15" t="n"/>
      <c r="E978" s="15" t="n"/>
      <c r="F978" s="16">
        <f>IF($E978="","",DATE(YEAR($E978),MONTH($E978),1))</f>
        <v/>
      </c>
      <c r="G978" s="14" t="n"/>
      <c r="H978" s="14" t="n"/>
      <c r="I978" s="14" t="n"/>
      <c r="J978" s="14" t="n"/>
      <c r="K978" s="17" t="n"/>
      <c r="L978" s="15" t="n"/>
      <c r="M978" s="14" t="n"/>
      <c r="N978" s="17" t="n"/>
      <c r="O978" s="17" t="n"/>
      <c r="P978" s="18" t="n"/>
      <c r="Q978" s="11">
        <f>IF($A978="","",IF($H978="Stock",IF($I978="Buy",-$M978*$N978-$P978,IF($I978="Sell",IF($N978="", $M978*$O978-$P978,($O978-$N978)*$M978-$P978),"")),IF($I978="Sell",($N978-IF($O978="",0,$O978))*$M978*100-$P978,IF($I978="Buy",(IF($O978="",0,$O978)-$N978)*$M978*100-$P978,""))))</f>
        <v/>
      </c>
      <c r="R978" s="11">
        <f>IF($A978="","",IF($C978="Open","",$Q978))</f>
        <v/>
      </c>
      <c r="S978" s="12">
        <f>IF($A978="","",IFS($B978="Covered Call","Covered Call Premium",$B978="Cash Secured Put","Cash Secured Put Premium",$B978="Long Call/Put","Long Call/Put P/L",$B978="Debit Spread","Long Call/Put P/L",$B978="Stock Sale","Stock Sales",TRUE,"Other"))</f>
        <v/>
      </c>
      <c r="T978" s="11">
        <f>IF($A978="","",IF($B978="Cash Secured Put",$K978*$M978*100,IF($B978="Covered Call",$K978*$M978*100,IF($H978="Stock",$M978*$N978,""))))</f>
        <v/>
      </c>
      <c r="U978" s="19">
        <f>IF(OR($A978="",$C978&lt;&gt;"Closed",$D978="",$E978="",$T978=0),"",$R978/$T978*365/MAX(1,$E978-$D978))</f>
        <v/>
      </c>
      <c r="V978" s="14" t="n"/>
      <c r="W978" s="12" t="n"/>
    </row>
    <row r="979">
      <c r="A979" s="12" t="n"/>
      <c r="B979" s="14" t="n"/>
      <c r="C979" s="14" t="n"/>
      <c r="D979" s="15" t="n"/>
      <c r="E979" s="15" t="n"/>
      <c r="F979" s="16">
        <f>IF($E979="","",DATE(YEAR($E979),MONTH($E979),1))</f>
        <v/>
      </c>
      <c r="G979" s="14" t="n"/>
      <c r="H979" s="14" t="n"/>
      <c r="I979" s="14" t="n"/>
      <c r="J979" s="14" t="n"/>
      <c r="K979" s="17" t="n"/>
      <c r="L979" s="15" t="n"/>
      <c r="M979" s="14" t="n"/>
      <c r="N979" s="17" t="n"/>
      <c r="O979" s="17" t="n"/>
      <c r="P979" s="18" t="n"/>
      <c r="Q979" s="11">
        <f>IF($A979="","",IF($H979="Stock",IF($I979="Buy",-$M979*$N979-$P979,IF($I979="Sell",IF($N979="", $M979*$O979-$P979,($O979-$N979)*$M979-$P979),"")),IF($I979="Sell",($N979-IF($O979="",0,$O979))*$M979*100-$P979,IF($I979="Buy",(IF($O979="",0,$O979)-$N979)*$M979*100-$P979,""))))</f>
        <v/>
      </c>
      <c r="R979" s="11">
        <f>IF($A979="","",IF($C979="Open","",$Q979))</f>
        <v/>
      </c>
      <c r="S979" s="12">
        <f>IF($A979="","",IFS($B979="Covered Call","Covered Call Premium",$B979="Cash Secured Put","Cash Secured Put Premium",$B979="Long Call/Put","Long Call/Put P/L",$B979="Debit Spread","Long Call/Put P/L",$B979="Stock Sale","Stock Sales",TRUE,"Other"))</f>
        <v/>
      </c>
      <c r="T979" s="11">
        <f>IF($A979="","",IF($B979="Cash Secured Put",$K979*$M979*100,IF($B979="Covered Call",$K979*$M979*100,IF($H979="Stock",$M979*$N979,""))))</f>
        <v/>
      </c>
      <c r="U979" s="19">
        <f>IF(OR($A979="",$C979&lt;&gt;"Closed",$D979="",$E979="",$T979=0),"",$R979/$T979*365/MAX(1,$E979-$D979))</f>
        <v/>
      </c>
      <c r="V979" s="14" t="n"/>
      <c r="W979" s="12" t="n"/>
    </row>
    <row r="980">
      <c r="A980" s="12" t="n"/>
      <c r="B980" s="14" t="n"/>
      <c r="C980" s="14" t="n"/>
      <c r="D980" s="15" t="n"/>
      <c r="E980" s="15" t="n"/>
      <c r="F980" s="16">
        <f>IF($E980="","",DATE(YEAR($E980),MONTH($E980),1))</f>
        <v/>
      </c>
      <c r="G980" s="14" t="n"/>
      <c r="H980" s="14" t="n"/>
      <c r="I980" s="14" t="n"/>
      <c r="J980" s="14" t="n"/>
      <c r="K980" s="17" t="n"/>
      <c r="L980" s="15" t="n"/>
      <c r="M980" s="14" t="n"/>
      <c r="N980" s="17" t="n"/>
      <c r="O980" s="17" t="n"/>
      <c r="P980" s="18" t="n"/>
      <c r="Q980" s="11">
        <f>IF($A980="","",IF($H980="Stock",IF($I980="Buy",-$M980*$N980-$P980,IF($I980="Sell",IF($N980="", $M980*$O980-$P980,($O980-$N980)*$M980-$P980),"")),IF($I980="Sell",($N980-IF($O980="",0,$O980))*$M980*100-$P980,IF($I980="Buy",(IF($O980="",0,$O980)-$N980)*$M980*100-$P980,""))))</f>
        <v/>
      </c>
      <c r="R980" s="11">
        <f>IF($A980="","",IF($C980="Open","",$Q980))</f>
        <v/>
      </c>
      <c r="S980" s="12">
        <f>IF($A980="","",IFS($B980="Covered Call","Covered Call Premium",$B980="Cash Secured Put","Cash Secured Put Premium",$B980="Long Call/Put","Long Call/Put P/L",$B980="Debit Spread","Long Call/Put P/L",$B980="Stock Sale","Stock Sales",TRUE,"Other"))</f>
        <v/>
      </c>
      <c r="T980" s="11">
        <f>IF($A980="","",IF($B980="Cash Secured Put",$K980*$M980*100,IF($B980="Covered Call",$K980*$M980*100,IF($H980="Stock",$M980*$N980,""))))</f>
        <v/>
      </c>
      <c r="U980" s="19">
        <f>IF(OR($A980="",$C980&lt;&gt;"Closed",$D980="",$E980="",$T980=0),"",$R980/$T980*365/MAX(1,$E980-$D980))</f>
        <v/>
      </c>
      <c r="V980" s="14" t="n"/>
      <c r="W980" s="12" t="n"/>
    </row>
    <row r="981">
      <c r="A981" s="12" t="n"/>
      <c r="B981" s="14" t="n"/>
      <c r="C981" s="14" t="n"/>
      <c r="D981" s="15" t="n"/>
      <c r="E981" s="15" t="n"/>
      <c r="F981" s="16">
        <f>IF($E981="","",DATE(YEAR($E981),MONTH($E981),1))</f>
        <v/>
      </c>
      <c r="G981" s="14" t="n"/>
      <c r="H981" s="14" t="n"/>
      <c r="I981" s="14" t="n"/>
      <c r="J981" s="14" t="n"/>
      <c r="K981" s="17" t="n"/>
      <c r="L981" s="15" t="n"/>
      <c r="M981" s="14" t="n"/>
      <c r="N981" s="17" t="n"/>
      <c r="O981" s="17" t="n"/>
      <c r="P981" s="18" t="n"/>
      <c r="Q981" s="11">
        <f>IF($A981="","",IF($H981="Stock",IF($I981="Buy",-$M981*$N981-$P981,IF($I981="Sell",IF($N981="", $M981*$O981-$P981,($O981-$N981)*$M981-$P981),"")),IF($I981="Sell",($N981-IF($O981="",0,$O981))*$M981*100-$P981,IF($I981="Buy",(IF($O981="",0,$O981)-$N981)*$M981*100-$P981,""))))</f>
        <v/>
      </c>
      <c r="R981" s="11">
        <f>IF($A981="","",IF($C981="Open","",$Q981))</f>
        <v/>
      </c>
      <c r="S981" s="12">
        <f>IF($A981="","",IFS($B981="Covered Call","Covered Call Premium",$B981="Cash Secured Put","Cash Secured Put Premium",$B981="Long Call/Put","Long Call/Put P/L",$B981="Debit Spread","Long Call/Put P/L",$B981="Stock Sale","Stock Sales",TRUE,"Other"))</f>
        <v/>
      </c>
      <c r="T981" s="11">
        <f>IF($A981="","",IF($B981="Cash Secured Put",$K981*$M981*100,IF($B981="Covered Call",$K981*$M981*100,IF($H981="Stock",$M981*$N981,""))))</f>
        <v/>
      </c>
      <c r="U981" s="19">
        <f>IF(OR($A981="",$C981&lt;&gt;"Closed",$D981="",$E981="",$T981=0),"",$R981/$T981*365/MAX(1,$E981-$D981))</f>
        <v/>
      </c>
      <c r="V981" s="14" t="n"/>
      <c r="W981" s="12" t="n"/>
    </row>
    <row r="982">
      <c r="A982" s="12" t="n"/>
      <c r="B982" s="14" t="n"/>
      <c r="C982" s="14" t="n"/>
      <c r="D982" s="15" t="n"/>
      <c r="E982" s="15" t="n"/>
      <c r="F982" s="16">
        <f>IF($E982="","",DATE(YEAR($E982),MONTH($E982),1))</f>
        <v/>
      </c>
      <c r="G982" s="14" t="n"/>
      <c r="H982" s="14" t="n"/>
      <c r="I982" s="14" t="n"/>
      <c r="J982" s="14" t="n"/>
      <c r="K982" s="17" t="n"/>
      <c r="L982" s="15" t="n"/>
      <c r="M982" s="14" t="n"/>
      <c r="N982" s="17" t="n"/>
      <c r="O982" s="17" t="n"/>
      <c r="P982" s="18" t="n"/>
      <c r="Q982" s="11">
        <f>IF($A982="","",IF($H982="Stock",IF($I982="Buy",-$M982*$N982-$P982,IF($I982="Sell",IF($N982="", $M982*$O982-$P982,($O982-$N982)*$M982-$P982),"")),IF($I982="Sell",($N982-IF($O982="",0,$O982))*$M982*100-$P982,IF($I982="Buy",(IF($O982="",0,$O982)-$N982)*$M982*100-$P982,""))))</f>
        <v/>
      </c>
      <c r="R982" s="11">
        <f>IF($A982="","",IF($C982="Open","",$Q982))</f>
        <v/>
      </c>
      <c r="S982" s="12">
        <f>IF($A982="","",IFS($B982="Covered Call","Covered Call Premium",$B982="Cash Secured Put","Cash Secured Put Premium",$B982="Long Call/Put","Long Call/Put P/L",$B982="Debit Spread","Long Call/Put P/L",$B982="Stock Sale","Stock Sales",TRUE,"Other"))</f>
        <v/>
      </c>
      <c r="T982" s="11">
        <f>IF($A982="","",IF($B982="Cash Secured Put",$K982*$M982*100,IF($B982="Covered Call",$K982*$M982*100,IF($H982="Stock",$M982*$N982,""))))</f>
        <v/>
      </c>
      <c r="U982" s="19">
        <f>IF(OR($A982="",$C982&lt;&gt;"Closed",$D982="",$E982="",$T982=0),"",$R982/$T982*365/MAX(1,$E982-$D982))</f>
        <v/>
      </c>
      <c r="V982" s="14" t="n"/>
      <c r="W982" s="12" t="n"/>
    </row>
    <row r="983">
      <c r="A983" s="12" t="n"/>
      <c r="B983" s="14" t="n"/>
      <c r="C983" s="14" t="n"/>
      <c r="D983" s="15" t="n"/>
      <c r="E983" s="15" t="n"/>
      <c r="F983" s="16">
        <f>IF($E983="","",DATE(YEAR($E983),MONTH($E983),1))</f>
        <v/>
      </c>
      <c r="G983" s="14" t="n"/>
      <c r="H983" s="14" t="n"/>
      <c r="I983" s="14" t="n"/>
      <c r="J983" s="14" t="n"/>
      <c r="K983" s="17" t="n"/>
      <c r="L983" s="15" t="n"/>
      <c r="M983" s="14" t="n"/>
      <c r="N983" s="17" t="n"/>
      <c r="O983" s="17" t="n"/>
      <c r="P983" s="18" t="n"/>
      <c r="Q983" s="11">
        <f>IF($A983="","",IF($H983="Stock",IF($I983="Buy",-$M983*$N983-$P983,IF($I983="Sell",IF($N983="", $M983*$O983-$P983,($O983-$N983)*$M983-$P983),"")),IF($I983="Sell",($N983-IF($O983="",0,$O983))*$M983*100-$P983,IF($I983="Buy",(IF($O983="",0,$O983)-$N983)*$M983*100-$P983,""))))</f>
        <v/>
      </c>
      <c r="R983" s="11">
        <f>IF($A983="","",IF($C983="Open","",$Q983))</f>
        <v/>
      </c>
      <c r="S983" s="12">
        <f>IF($A983="","",IFS($B983="Covered Call","Covered Call Premium",$B983="Cash Secured Put","Cash Secured Put Premium",$B983="Long Call/Put","Long Call/Put P/L",$B983="Debit Spread","Long Call/Put P/L",$B983="Stock Sale","Stock Sales",TRUE,"Other"))</f>
        <v/>
      </c>
      <c r="T983" s="11">
        <f>IF($A983="","",IF($B983="Cash Secured Put",$K983*$M983*100,IF($B983="Covered Call",$K983*$M983*100,IF($H983="Stock",$M983*$N983,""))))</f>
        <v/>
      </c>
      <c r="U983" s="19">
        <f>IF(OR($A983="",$C983&lt;&gt;"Closed",$D983="",$E983="",$T983=0),"",$R983/$T983*365/MAX(1,$E983-$D983))</f>
        <v/>
      </c>
      <c r="V983" s="14" t="n"/>
      <c r="W983" s="12" t="n"/>
    </row>
    <row r="984">
      <c r="A984" s="12" t="n"/>
      <c r="B984" s="14" t="n"/>
      <c r="C984" s="14" t="n"/>
      <c r="D984" s="15" t="n"/>
      <c r="E984" s="15" t="n"/>
      <c r="F984" s="16">
        <f>IF($E984="","",DATE(YEAR($E984),MONTH($E984),1))</f>
        <v/>
      </c>
      <c r="G984" s="14" t="n"/>
      <c r="H984" s="14" t="n"/>
      <c r="I984" s="14" t="n"/>
      <c r="J984" s="14" t="n"/>
      <c r="K984" s="17" t="n"/>
      <c r="L984" s="15" t="n"/>
      <c r="M984" s="14" t="n"/>
      <c r="N984" s="17" t="n"/>
      <c r="O984" s="17" t="n"/>
      <c r="P984" s="18" t="n"/>
      <c r="Q984" s="11">
        <f>IF($A984="","",IF($H984="Stock",IF($I984="Buy",-$M984*$N984-$P984,IF($I984="Sell",IF($N984="", $M984*$O984-$P984,($O984-$N984)*$M984-$P984),"")),IF($I984="Sell",($N984-IF($O984="",0,$O984))*$M984*100-$P984,IF($I984="Buy",(IF($O984="",0,$O984)-$N984)*$M984*100-$P984,""))))</f>
        <v/>
      </c>
      <c r="R984" s="11">
        <f>IF($A984="","",IF($C984="Open","",$Q984))</f>
        <v/>
      </c>
      <c r="S984" s="12">
        <f>IF($A984="","",IFS($B984="Covered Call","Covered Call Premium",$B984="Cash Secured Put","Cash Secured Put Premium",$B984="Long Call/Put","Long Call/Put P/L",$B984="Debit Spread","Long Call/Put P/L",$B984="Stock Sale","Stock Sales",TRUE,"Other"))</f>
        <v/>
      </c>
      <c r="T984" s="11">
        <f>IF($A984="","",IF($B984="Cash Secured Put",$K984*$M984*100,IF($B984="Covered Call",$K984*$M984*100,IF($H984="Stock",$M984*$N984,""))))</f>
        <v/>
      </c>
      <c r="U984" s="19">
        <f>IF(OR($A984="",$C984&lt;&gt;"Closed",$D984="",$E984="",$T984=0),"",$R984/$T984*365/MAX(1,$E984-$D984))</f>
        <v/>
      </c>
      <c r="V984" s="14" t="n"/>
      <c r="W984" s="12" t="n"/>
    </row>
    <row r="985">
      <c r="A985" s="12" t="n"/>
      <c r="B985" s="14" t="n"/>
      <c r="C985" s="14" t="n"/>
      <c r="D985" s="15" t="n"/>
      <c r="E985" s="15" t="n"/>
      <c r="F985" s="16">
        <f>IF($E985="","",DATE(YEAR($E985),MONTH($E985),1))</f>
        <v/>
      </c>
      <c r="G985" s="14" t="n"/>
      <c r="H985" s="14" t="n"/>
      <c r="I985" s="14" t="n"/>
      <c r="J985" s="14" t="n"/>
      <c r="K985" s="17" t="n"/>
      <c r="L985" s="15" t="n"/>
      <c r="M985" s="14" t="n"/>
      <c r="N985" s="17" t="n"/>
      <c r="O985" s="17" t="n"/>
      <c r="P985" s="18" t="n"/>
      <c r="Q985" s="11">
        <f>IF($A985="","",IF($H985="Stock",IF($I985="Buy",-$M985*$N985-$P985,IF($I985="Sell",IF($N985="", $M985*$O985-$P985,($O985-$N985)*$M985-$P985),"")),IF($I985="Sell",($N985-IF($O985="",0,$O985))*$M985*100-$P985,IF($I985="Buy",(IF($O985="",0,$O985)-$N985)*$M985*100-$P985,""))))</f>
        <v/>
      </c>
      <c r="R985" s="11">
        <f>IF($A985="","",IF($C985="Open","",$Q985))</f>
        <v/>
      </c>
      <c r="S985" s="12">
        <f>IF($A985="","",IFS($B985="Covered Call","Covered Call Premium",$B985="Cash Secured Put","Cash Secured Put Premium",$B985="Long Call/Put","Long Call/Put P/L",$B985="Debit Spread","Long Call/Put P/L",$B985="Stock Sale","Stock Sales",TRUE,"Other"))</f>
        <v/>
      </c>
      <c r="T985" s="11">
        <f>IF($A985="","",IF($B985="Cash Secured Put",$K985*$M985*100,IF($B985="Covered Call",$K985*$M985*100,IF($H985="Stock",$M985*$N985,""))))</f>
        <v/>
      </c>
      <c r="U985" s="19">
        <f>IF(OR($A985="",$C985&lt;&gt;"Closed",$D985="",$E985="",$T985=0),"",$R985/$T985*365/MAX(1,$E985-$D985))</f>
        <v/>
      </c>
      <c r="V985" s="14" t="n"/>
      <c r="W985" s="12" t="n"/>
    </row>
    <row r="986">
      <c r="A986" s="12" t="n"/>
      <c r="B986" s="14" t="n"/>
      <c r="C986" s="14" t="n"/>
      <c r="D986" s="15" t="n"/>
      <c r="E986" s="15" t="n"/>
      <c r="F986" s="16">
        <f>IF($E986="","",DATE(YEAR($E986),MONTH($E986),1))</f>
        <v/>
      </c>
      <c r="G986" s="14" t="n"/>
      <c r="H986" s="14" t="n"/>
      <c r="I986" s="14" t="n"/>
      <c r="J986" s="14" t="n"/>
      <c r="K986" s="17" t="n"/>
      <c r="L986" s="15" t="n"/>
      <c r="M986" s="14" t="n"/>
      <c r="N986" s="17" t="n"/>
      <c r="O986" s="17" t="n"/>
      <c r="P986" s="18" t="n"/>
      <c r="Q986" s="11">
        <f>IF($A986="","",IF($H986="Stock",IF($I986="Buy",-$M986*$N986-$P986,IF($I986="Sell",IF($N986="", $M986*$O986-$P986,($O986-$N986)*$M986-$P986),"")),IF($I986="Sell",($N986-IF($O986="",0,$O986))*$M986*100-$P986,IF($I986="Buy",(IF($O986="",0,$O986)-$N986)*$M986*100-$P986,""))))</f>
        <v/>
      </c>
      <c r="R986" s="11">
        <f>IF($A986="","",IF($C986="Open","",$Q986))</f>
        <v/>
      </c>
      <c r="S986" s="12">
        <f>IF($A986="","",IFS($B986="Covered Call","Covered Call Premium",$B986="Cash Secured Put","Cash Secured Put Premium",$B986="Long Call/Put","Long Call/Put P/L",$B986="Debit Spread","Long Call/Put P/L",$B986="Stock Sale","Stock Sales",TRUE,"Other"))</f>
        <v/>
      </c>
      <c r="T986" s="11">
        <f>IF($A986="","",IF($B986="Cash Secured Put",$K986*$M986*100,IF($B986="Covered Call",$K986*$M986*100,IF($H986="Stock",$M986*$N986,""))))</f>
        <v/>
      </c>
      <c r="U986" s="19">
        <f>IF(OR($A986="",$C986&lt;&gt;"Closed",$D986="",$E986="",$T986=0),"",$R986/$T986*365/MAX(1,$E986-$D986))</f>
        <v/>
      </c>
      <c r="V986" s="14" t="n"/>
      <c r="W986" s="12" t="n"/>
    </row>
    <row r="987">
      <c r="A987" s="12" t="n"/>
      <c r="B987" s="14" t="n"/>
      <c r="C987" s="14" t="n"/>
      <c r="D987" s="15" t="n"/>
      <c r="E987" s="15" t="n"/>
      <c r="F987" s="16">
        <f>IF($E987="","",DATE(YEAR($E987),MONTH($E987),1))</f>
        <v/>
      </c>
      <c r="G987" s="14" t="n"/>
      <c r="H987" s="14" t="n"/>
      <c r="I987" s="14" t="n"/>
      <c r="J987" s="14" t="n"/>
      <c r="K987" s="17" t="n"/>
      <c r="L987" s="15" t="n"/>
      <c r="M987" s="14" t="n"/>
      <c r="N987" s="17" t="n"/>
      <c r="O987" s="17" t="n"/>
      <c r="P987" s="18" t="n"/>
      <c r="Q987" s="11">
        <f>IF($A987="","",IF($H987="Stock",IF($I987="Buy",-$M987*$N987-$P987,IF($I987="Sell",IF($N987="", $M987*$O987-$P987,($O987-$N987)*$M987-$P987),"")),IF($I987="Sell",($N987-IF($O987="",0,$O987))*$M987*100-$P987,IF($I987="Buy",(IF($O987="",0,$O987)-$N987)*$M987*100-$P987,""))))</f>
        <v/>
      </c>
      <c r="R987" s="11">
        <f>IF($A987="","",IF($C987="Open","",$Q987))</f>
        <v/>
      </c>
      <c r="S987" s="12">
        <f>IF($A987="","",IFS($B987="Covered Call","Covered Call Premium",$B987="Cash Secured Put","Cash Secured Put Premium",$B987="Long Call/Put","Long Call/Put P/L",$B987="Debit Spread","Long Call/Put P/L",$B987="Stock Sale","Stock Sales",TRUE,"Other"))</f>
        <v/>
      </c>
      <c r="T987" s="11">
        <f>IF($A987="","",IF($B987="Cash Secured Put",$K987*$M987*100,IF($B987="Covered Call",$K987*$M987*100,IF($H987="Stock",$M987*$N987,""))))</f>
        <v/>
      </c>
      <c r="U987" s="19">
        <f>IF(OR($A987="",$C987&lt;&gt;"Closed",$D987="",$E987="",$T987=0),"",$R987/$T987*365/MAX(1,$E987-$D987))</f>
        <v/>
      </c>
      <c r="V987" s="14" t="n"/>
      <c r="W987" s="12" t="n"/>
    </row>
    <row r="988">
      <c r="A988" s="12" t="n"/>
      <c r="B988" s="14" t="n"/>
      <c r="C988" s="14" t="n"/>
      <c r="D988" s="15" t="n"/>
      <c r="E988" s="15" t="n"/>
      <c r="F988" s="16">
        <f>IF($E988="","",DATE(YEAR($E988),MONTH($E988),1))</f>
        <v/>
      </c>
      <c r="G988" s="14" t="n"/>
      <c r="H988" s="14" t="n"/>
      <c r="I988" s="14" t="n"/>
      <c r="J988" s="14" t="n"/>
      <c r="K988" s="17" t="n"/>
      <c r="L988" s="15" t="n"/>
      <c r="M988" s="14" t="n"/>
      <c r="N988" s="17" t="n"/>
      <c r="O988" s="17" t="n"/>
      <c r="P988" s="18" t="n"/>
      <c r="Q988" s="11">
        <f>IF($A988="","",IF($H988="Stock",IF($I988="Buy",-$M988*$N988-$P988,IF($I988="Sell",IF($N988="", $M988*$O988-$P988,($O988-$N988)*$M988-$P988),"")),IF($I988="Sell",($N988-IF($O988="",0,$O988))*$M988*100-$P988,IF($I988="Buy",(IF($O988="",0,$O988)-$N988)*$M988*100-$P988,""))))</f>
        <v/>
      </c>
      <c r="R988" s="11">
        <f>IF($A988="","",IF($C988="Open","",$Q988))</f>
        <v/>
      </c>
      <c r="S988" s="12">
        <f>IF($A988="","",IFS($B988="Covered Call","Covered Call Premium",$B988="Cash Secured Put","Cash Secured Put Premium",$B988="Long Call/Put","Long Call/Put P/L",$B988="Debit Spread","Long Call/Put P/L",$B988="Stock Sale","Stock Sales",TRUE,"Other"))</f>
        <v/>
      </c>
      <c r="T988" s="11">
        <f>IF($A988="","",IF($B988="Cash Secured Put",$K988*$M988*100,IF($B988="Covered Call",$K988*$M988*100,IF($H988="Stock",$M988*$N988,""))))</f>
        <v/>
      </c>
      <c r="U988" s="19">
        <f>IF(OR($A988="",$C988&lt;&gt;"Closed",$D988="",$E988="",$T988=0),"",$R988/$T988*365/MAX(1,$E988-$D988))</f>
        <v/>
      </c>
      <c r="V988" s="14" t="n"/>
      <c r="W988" s="12" t="n"/>
    </row>
    <row r="989">
      <c r="A989" s="12" t="n"/>
      <c r="B989" s="14" t="n"/>
      <c r="C989" s="14" t="n"/>
      <c r="D989" s="15" t="n"/>
      <c r="E989" s="15" t="n"/>
      <c r="F989" s="16">
        <f>IF($E989="","",DATE(YEAR($E989),MONTH($E989),1))</f>
        <v/>
      </c>
      <c r="G989" s="14" t="n"/>
      <c r="H989" s="14" t="n"/>
      <c r="I989" s="14" t="n"/>
      <c r="J989" s="14" t="n"/>
      <c r="K989" s="17" t="n"/>
      <c r="L989" s="15" t="n"/>
      <c r="M989" s="14" t="n"/>
      <c r="N989" s="17" t="n"/>
      <c r="O989" s="17" t="n"/>
      <c r="P989" s="18" t="n"/>
      <c r="Q989" s="11">
        <f>IF($A989="","",IF($H989="Stock",IF($I989="Buy",-$M989*$N989-$P989,IF($I989="Sell",IF($N989="", $M989*$O989-$P989,($O989-$N989)*$M989-$P989),"")),IF($I989="Sell",($N989-IF($O989="",0,$O989))*$M989*100-$P989,IF($I989="Buy",(IF($O989="",0,$O989)-$N989)*$M989*100-$P989,""))))</f>
        <v/>
      </c>
      <c r="R989" s="11">
        <f>IF($A989="","",IF($C989="Open","",$Q989))</f>
        <v/>
      </c>
      <c r="S989" s="12">
        <f>IF($A989="","",IFS($B989="Covered Call","Covered Call Premium",$B989="Cash Secured Put","Cash Secured Put Premium",$B989="Long Call/Put","Long Call/Put P/L",$B989="Debit Spread","Long Call/Put P/L",$B989="Stock Sale","Stock Sales",TRUE,"Other"))</f>
        <v/>
      </c>
      <c r="T989" s="11">
        <f>IF($A989="","",IF($B989="Cash Secured Put",$K989*$M989*100,IF($B989="Covered Call",$K989*$M989*100,IF($H989="Stock",$M989*$N989,""))))</f>
        <v/>
      </c>
      <c r="U989" s="19">
        <f>IF(OR($A989="",$C989&lt;&gt;"Closed",$D989="",$E989="",$T989=0),"",$R989/$T989*365/MAX(1,$E989-$D989))</f>
        <v/>
      </c>
      <c r="V989" s="14" t="n"/>
      <c r="W989" s="12" t="n"/>
    </row>
    <row r="990">
      <c r="A990" s="12" t="n"/>
      <c r="B990" s="14" t="n"/>
      <c r="C990" s="14" t="n"/>
      <c r="D990" s="15" t="n"/>
      <c r="E990" s="15" t="n"/>
      <c r="F990" s="16">
        <f>IF($E990="","",DATE(YEAR($E990),MONTH($E990),1))</f>
        <v/>
      </c>
      <c r="G990" s="14" t="n"/>
      <c r="H990" s="14" t="n"/>
      <c r="I990" s="14" t="n"/>
      <c r="J990" s="14" t="n"/>
      <c r="K990" s="17" t="n"/>
      <c r="L990" s="15" t="n"/>
      <c r="M990" s="14" t="n"/>
      <c r="N990" s="17" t="n"/>
      <c r="O990" s="17" t="n"/>
      <c r="P990" s="18" t="n"/>
      <c r="Q990" s="11">
        <f>IF($A990="","",IF($H990="Stock",IF($I990="Buy",-$M990*$N990-$P990,IF($I990="Sell",IF($N990="", $M990*$O990-$P990,($O990-$N990)*$M990-$P990),"")),IF($I990="Sell",($N990-IF($O990="",0,$O990))*$M990*100-$P990,IF($I990="Buy",(IF($O990="",0,$O990)-$N990)*$M990*100-$P990,""))))</f>
        <v/>
      </c>
      <c r="R990" s="11">
        <f>IF($A990="","",IF($C990="Open","",$Q990))</f>
        <v/>
      </c>
      <c r="S990" s="12">
        <f>IF($A990="","",IFS($B990="Covered Call","Covered Call Premium",$B990="Cash Secured Put","Cash Secured Put Premium",$B990="Long Call/Put","Long Call/Put P/L",$B990="Debit Spread","Long Call/Put P/L",$B990="Stock Sale","Stock Sales",TRUE,"Other"))</f>
        <v/>
      </c>
      <c r="T990" s="11">
        <f>IF($A990="","",IF($B990="Cash Secured Put",$K990*$M990*100,IF($B990="Covered Call",$K990*$M990*100,IF($H990="Stock",$M990*$N990,""))))</f>
        <v/>
      </c>
      <c r="U990" s="19">
        <f>IF(OR($A990="",$C990&lt;&gt;"Closed",$D990="",$E990="",$T990=0),"",$R990/$T990*365/MAX(1,$E990-$D990))</f>
        <v/>
      </c>
      <c r="V990" s="14" t="n"/>
      <c r="W990" s="12" t="n"/>
    </row>
    <row r="991">
      <c r="A991" s="12" t="n"/>
      <c r="B991" s="14" t="n"/>
      <c r="C991" s="14" t="n"/>
      <c r="D991" s="15" t="n"/>
      <c r="E991" s="15" t="n"/>
      <c r="F991" s="16">
        <f>IF($E991="","",DATE(YEAR($E991),MONTH($E991),1))</f>
        <v/>
      </c>
      <c r="G991" s="14" t="n"/>
      <c r="H991" s="14" t="n"/>
      <c r="I991" s="14" t="n"/>
      <c r="J991" s="14" t="n"/>
      <c r="K991" s="17" t="n"/>
      <c r="L991" s="15" t="n"/>
      <c r="M991" s="14" t="n"/>
      <c r="N991" s="17" t="n"/>
      <c r="O991" s="17" t="n"/>
      <c r="P991" s="18" t="n"/>
      <c r="Q991" s="11">
        <f>IF($A991="","",IF($H991="Stock",IF($I991="Buy",-$M991*$N991-$P991,IF($I991="Sell",IF($N991="", $M991*$O991-$P991,($O991-$N991)*$M991-$P991),"")),IF($I991="Sell",($N991-IF($O991="",0,$O991))*$M991*100-$P991,IF($I991="Buy",(IF($O991="",0,$O991)-$N991)*$M991*100-$P991,""))))</f>
        <v/>
      </c>
      <c r="R991" s="11">
        <f>IF($A991="","",IF($C991="Open","",$Q991))</f>
        <v/>
      </c>
      <c r="S991" s="12">
        <f>IF($A991="","",IFS($B991="Covered Call","Covered Call Premium",$B991="Cash Secured Put","Cash Secured Put Premium",$B991="Long Call/Put","Long Call/Put P/L",$B991="Debit Spread","Long Call/Put P/L",$B991="Stock Sale","Stock Sales",TRUE,"Other"))</f>
        <v/>
      </c>
      <c r="T991" s="11">
        <f>IF($A991="","",IF($B991="Cash Secured Put",$K991*$M991*100,IF($B991="Covered Call",$K991*$M991*100,IF($H991="Stock",$M991*$N991,""))))</f>
        <v/>
      </c>
      <c r="U991" s="19">
        <f>IF(OR($A991="",$C991&lt;&gt;"Closed",$D991="",$E991="",$T991=0),"",$R991/$T991*365/MAX(1,$E991-$D991))</f>
        <v/>
      </c>
      <c r="V991" s="14" t="n"/>
      <c r="W991" s="12" t="n"/>
    </row>
    <row r="992">
      <c r="A992" s="12" t="n"/>
      <c r="B992" s="14" t="n"/>
      <c r="C992" s="14" t="n"/>
      <c r="D992" s="15" t="n"/>
      <c r="E992" s="15" t="n"/>
      <c r="F992" s="16">
        <f>IF($E992="","",DATE(YEAR($E992),MONTH($E992),1))</f>
        <v/>
      </c>
      <c r="G992" s="14" t="n"/>
      <c r="H992" s="14" t="n"/>
      <c r="I992" s="14" t="n"/>
      <c r="J992" s="14" t="n"/>
      <c r="K992" s="17" t="n"/>
      <c r="L992" s="15" t="n"/>
      <c r="M992" s="14" t="n"/>
      <c r="N992" s="17" t="n"/>
      <c r="O992" s="17" t="n"/>
      <c r="P992" s="18" t="n"/>
      <c r="Q992" s="11">
        <f>IF($A992="","",IF($H992="Stock",IF($I992="Buy",-$M992*$N992-$P992,IF($I992="Sell",IF($N992="", $M992*$O992-$P992,($O992-$N992)*$M992-$P992),"")),IF($I992="Sell",($N992-IF($O992="",0,$O992))*$M992*100-$P992,IF($I992="Buy",(IF($O992="",0,$O992)-$N992)*$M992*100-$P992,""))))</f>
        <v/>
      </c>
      <c r="R992" s="11">
        <f>IF($A992="","",IF($C992="Open","",$Q992))</f>
        <v/>
      </c>
      <c r="S992" s="12">
        <f>IF($A992="","",IFS($B992="Covered Call","Covered Call Premium",$B992="Cash Secured Put","Cash Secured Put Premium",$B992="Long Call/Put","Long Call/Put P/L",$B992="Debit Spread","Long Call/Put P/L",$B992="Stock Sale","Stock Sales",TRUE,"Other"))</f>
        <v/>
      </c>
      <c r="T992" s="11">
        <f>IF($A992="","",IF($B992="Cash Secured Put",$K992*$M992*100,IF($B992="Covered Call",$K992*$M992*100,IF($H992="Stock",$M992*$N992,""))))</f>
        <v/>
      </c>
      <c r="U992" s="19">
        <f>IF(OR($A992="",$C992&lt;&gt;"Closed",$D992="",$E992="",$T992=0),"",$R992/$T992*365/MAX(1,$E992-$D992))</f>
        <v/>
      </c>
      <c r="V992" s="14" t="n"/>
      <c r="W992" s="12" t="n"/>
    </row>
    <row r="993">
      <c r="A993" s="12" t="n"/>
      <c r="B993" s="14" t="n"/>
      <c r="C993" s="14" t="n"/>
      <c r="D993" s="15" t="n"/>
      <c r="E993" s="15" t="n"/>
      <c r="F993" s="16">
        <f>IF($E993="","",DATE(YEAR($E993),MONTH($E993),1))</f>
        <v/>
      </c>
      <c r="G993" s="14" t="n"/>
      <c r="H993" s="14" t="n"/>
      <c r="I993" s="14" t="n"/>
      <c r="J993" s="14" t="n"/>
      <c r="K993" s="17" t="n"/>
      <c r="L993" s="15" t="n"/>
      <c r="M993" s="14" t="n"/>
      <c r="N993" s="17" t="n"/>
      <c r="O993" s="17" t="n"/>
      <c r="P993" s="18" t="n"/>
      <c r="Q993" s="11">
        <f>IF($A993="","",IF($H993="Stock",IF($I993="Buy",-$M993*$N993-$P993,IF($I993="Sell",IF($N993="", $M993*$O993-$P993,($O993-$N993)*$M993-$P993),"")),IF($I993="Sell",($N993-IF($O993="",0,$O993))*$M993*100-$P993,IF($I993="Buy",(IF($O993="",0,$O993)-$N993)*$M993*100-$P993,""))))</f>
        <v/>
      </c>
      <c r="R993" s="11">
        <f>IF($A993="","",IF($C993="Open","",$Q993))</f>
        <v/>
      </c>
      <c r="S993" s="12">
        <f>IF($A993="","",IFS($B993="Covered Call","Covered Call Premium",$B993="Cash Secured Put","Cash Secured Put Premium",$B993="Long Call/Put","Long Call/Put P/L",$B993="Debit Spread","Long Call/Put P/L",$B993="Stock Sale","Stock Sales",TRUE,"Other"))</f>
        <v/>
      </c>
      <c r="T993" s="11">
        <f>IF($A993="","",IF($B993="Cash Secured Put",$K993*$M993*100,IF($B993="Covered Call",$K993*$M993*100,IF($H993="Stock",$M993*$N993,""))))</f>
        <v/>
      </c>
      <c r="U993" s="19">
        <f>IF(OR($A993="",$C993&lt;&gt;"Closed",$D993="",$E993="",$T993=0),"",$R993/$T993*365/MAX(1,$E993-$D993))</f>
        <v/>
      </c>
      <c r="V993" s="14" t="n"/>
      <c r="W993" s="12" t="n"/>
    </row>
    <row r="994">
      <c r="A994" s="12" t="n"/>
      <c r="B994" s="14" t="n"/>
      <c r="C994" s="14" t="n"/>
      <c r="D994" s="15" t="n"/>
      <c r="E994" s="15" t="n"/>
      <c r="F994" s="16">
        <f>IF($E994="","",DATE(YEAR($E994),MONTH($E994),1))</f>
        <v/>
      </c>
      <c r="G994" s="14" t="n"/>
      <c r="H994" s="14" t="n"/>
      <c r="I994" s="14" t="n"/>
      <c r="J994" s="14" t="n"/>
      <c r="K994" s="17" t="n"/>
      <c r="L994" s="15" t="n"/>
      <c r="M994" s="14" t="n"/>
      <c r="N994" s="17" t="n"/>
      <c r="O994" s="17" t="n"/>
      <c r="P994" s="18" t="n"/>
      <c r="Q994" s="11">
        <f>IF($A994="","",IF($H994="Stock",IF($I994="Buy",-$M994*$N994-$P994,IF($I994="Sell",IF($N994="", $M994*$O994-$P994,($O994-$N994)*$M994-$P994),"")),IF($I994="Sell",($N994-IF($O994="",0,$O994))*$M994*100-$P994,IF($I994="Buy",(IF($O994="",0,$O994)-$N994)*$M994*100-$P994,""))))</f>
        <v/>
      </c>
      <c r="R994" s="11">
        <f>IF($A994="","",IF($C994="Open","",$Q994))</f>
        <v/>
      </c>
      <c r="S994" s="12">
        <f>IF($A994="","",IFS($B994="Covered Call","Covered Call Premium",$B994="Cash Secured Put","Cash Secured Put Premium",$B994="Long Call/Put","Long Call/Put P/L",$B994="Debit Spread","Long Call/Put P/L",$B994="Stock Sale","Stock Sales",TRUE,"Other"))</f>
        <v/>
      </c>
      <c r="T994" s="11">
        <f>IF($A994="","",IF($B994="Cash Secured Put",$K994*$M994*100,IF($B994="Covered Call",$K994*$M994*100,IF($H994="Stock",$M994*$N994,""))))</f>
        <v/>
      </c>
      <c r="U994" s="19">
        <f>IF(OR($A994="",$C994&lt;&gt;"Closed",$D994="",$E994="",$T994=0),"",$R994/$T994*365/MAX(1,$E994-$D994))</f>
        <v/>
      </c>
      <c r="V994" s="14" t="n"/>
      <c r="W994" s="12" t="n"/>
    </row>
    <row r="995">
      <c r="A995" s="12" t="n"/>
      <c r="B995" s="14" t="n"/>
      <c r="C995" s="14" t="n"/>
      <c r="D995" s="15" t="n"/>
      <c r="E995" s="15" t="n"/>
      <c r="F995" s="16">
        <f>IF($E995="","",DATE(YEAR($E995),MONTH($E995),1))</f>
        <v/>
      </c>
      <c r="G995" s="14" t="n"/>
      <c r="H995" s="14" t="n"/>
      <c r="I995" s="14" t="n"/>
      <c r="J995" s="14" t="n"/>
      <c r="K995" s="17" t="n"/>
      <c r="L995" s="15" t="n"/>
      <c r="M995" s="14" t="n"/>
      <c r="N995" s="17" t="n"/>
      <c r="O995" s="17" t="n"/>
      <c r="P995" s="18" t="n"/>
      <c r="Q995" s="11">
        <f>IF($A995="","",IF($H995="Stock",IF($I995="Buy",-$M995*$N995-$P995,IF($I995="Sell",IF($N995="", $M995*$O995-$P995,($O995-$N995)*$M995-$P995),"")),IF($I995="Sell",($N995-IF($O995="",0,$O995))*$M995*100-$P995,IF($I995="Buy",(IF($O995="",0,$O995)-$N995)*$M995*100-$P995,""))))</f>
        <v/>
      </c>
      <c r="R995" s="11">
        <f>IF($A995="","",IF($C995="Open","",$Q995))</f>
        <v/>
      </c>
      <c r="S995" s="12">
        <f>IF($A995="","",IFS($B995="Covered Call","Covered Call Premium",$B995="Cash Secured Put","Cash Secured Put Premium",$B995="Long Call/Put","Long Call/Put P/L",$B995="Debit Spread","Long Call/Put P/L",$B995="Stock Sale","Stock Sales",TRUE,"Other"))</f>
        <v/>
      </c>
      <c r="T995" s="11">
        <f>IF($A995="","",IF($B995="Cash Secured Put",$K995*$M995*100,IF($B995="Covered Call",$K995*$M995*100,IF($H995="Stock",$M995*$N995,""))))</f>
        <v/>
      </c>
      <c r="U995" s="19">
        <f>IF(OR($A995="",$C995&lt;&gt;"Closed",$D995="",$E995="",$T995=0),"",$R995/$T995*365/MAX(1,$E995-$D995))</f>
        <v/>
      </c>
      <c r="V995" s="14" t="n"/>
      <c r="W995" s="12" t="n"/>
    </row>
    <row r="996">
      <c r="A996" s="12" t="n"/>
      <c r="B996" s="14" t="n"/>
      <c r="C996" s="14" t="n"/>
      <c r="D996" s="15" t="n"/>
      <c r="E996" s="15" t="n"/>
      <c r="F996" s="16">
        <f>IF($E996="","",DATE(YEAR($E996),MONTH($E996),1))</f>
        <v/>
      </c>
      <c r="G996" s="14" t="n"/>
      <c r="H996" s="14" t="n"/>
      <c r="I996" s="14" t="n"/>
      <c r="J996" s="14" t="n"/>
      <c r="K996" s="17" t="n"/>
      <c r="L996" s="15" t="n"/>
      <c r="M996" s="14" t="n"/>
      <c r="N996" s="17" t="n"/>
      <c r="O996" s="17" t="n"/>
      <c r="P996" s="18" t="n"/>
      <c r="Q996" s="11">
        <f>IF($A996="","",IF($H996="Stock",IF($I996="Buy",-$M996*$N996-$P996,IF($I996="Sell",IF($N996="", $M996*$O996-$P996,($O996-$N996)*$M996-$P996),"")),IF($I996="Sell",($N996-IF($O996="",0,$O996))*$M996*100-$P996,IF($I996="Buy",(IF($O996="",0,$O996)-$N996)*$M996*100-$P996,""))))</f>
        <v/>
      </c>
      <c r="R996" s="11">
        <f>IF($A996="","",IF($C996="Open","",$Q996))</f>
        <v/>
      </c>
      <c r="S996" s="12">
        <f>IF($A996="","",IFS($B996="Covered Call","Covered Call Premium",$B996="Cash Secured Put","Cash Secured Put Premium",$B996="Long Call/Put","Long Call/Put P/L",$B996="Debit Spread","Long Call/Put P/L",$B996="Stock Sale","Stock Sales",TRUE,"Other"))</f>
        <v/>
      </c>
      <c r="T996" s="11">
        <f>IF($A996="","",IF($B996="Cash Secured Put",$K996*$M996*100,IF($B996="Covered Call",$K996*$M996*100,IF($H996="Stock",$M996*$N996,""))))</f>
        <v/>
      </c>
      <c r="U996" s="19">
        <f>IF(OR($A996="",$C996&lt;&gt;"Closed",$D996="",$E996="",$T996=0),"",$R996/$T996*365/MAX(1,$E996-$D996))</f>
        <v/>
      </c>
      <c r="V996" s="14" t="n"/>
      <c r="W996" s="12" t="n"/>
    </row>
    <row r="997">
      <c r="A997" s="12" t="n"/>
      <c r="B997" s="14" t="n"/>
      <c r="C997" s="14" t="n"/>
      <c r="D997" s="15" t="n"/>
      <c r="E997" s="15" t="n"/>
      <c r="F997" s="16">
        <f>IF($E997="","",DATE(YEAR($E997),MONTH($E997),1))</f>
        <v/>
      </c>
      <c r="G997" s="14" t="n"/>
      <c r="H997" s="14" t="n"/>
      <c r="I997" s="14" t="n"/>
      <c r="J997" s="14" t="n"/>
      <c r="K997" s="17" t="n"/>
      <c r="L997" s="15" t="n"/>
      <c r="M997" s="14" t="n"/>
      <c r="N997" s="17" t="n"/>
      <c r="O997" s="17" t="n"/>
      <c r="P997" s="18" t="n"/>
      <c r="Q997" s="11">
        <f>IF($A997="","",IF($H997="Stock",IF($I997="Buy",-$M997*$N997-$P997,IF($I997="Sell",IF($N997="", $M997*$O997-$P997,($O997-$N997)*$M997-$P997),"")),IF($I997="Sell",($N997-IF($O997="",0,$O997))*$M997*100-$P997,IF($I997="Buy",(IF($O997="",0,$O997)-$N997)*$M997*100-$P997,""))))</f>
        <v/>
      </c>
      <c r="R997" s="11">
        <f>IF($A997="","",IF($C997="Open","",$Q997))</f>
        <v/>
      </c>
      <c r="S997" s="12">
        <f>IF($A997="","",IFS($B997="Covered Call","Covered Call Premium",$B997="Cash Secured Put","Cash Secured Put Premium",$B997="Long Call/Put","Long Call/Put P/L",$B997="Debit Spread","Long Call/Put P/L",$B997="Stock Sale","Stock Sales",TRUE,"Other"))</f>
        <v/>
      </c>
      <c r="T997" s="11">
        <f>IF($A997="","",IF($B997="Cash Secured Put",$K997*$M997*100,IF($B997="Covered Call",$K997*$M997*100,IF($H997="Stock",$M997*$N997,""))))</f>
        <v/>
      </c>
      <c r="U997" s="19">
        <f>IF(OR($A997="",$C997&lt;&gt;"Closed",$D997="",$E997="",$T997=0),"",$R997/$T997*365/MAX(1,$E997-$D997))</f>
        <v/>
      </c>
      <c r="V997" s="14" t="n"/>
      <c r="W997" s="12" t="n"/>
    </row>
    <row r="998">
      <c r="A998" s="12" t="n"/>
      <c r="B998" s="14" t="n"/>
      <c r="C998" s="14" t="n"/>
      <c r="D998" s="15" t="n"/>
      <c r="E998" s="15" t="n"/>
      <c r="F998" s="16">
        <f>IF($E998="","",DATE(YEAR($E998),MONTH($E998),1))</f>
        <v/>
      </c>
      <c r="G998" s="14" t="n"/>
      <c r="H998" s="14" t="n"/>
      <c r="I998" s="14" t="n"/>
      <c r="J998" s="14" t="n"/>
      <c r="K998" s="17" t="n"/>
      <c r="L998" s="15" t="n"/>
      <c r="M998" s="14" t="n"/>
      <c r="N998" s="17" t="n"/>
      <c r="O998" s="17" t="n"/>
      <c r="P998" s="18" t="n"/>
      <c r="Q998" s="11">
        <f>IF($A998="","",IF($H998="Stock",IF($I998="Buy",-$M998*$N998-$P998,IF($I998="Sell",IF($N998="", $M998*$O998-$P998,($O998-$N998)*$M998-$P998),"")),IF($I998="Sell",($N998-IF($O998="",0,$O998))*$M998*100-$P998,IF($I998="Buy",(IF($O998="",0,$O998)-$N998)*$M998*100-$P998,""))))</f>
        <v/>
      </c>
      <c r="R998" s="11">
        <f>IF($A998="","",IF($C998="Open","",$Q998))</f>
        <v/>
      </c>
      <c r="S998" s="12">
        <f>IF($A998="","",IFS($B998="Covered Call","Covered Call Premium",$B998="Cash Secured Put","Cash Secured Put Premium",$B998="Long Call/Put","Long Call/Put P/L",$B998="Debit Spread","Long Call/Put P/L",$B998="Stock Sale","Stock Sales",TRUE,"Other"))</f>
        <v/>
      </c>
      <c r="T998" s="11">
        <f>IF($A998="","",IF($B998="Cash Secured Put",$K998*$M998*100,IF($B998="Covered Call",$K998*$M998*100,IF($H998="Stock",$M998*$N998,""))))</f>
        <v/>
      </c>
      <c r="U998" s="19">
        <f>IF(OR($A998="",$C998&lt;&gt;"Closed",$D998="",$E998="",$T998=0),"",$R998/$T998*365/MAX(1,$E998-$D998))</f>
        <v/>
      </c>
      <c r="V998" s="14" t="n"/>
      <c r="W998" s="12" t="n"/>
    </row>
    <row r="999">
      <c r="A999" s="12" t="n"/>
      <c r="B999" s="14" t="n"/>
      <c r="C999" s="14" t="n"/>
      <c r="D999" s="15" t="n"/>
      <c r="E999" s="15" t="n"/>
      <c r="F999" s="16">
        <f>IF($E999="","",DATE(YEAR($E999),MONTH($E999),1))</f>
        <v/>
      </c>
      <c r="G999" s="14" t="n"/>
      <c r="H999" s="14" t="n"/>
      <c r="I999" s="14" t="n"/>
      <c r="J999" s="14" t="n"/>
      <c r="K999" s="17" t="n"/>
      <c r="L999" s="15" t="n"/>
      <c r="M999" s="14" t="n"/>
      <c r="N999" s="17" t="n"/>
      <c r="O999" s="17" t="n"/>
      <c r="P999" s="18" t="n"/>
      <c r="Q999" s="11">
        <f>IF($A999="","",IF($H999="Stock",IF($I999="Buy",-$M999*$N999-$P999,IF($I999="Sell",IF($N999="", $M999*$O999-$P999,($O999-$N999)*$M999-$P999),"")),IF($I999="Sell",($N999-IF($O999="",0,$O999))*$M999*100-$P999,IF($I999="Buy",(IF($O999="",0,$O999)-$N999)*$M999*100-$P999,""))))</f>
        <v/>
      </c>
      <c r="R999" s="11">
        <f>IF($A999="","",IF($C999="Open","",$Q999))</f>
        <v/>
      </c>
      <c r="S999" s="12">
        <f>IF($A999="","",IFS($B999="Covered Call","Covered Call Premium",$B999="Cash Secured Put","Cash Secured Put Premium",$B999="Long Call/Put","Long Call/Put P/L",$B999="Debit Spread","Long Call/Put P/L",$B999="Stock Sale","Stock Sales",TRUE,"Other"))</f>
        <v/>
      </c>
      <c r="T999" s="11">
        <f>IF($A999="","",IF($B999="Cash Secured Put",$K999*$M999*100,IF($B999="Covered Call",$K999*$M999*100,IF($H999="Stock",$M999*$N999,""))))</f>
        <v/>
      </c>
      <c r="U999" s="19">
        <f>IF(OR($A999="",$C999&lt;&gt;"Closed",$D999="",$E999="",$T999=0),"",$R999/$T999*365/MAX(1,$E999-$D999))</f>
        <v/>
      </c>
      <c r="V999" s="14" t="n"/>
      <c r="W999" s="12" t="n"/>
    </row>
    <row r="1000">
      <c r="A1000" s="12" t="n"/>
      <c r="B1000" s="14" t="n"/>
      <c r="C1000" s="14" t="n"/>
      <c r="D1000" s="15" t="n"/>
      <c r="E1000" s="15" t="n"/>
      <c r="F1000" s="16">
        <f>IF($E1000="","",DATE(YEAR($E1000),MONTH($E1000),1))</f>
        <v/>
      </c>
      <c r="G1000" s="14" t="n"/>
      <c r="H1000" s="14" t="n"/>
      <c r="I1000" s="14" t="n"/>
      <c r="J1000" s="14" t="n"/>
      <c r="K1000" s="17" t="n"/>
      <c r="L1000" s="15" t="n"/>
      <c r="M1000" s="14" t="n"/>
      <c r="N1000" s="17" t="n"/>
      <c r="O1000" s="17" t="n"/>
      <c r="P1000" s="18" t="n"/>
      <c r="Q1000" s="11">
        <f>IF($A1000="","",IF($H1000="Stock",IF($I1000="Buy",-$M1000*$N1000-$P1000,IF($I1000="Sell",IF($N1000="", $M1000*$O1000-$P1000,($O1000-$N1000)*$M1000-$P1000),"")),IF($I1000="Sell",($N1000-IF($O1000="",0,$O1000))*$M1000*100-$P1000,IF($I1000="Buy",(IF($O1000="",0,$O1000)-$N1000)*$M1000*100-$P1000,""))))</f>
        <v/>
      </c>
      <c r="R1000" s="11">
        <f>IF($A1000="","",IF($C1000="Open","",$Q1000))</f>
        <v/>
      </c>
      <c r="S1000" s="12">
        <f>IF($A1000="","",IFS($B1000="Covered Call","Covered Call Premium",$B1000="Cash Secured Put","Cash Secured Put Premium",$B1000="Long Call/Put","Long Call/Put P/L",$B1000="Debit Spread","Long Call/Put P/L",$B1000="Stock Sale","Stock Sales",TRUE,"Other"))</f>
        <v/>
      </c>
      <c r="T1000" s="11">
        <f>IF($A1000="","",IF($B1000="Cash Secured Put",$K1000*$M1000*100,IF($B1000="Covered Call",$K1000*$M1000*100,IF($H1000="Stock",$M1000*$N1000,""))))</f>
        <v/>
      </c>
      <c r="U1000" s="19">
        <f>IF(OR($A1000="",$C1000&lt;&gt;"Closed",$D1000="",$E1000="",$T1000=0),"",$R1000/$T1000*365/MAX(1,$E1000-$D1000))</f>
        <v/>
      </c>
      <c r="V1000" s="14" t="n"/>
      <c r="W1000" s="12" t="n"/>
    </row>
    <row r="1001">
      <c r="A1001" s="12" t="n"/>
      <c r="B1001" s="14" t="n"/>
      <c r="C1001" s="14" t="n"/>
      <c r="D1001" s="15" t="n"/>
      <c r="E1001" s="15" t="n"/>
      <c r="F1001" s="16">
        <f>IF($E1001="","",DATE(YEAR($E1001),MONTH($E1001),1))</f>
        <v/>
      </c>
      <c r="G1001" s="14" t="n"/>
      <c r="H1001" s="14" t="n"/>
      <c r="I1001" s="14" t="n"/>
      <c r="J1001" s="14" t="n"/>
      <c r="K1001" s="17" t="n"/>
      <c r="L1001" s="15" t="n"/>
      <c r="M1001" s="14" t="n"/>
      <c r="N1001" s="17" t="n"/>
      <c r="O1001" s="17" t="n"/>
      <c r="P1001" s="18" t="n"/>
      <c r="Q1001" s="11">
        <f>IF($A1001="","",IF($H1001="Stock",IF($I1001="Buy",-$M1001*$N1001-$P1001,IF($I1001="Sell",IF($N1001="", $M1001*$O1001-$P1001,($O1001-$N1001)*$M1001-$P1001),"")),IF($I1001="Sell",($N1001-IF($O1001="",0,$O1001))*$M1001*100-$P1001,IF($I1001="Buy",(IF($O1001="",0,$O1001)-$N1001)*$M1001*100-$P1001,""))))</f>
        <v/>
      </c>
      <c r="R1001" s="11">
        <f>IF($A1001="","",IF($C1001="Open","",$Q1001))</f>
        <v/>
      </c>
      <c r="S1001" s="12">
        <f>IF($A1001="","",IFS($B1001="Covered Call","Covered Call Premium",$B1001="Cash Secured Put","Cash Secured Put Premium",$B1001="Long Call/Put","Long Call/Put P/L",$B1001="Debit Spread","Long Call/Put P/L",$B1001="Stock Sale","Stock Sales",TRUE,"Other"))</f>
        <v/>
      </c>
      <c r="T1001" s="11">
        <f>IF($A1001="","",IF($B1001="Cash Secured Put",$K1001*$M1001*100,IF($B1001="Covered Call",$K1001*$M1001*100,IF($H1001="Stock",$M1001*$N1001,""))))</f>
        <v/>
      </c>
      <c r="U1001" s="19">
        <f>IF(OR($A1001="",$C1001&lt;&gt;"Closed",$D1001="",$E1001="",$T1001=0),"",$R1001/$T1001*365/MAX(1,$E1001-$D1001))</f>
        <v/>
      </c>
      <c r="V1001" s="14" t="n"/>
      <c r="W1001" s="12" t="n"/>
    </row>
    <row r="1002">
      <c r="A1002" s="12" t="n"/>
      <c r="B1002" s="14" t="n"/>
      <c r="C1002" s="14" t="n"/>
      <c r="D1002" s="15" t="n"/>
      <c r="E1002" s="15" t="n"/>
      <c r="F1002" s="16">
        <f>IF($E1002="","",DATE(YEAR($E1002),MONTH($E1002),1))</f>
        <v/>
      </c>
      <c r="G1002" s="14" t="n"/>
      <c r="H1002" s="14" t="n"/>
      <c r="I1002" s="14" t="n"/>
      <c r="J1002" s="14" t="n"/>
      <c r="K1002" s="17" t="n"/>
      <c r="L1002" s="15" t="n"/>
      <c r="M1002" s="14" t="n"/>
      <c r="N1002" s="17" t="n"/>
      <c r="O1002" s="17" t="n"/>
      <c r="P1002" s="18" t="n"/>
      <c r="Q1002" s="11">
        <f>IF($A1002="","",IF($H1002="Stock",IF($I1002="Buy",-$M1002*$N1002-$P1002,IF($I1002="Sell",IF($N1002="", $M1002*$O1002-$P1002,($O1002-$N1002)*$M1002-$P1002),"")),IF($I1002="Sell",($N1002-IF($O1002="",0,$O1002))*$M1002*100-$P1002,IF($I1002="Buy",(IF($O1002="",0,$O1002)-$N1002)*$M1002*100-$P1002,""))))</f>
        <v/>
      </c>
      <c r="R1002" s="11">
        <f>IF($A1002="","",IF($C1002="Open","",$Q1002))</f>
        <v/>
      </c>
      <c r="S1002" s="12">
        <f>IF($A1002="","",IFS($B1002="Covered Call","Covered Call Premium",$B1002="Cash Secured Put","Cash Secured Put Premium",$B1002="Long Call/Put","Long Call/Put P/L",$B1002="Debit Spread","Long Call/Put P/L",$B1002="Stock Sale","Stock Sales",TRUE,"Other"))</f>
        <v/>
      </c>
      <c r="T1002" s="11">
        <f>IF($A1002="","",IF($B1002="Cash Secured Put",$K1002*$M1002*100,IF($B1002="Covered Call",$K1002*$M1002*100,IF($H1002="Stock",$M1002*$N1002,""))))</f>
        <v/>
      </c>
      <c r="U1002" s="19">
        <f>IF(OR($A1002="",$C1002&lt;&gt;"Closed",$D1002="",$E1002="",$T1002=0),"",$R1002/$T1002*365/MAX(1,$E1002-$D1002))</f>
        <v/>
      </c>
      <c r="V1002" s="14" t="n"/>
      <c r="W1002" s="12" t="n"/>
    </row>
    <row r="1003">
      <c r="A1003" s="12" t="n"/>
      <c r="B1003" s="14" t="n"/>
      <c r="C1003" s="14" t="n"/>
      <c r="D1003" s="15" t="n"/>
      <c r="E1003" s="15" t="n"/>
      <c r="F1003" s="16">
        <f>IF($E1003="","",DATE(YEAR($E1003),MONTH($E1003),1))</f>
        <v/>
      </c>
      <c r="G1003" s="14" t="n"/>
      <c r="H1003" s="14" t="n"/>
      <c r="I1003" s="14" t="n"/>
      <c r="J1003" s="14" t="n"/>
      <c r="K1003" s="17" t="n"/>
      <c r="L1003" s="15" t="n"/>
      <c r="M1003" s="14" t="n"/>
      <c r="N1003" s="17" t="n"/>
      <c r="O1003" s="17" t="n"/>
      <c r="P1003" s="18" t="n"/>
      <c r="Q1003" s="11">
        <f>IF($A1003="","",IF($H1003="Stock",IF($I1003="Buy",-$M1003*$N1003-$P1003,IF($I1003="Sell",IF($N1003="", $M1003*$O1003-$P1003,($O1003-$N1003)*$M1003-$P1003),"")),IF($I1003="Sell",($N1003-IF($O1003="",0,$O1003))*$M1003*100-$P1003,IF($I1003="Buy",(IF($O1003="",0,$O1003)-$N1003)*$M1003*100-$P1003,""))))</f>
        <v/>
      </c>
      <c r="R1003" s="11">
        <f>IF($A1003="","",IF($C1003="Open","",$Q1003))</f>
        <v/>
      </c>
      <c r="S1003" s="12">
        <f>IF($A1003="","",IFS($B1003="Covered Call","Covered Call Premium",$B1003="Cash Secured Put","Cash Secured Put Premium",$B1003="Long Call/Put","Long Call/Put P/L",$B1003="Debit Spread","Long Call/Put P/L",$B1003="Stock Sale","Stock Sales",TRUE,"Other"))</f>
        <v/>
      </c>
      <c r="T1003" s="11">
        <f>IF($A1003="","",IF($B1003="Cash Secured Put",$K1003*$M1003*100,IF($B1003="Covered Call",$K1003*$M1003*100,IF($H1003="Stock",$M1003*$N1003,""))))</f>
        <v/>
      </c>
      <c r="U1003" s="19">
        <f>IF(OR($A1003="",$C1003&lt;&gt;"Closed",$D1003="",$E1003="",$T1003=0),"",$R1003/$T1003*365/MAX(1,$E1003-$D1003))</f>
        <v/>
      </c>
      <c r="V1003" s="14" t="n"/>
      <c r="W1003" s="12" t="n"/>
    </row>
    <row r="1004">
      <c r="A1004" s="12" t="n"/>
      <c r="B1004" s="14" t="n"/>
      <c r="C1004" s="14" t="n"/>
      <c r="D1004" s="15" t="n"/>
      <c r="E1004" s="15" t="n"/>
      <c r="F1004" s="16">
        <f>IF($E1004="","",DATE(YEAR($E1004),MONTH($E1004),1))</f>
        <v/>
      </c>
      <c r="G1004" s="14" t="n"/>
      <c r="H1004" s="14" t="n"/>
      <c r="I1004" s="14" t="n"/>
      <c r="J1004" s="14" t="n"/>
      <c r="K1004" s="17" t="n"/>
      <c r="L1004" s="15" t="n"/>
      <c r="M1004" s="14" t="n"/>
      <c r="N1004" s="17" t="n"/>
      <c r="O1004" s="17" t="n"/>
      <c r="P1004" s="18" t="n"/>
      <c r="Q1004" s="11">
        <f>IF($A1004="","",IF($H1004="Stock",IF($I1004="Buy",-$M1004*$N1004-$P1004,IF($I1004="Sell",IF($N1004="", $M1004*$O1004-$P1004,($O1004-$N1004)*$M1004-$P1004),"")),IF($I1004="Sell",($N1004-IF($O1004="",0,$O1004))*$M1004*100-$P1004,IF($I1004="Buy",(IF($O1004="",0,$O1004)-$N1004)*$M1004*100-$P1004,""))))</f>
        <v/>
      </c>
      <c r="R1004" s="11">
        <f>IF($A1004="","",IF($C1004="Open","",$Q1004))</f>
        <v/>
      </c>
      <c r="S1004" s="12">
        <f>IF($A1004="","",IFS($B1004="Covered Call","Covered Call Premium",$B1004="Cash Secured Put","Cash Secured Put Premium",$B1004="Long Call/Put","Long Call/Put P/L",$B1004="Debit Spread","Long Call/Put P/L",$B1004="Stock Sale","Stock Sales",TRUE,"Other"))</f>
        <v/>
      </c>
      <c r="T1004" s="11">
        <f>IF($A1004="","",IF($B1004="Cash Secured Put",$K1004*$M1004*100,IF($B1004="Covered Call",$K1004*$M1004*100,IF($H1004="Stock",$M1004*$N1004,""))))</f>
        <v/>
      </c>
      <c r="U1004" s="19">
        <f>IF(OR($A1004="",$C1004&lt;&gt;"Closed",$D1004="",$E1004="",$T1004=0),"",$R1004/$T1004*365/MAX(1,$E1004-$D1004))</f>
        <v/>
      </c>
      <c r="V1004" s="14" t="n"/>
      <c r="W1004" s="12" t="n"/>
    </row>
  </sheetData>
  <mergeCells count="2">
    <mergeCell ref="A2:W2"/>
    <mergeCell ref="A1:W1"/>
  </mergeCells>
  <conditionalFormatting sqref="R5:R1004">
    <cfRule type="cellIs" priority="1" operator="lessThan" dxfId="0">
      <formula>0</formula>
    </cfRule>
    <cfRule type="cellIs" priority="2" operator="greaterThan" dxfId="1">
      <formula>0</formula>
    </cfRule>
  </conditionalFormatting>
  <dataValidations count="5">
    <dataValidation sqref="B5:B1004" showDropDown="0" showInputMessage="0" showErrorMessage="0" allowBlank="1" type="list">
      <formula1>"Covered Call,Cash Secured Put,Long Call/Put,Debit Spread,Stock Sale,Stock Buy,Other"</formula1>
    </dataValidation>
    <dataValidation sqref="C5:C1004" showDropDown="0" showInputMessage="0" showErrorMessage="0" allowBlank="1" type="list">
      <formula1>"Open,Closed,Expired,Assigned,Rolled,Watch"</formula1>
    </dataValidation>
    <dataValidation sqref="H5:H1004" showDropDown="0" showInputMessage="0" showErrorMessage="0" allowBlank="1" type="list">
      <formula1>"Stock,Option,Option Spread,Cash"</formula1>
    </dataValidation>
    <dataValidation sqref="I5:I1004" showDropDown="0" showInputMessage="0" showErrorMessage="0" allowBlank="1" type="list">
      <formula1>"Buy,Sell,Expire,Assign"</formula1>
    </dataValidation>
    <dataValidation sqref="J5:J1004" showDropDown="0" showInputMessage="0" showErrorMessage="0" allowBlank="1" type="list">
      <formula1>"Call,Put,"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1" customWidth="1" min="3" max="3"/>
    <col width="14" customWidth="1" min="4" max="4"/>
    <col width="11" customWidth="1" min="5" max="5"/>
    <col width="16" customWidth="1" min="6" max="6"/>
    <col width="12" customWidth="1" min="7" max="7"/>
    <col width="12" customWidth="1" min="8" max="8"/>
    <col width="12" customWidth="1" min="9" max="9"/>
    <col width="16" customWidth="1" min="10" max="10"/>
    <col width="13" customWidth="1" min="11" max="11"/>
    <col width="18" customWidth="1" min="12" max="12"/>
    <col width="19" customWidth="1" min="13" max="13"/>
    <col width="15" customWidth="1" min="14" max="14"/>
    <col width="22" customWidth="1" min="15" max="15"/>
    <col width="18" customWidth="1" min="16" max="16"/>
    <col width="48" customWidth="1" min="17" max="17"/>
    <col width="22" customWidth="1" min="18" max="18"/>
  </cols>
  <sheetData>
    <row r="1" ht="28" customHeight="1">
      <c r="A1" s="1" t="inlineStr">
        <is>
          <t>Current Options Positions</t>
        </is>
      </c>
    </row>
    <row r="2" ht="34" customHeight="1">
      <c r="A2" s="2" t="inlineStr">
        <is>
          <t>Open option positions from Robinhood screenshots. Positive quantity/market value indicates long exposure; negative market value indicates short option liability.</t>
        </is>
      </c>
    </row>
    <row r="4">
      <c r="A4" s="9" t="inlineStr">
        <is>
          <t>Ticker</t>
        </is>
      </c>
      <c r="B4" s="9" t="inlineStr">
        <is>
          <t>Structure</t>
        </is>
      </c>
      <c r="C4" s="9" t="inlineStr">
        <is>
          <t>Long/Short</t>
        </is>
      </c>
      <c r="D4" s="9" t="inlineStr">
        <is>
          <t>Contracts / Qty</t>
        </is>
      </c>
      <c r="E4" s="9" t="inlineStr">
        <is>
          <t>Option Type</t>
        </is>
      </c>
      <c r="F4" s="9" t="inlineStr">
        <is>
          <t>Strike / Lower Strike</t>
        </is>
      </c>
      <c r="G4" s="9" t="inlineStr">
        <is>
          <t>Upper Strike</t>
        </is>
      </c>
      <c r="H4" s="9" t="inlineStr">
        <is>
          <t>Expiration</t>
        </is>
      </c>
      <c r="I4" s="9" t="inlineStr">
        <is>
          <t>Open Date</t>
        </is>
      </c>
      <c r="J4" s="9" t="inlineStr">
        <is>
          <t>Avg Credit / Cost</t>
        </is>
      </c>
      <c r="K4" s="9" t="inlineStr">
        <is>
          <t>Current Price</t>
        </is>
      </c>
      <c r="L4" s="9" t="inlineStr">
        <is>
          <t>Original Premium / Cost</t>
        </is>
      </c>
      <c r="M4" s="9" t="inlineStr">
        <is>
          <t>Current Market Value</t>
        </is>
      </c>
      <c r="N4" s="9" t="inlineStr">
        <is>
          <t>Unrealized P/L</t>
        </is>
      </c>
      <c r="O4" s="9" t="inlineStr">
        <is>
          <t>Cash-Secured Obligation</t>
        </is>
      </c>
      <c r="P4" s="9" t="inlineStr">
        <is>
          <t>Covered Shares Used</t>
        </is>
      </c>
      <c r="Q4" s="9" t="inlineStr">
        <is>
          <t>Notes</t>
        </is>
      </c>
      <c r="R4" s="9" t="inlineStr">
        <is>
          <t>Source</t>
        </is>
      </c>
    </row>
    <row r="5">
      <c r="A5" s="12" t="inlineStr">
        <is>
          <t>LUMN</t>
        </is>
      </c>
      <c r="B5" s="12" t="inlineStr">
        <is>
          <t>Put 11</t>
        </is>
      </c>
      <c r="C5" s="12" t="inlineStr">
        <is>
          <t>Short</t>
        </is>
      </c>
      <c r="D5" s="12" t="n">
        <v>-1</v>
      </c>
      <c r="E5" s="12" t="inlineStr">
        <is>
          <t>Put</t>
        </is>
      </c>
      <c r="F5" s="20" t="n">
        <v>11</v>
      </c>
      <c r="G5" s="20" t="n"/>
      <c r="H5" s="16" t="n">
        <v>46185</v>
      </c>
      <c r="I5" s="16" t="n">
        <v>46156</v>
      </c>
      <c r="J5" s="20" t="n">
        <v>1.02</v>
      </c>
      <c r="K5" s="20" t="n">
        <v>1.35</v>
      </c>
      <c r="L5" s="11">
        <f>IF($A5="","",ABS($D5)*$J5*100)</f>
        <v/>
      </c>
      <c r="M5" s="11">
        <f>IF($A5="","",IF($C5="Short",-ABS($D5)*$K5*100,ABS($D5)*$K5*100))</f>
        <v/>
      </c>
      <c r="N5" s="11">
        <f>IF($A5="","",IF($C5="Short",($J5-$K5)*ABS($D5)*100,($K5-$J5)*ABS($D5)*100))</f>
        <v/>
      </c>
      <c r="O5" s="11">
        <f>IF(AND($C5="Short",$E5="Put"),ABS($D5)*$F5*100,0)</f>
        <v/>
      </c>
      <c r="P5" s="12">
        <f>IF($A5="",0,0)</f>
        <v/>
      </c>
      <c r="Q5" s="12" t="inlineStr">
        <is>
          <t>Open position retained from tracker; not present in YTD CSV exports.</t>
        </is>
      </c>
      <c r="R5" s="12" t="inlineStr">
        <is>
          <t>Existing tracker</t>
        </is>
      </c>
    </row>
    <row r="6">
      <c r="A6" s="12" t="inlineStr">
        <is>
          <t>GRAB</t>
        </is>
      </c>
      <c r="B6" s="12" t="inlineStr">
        <is>
          <t>Call Debit Spread</t>
        </is>
      </c>
      <c r="C6" s="12" t="inlineStr">
        <is>
          <t>Long</t>
        </is>
      </c>
      <c r="D6" s="12" t="n">
        <v>180</v>
      </c>
      <c r="E6" s="12" t="inlineStr">
        <is>
          <t>Call</t>
        </is>
      </c>
      <c r="F6" s="20" t="n">
        <v>10</v>
      </c>
      <c r="G6" s="20" t="n">
        <v>12</v>
      </c>
      <c r="H6" s="16" t="n">
        <v>46773</v>
      </c>
      <c r="I6" s="16" t="n">
        <v>46051</v>
      </c>
      <c r="J6" s="20" t="n">
        <v>0.1</v>
      </c>
      <c r="K6" s="20" t="n">
        <v>0.08</v>
      </c>
      <c r="L6" s="11">
        <f>IF($A6="","",ABS($D6)*$J6*100)</f>
        <v/>
      </c>
      <c r="M6" s="11">
        <f>IF($A6="","",IF($C6="Short",-ABS($D6)*$K6*100,ABS($D6)*$K6*100))</f>
        <v/>
      </c>
      <c r="N6" s="11">
        <f>IF($A6="","",IF($C6="Short",($J6-$K6)*ABS($D6)*100,($K6-$J6)*ABS($D6)*100))</f>
        <v/>
      </c>
      <c r="O6" s="11">
        <f>IF(AND($C6="Short",$E6="Put"),ABS($D6)*$F6*100,0)</f>
        <v/>
      </c>
      <c r="P6" s="12">
        <f>IF($A6="",0,0)</f>
        <v/>
      </c>
      <c r="Q6" s="12" t="inlineStr">
        <is>
          <t>Open GRAB $10/$12 call debit spread; YTD CSV confirms 180 paired contracts.</t>
        </is>
      </c>
      <c r="R6" s="12" t="inlineStr">
        <is>
          <t>Broker CSV + existing tracker</t>
        </is>
      </c>
    </row>
    <row r="7">
      <c r="A7" s="12" t="inlineStr">
        <is>
          <t>PLTR</t>
        </is>
      </c>
      <c r="B7" s="12" t="inlineStr">
        <is>
          <t>Call 190</t>
        </is>
      </c>
      <c r="C7" s="12" t="inlineStr">
        <is>
          <t>Short</t>
        </is>
      </c>
      <c r="D7" s="12" t="n">
        <v>-1</v>
      </c>
      <c r="E7" s="12" t="inlineStr">
        <is>
          <t>Call</t>
        </is>
      </c>
      <c r="F7" s="20" t="n">
        <v>190</v>
      </c>
      <c r="G7" s="20" t="n"/>
      <c r="H7" s="16" t="n">
        <v>46402</v>
      </c>
      <c r="I7" s="16" t="n">
        <v>46129</v>
      </c>
      <c r="J7" s="20" t="n">
        <v>14.73</v>
      </c>
      <c r="K7" s="20" t="n">
        <v>9.380000000000001</v>
      </c>
      <c r="L7" s="11">
        <f>IF($A7="","",ABS($D7)*$J7*100)</f>
        <v/>
      </c>
      <c r="M7" s="11">
        <f>IF($A7="","",IF($C7="Short",-ABS($D7)*$K7*100,ABS($D7)*$K7*100))</f>
        <v/>
      </c>
      <c r="N7" s="11">
        <f>IF($A7="","",IF($C7="Short",($J7-$K7)*ABS($D7)*100,($K7-$J7)*ABS($D7)*100))</f>
        <v/>
      </c>
      <c r="O7" s="11">
        <f>IF(AND($C7="Short",$E7="Put"),ABS($D7)*$F7*100,0)</f>
        <v/>
      </c>
      <c r="P7" s="12">
        <f>IF($A7="",0,ABS($D7)*100)</f>
        <v/>
      </c>
      <c r="Q7" s="12" t="inlineStr">
        <is>
          <t>Open PLTR $190 covered call per individual CSV.</t>
        </is>
      </c>
      <c r="R7" s="12" t="inlineStr">
        <is>
          <t>Broker CSV</t>
        </is>
      </c>
    </row>
    <row r="8">
      <c r="A8" s="12" t="inlineStr">
        <is>
          <t>GRAB</t>
        </is>
      </c>
      <c r="B8" s="12" t="inlineStr">
        <is>
          <t>Call Debit Spread</t>
        </is>
      </c>
      <c r="C8" s="12" t="inlineStr">
        <is>
          <t>Long</t>
        </is>
      </c>
      <c r="D8" s="12" t="n">
        <v>400</v>
      </c>
      <c r="E8" s="12" t="inlineStr">
        <is>
          <t>Call</t>
        </is>
      </c>
      <c r="F8" s="20" t="n">
        <v>7.5</v>
      </c>
      <c r="G8" s="20" t="n">
        <v>10</v>
      </c>
      <c r="H8" s="16" t="n">
        <v>46402</v>
      </c>
      <c r="I8" s="16" t="n">
        <v>45681</v>
      </c>
      <c r="J8" s="20" t="n">
        <v>0.29</v>
      </c>
      <c r="K8" s="20" t="n">
        <v>0.03</v>
      </c>
      <c r="L8" s="11">
        <f>IF($A8="","",ABS($D8)*$J8*100)</f>
        <v/>
      </c>
      <c r="M8" s="11">
        <f>IF($A8="","",IF($C8="Short",-ABS($D8)*$K8*100,ABS($D8)*$K8*100))</f>
        <v/>
      </c>
      <c r="N8" s="11">
        <f>IF($A8="","",IF($C8="Short",($J8-$K8)*ABS($D8)*100,($K8-$J8)*ABS($D8)*100))</f>
        <v/>
      </c>
      <c r="O8" s="11">
        <f>IF(AND($C8="Short",$E8="Put"),ABS($D8)*$F8*100,0)</f>
        <v/>
      </c>
      <c r="P8" s="12">
        <f>IF($A8="",0,0)</f>
        <v/>
      </c>
      <c r="Q8" s="12" t="inlineStr">
        <is>
          <t>Consolidated GRAB $7.50/$10 call debit spreads. Existing tracker keeps pre-2026 contracts; CSV confirms 60 YTD additions.</t>
        </is>
      </c>
      <c r="R8" s="12" t="inlineStr">
        <is>
          <t>Existing tracker + Broker CSV</t>
        </is>
      </c>
    </row>
    <row r="9">
      <c r="A9" s="12" t="inlineStr">
        <is>
          <t>BMNR</t>
        </is>
      </c>
      <c r="B9" s="12" t="inlineStr">
        <is>
          <t>Call 75</t>
        </is>
      </c>
      <c r="C9" s="12" t="inlineStr">
        <is>
          <t>Long</t>
        </is>
      </c>
      <c r="D9" s="12" t="n">
        <v>1</v>
      </c>
      <c r="E9" s="12" t="inlineStr">
        <is>
          <t>Call</t>
        </is>
      </c>
      <c r="F9" s="20" t="n">
        <v>75</v>
      </c>
      <c r="G9" s="20" t="n"/>
      <c r="H9" s="16" t="n">
        <v>46191</v>
      </c>
      <c r="I9" s="16" t="n">
        <v>45989</v>
      </c>
      <c r="J9" s="20" t="n">
        <v>4.75</v>
      </c>
      <c r="K9" s="20" t="n">
        <v>0.02</v>
      </c>
      <c r="L9" s="11">
        <f>IF($A9="","",ABS($D9)*$J9*100)</f>
        <v/>
      </c>
      <c r="M9" s="11">
        <f>IF($A9="","",IF($C9="Short",-ABS($D9)*$K9*100,ABS($D9)*$K9*100))</f>
        <v/>
      </c>
      <c r="N9" s="11">
        <f>IF($A9="","",IF($C9="Short",($J9-$K9)*ABS($D9)*100,($K9-$J9)*ABS($D9)*100))</f>
        <v/>
      </c>
      <c r="O9" s="11">
        <f>IF(AND($C9="Short",$E9="Put"),ABS($D9)*$F9*100,0)</f>
        <v/>
      </c>
      <c r="P9" s="12">
        <f>IF($A9="",0,0)</f>
        <v/>
      </c>
      <c r="Q9" s="12" t="inlineStr">
        <is>
          <t>Long BMNR $75 call retained from tracker; opened before CSV period.</t>
        </is>
      </c>
      <c r="R9" s="12" t="inlineStr">
        <is>
          <t>Existing tracker</t>
        </is>
      </c>
    </row>
    <row r="10">
      <c r="A10" s="12" t="inlineStr">
        <is>
          <t>NTNX</t>
        </is>
      </c>
      <c r="B10" s="12" t="inlineStr">
        <is>
          <t>Call 47.5</t>
        </is>
      </c>
      <c r="C10" s="12" t="inlineStr">
        <is>
          <t>Long</t>
        </is>
      </c>
      <c r="D10" s="12" t="n">
        <v>2</v>
      </c>
      <c r="E10" s="12" t="inlineStr">
        <is>
          <t>Call</t>
        </is>
      </c>
      <c r="F10" s="20" t="n">
        <v>47.5</v>
      </c>
      <c r="G10" s="20" t="n"/>
      <c r="H10" s="16" t="n">
        <v>46311</v>
      </c>
      <c r="I10" s="16" t="n">
        <v>46160</v>
      </c>
      <c r="J10" s="20" t="n">
        <v>7.15</v>
      </c>
      <c r="K10" s="20" t="n">
        <v>7.15</v>
      </c>
      <c r="L10" s="11">
        <f>IF($A10="","",ABS($D10)*$J10*100)</f>
        <v/>
      </c>
      <c r="M10" s="11">
        <f>IF($A10="","",IF($C10="Short",-ABS($D10)*$K10*100,ABS($D10)*$K10*100))</f>
        <v/>
      </c>
      <c r="N10" s="11">
        <f>IF($A10="","",IF($C10="Short",($J10-$K10)*ABS($D10)*100,($K10-$J10)*ABS($D10)*100))</f>
        <v/>
      </c>
      <c r="O10" s="11">
        <f>IF(AND($C10="Short",$E10="Put"),ABS($D10)*$F10*100,0)</f>
        <v/>
      </c>
      <c r="P10" s="12">
        <f>IF($A10="",0,0)</f>
        <v/>
      </c>
      <c r="Q10" s="12" t="inlineStr">
        <is>
          <t>Bought 1 at $7.30 and 1 at $7.00 per joint CSV; average $7.15.</t>
        </is>
      </c>
      <c r="R10" s="12" t="inlineStr">
        <is>
          <t>Broker CSV</t>
        </is>
      </c>
    </row>
    <row r="11">
      <c r="A11" s="12" t="inlineStr">
        <is>
          <t>PLTR</t>
        </is>
      </c>
      <c r="B11" s="12" t="inlineStr">
        <is>
          <t>Call 160</t>
        </is>
      </c>
      <c r="C11" s="12" t="inlineStr">
        <is>
          <t>Short</t>
        </is>
      </c>
      <c r="D11" s="12" t="n">
        <v>-1</v>
      </c>
      <c r="E11" s="12" t="inlineStr">
        <is>
          <t>Call</t>
        </is>
      </c>
      <c r="F11" s="20" t="n">
        <v>160</v>
      </c>
      <c r="G11" s="20" t="n"/>
      <c r="H11" s="16" t="n">
        <v>46191</v>
      </c>
      <c r="I11" s="16" t="n">
        <v>46170</v>
      </c>
      <c r="J11" s="20" t="n">
        <v>0.98</v>
      </c>
      <c r="K11" s="20" t="n">
        <v>0.98</v>
      </c>
      <c r="L11" s="11">
        <f>IF($A11="","",ABS($D11)*$J11*100)</f>
        <v/>
      </c>
      <c r="M11" s="11">
        <f>IF($A11="","",IF($C11="Short",-ABS($D11)*$K11*100,ABS($D11)*$K11*100))</f>
        <v/>
      </c>
      <c r="N11" s="11">
        <f>IF($A11="","",IF($C11="Short",($J11-$K11)*ABS($D11)*100,($K11-$J11)*ABS($D11)*100))</f>
        <v/>
      </c>
      <c r="O11" s="11">
        <f>IF(AND($C11="Short",$E11="Put"),ABS($D11)*$F11*100,0)</f>
        <v/>
      </c>
      <c r="P11" s="12">
        <f>IF($A11="",0,ABS($D11)*100)</f>
        <v/>
      </c>
      <c r="Q11" s="12" t="inlineStr">
        <is>
          <t>Open PLTR $160 covered call per joint CSV.</t>
        </is>
      </c>
      <c r="R11" s="12" t="inlineStr">
        <is>
          <t>Broker CSV</t>
        </is>
      </c>
    </row>
    <row r="12">
      <c r="A12" s="12" t="inlineStr">
        <is>
          <t>SOFI</t>
        </is>
      </c>
      <c r="B12" s="12" t="inlineStr">
        <is>
          <t>Put 18</t>
        </is>
      </c>
      <c r="C12" s="12" t="inlineStr">
        <is>
          <t>Short</t>
        </is>
      </c>
      <c r="D12" s="12" t="n">
        <v>-1</v>
      </c>
      <c r="E12" s="12" t="inlineStr">
        <is>
          <t>Put</t>
        </is>
      </c>
      <c r="F12" s="20" t="n">
        <v>18</v>
      </c>
      <c r="G12" s="20" t="n"/>
      <c r="H12" s="16" t="n">
        <v>46191</v>
      </c>
      <c r="I12" s="16" t="n">
        <v>46170</v>
      </c>
      <c r="J12" s="20" t="n">
        <v>1.49</v>
      </c>
      <c r="K12" s="20" t="n">
        <v>1.49</v>
      </c>
      <c r="L12" s="11">
        <f>IF($A12="","",ABS($D12)*$J12*100)</f>
        <v/>
      </c>
      <c r="M12" s="11">
        <f>IF($A12="","",IF($C12="Short",-ABS($D12)*$K12*100,ABS($D12)*$K12*100))</f>
        <v/>
      </c>
      <c r="N12" s="11">
        <f>IF($A12="","",IF($C12="Short",($J12-$K12)*ABS($D12)*100,($K12-$J12)*ABS($D12)*100))</f>
        <v/>
      </c>
      <c r="O12" s="11">
        <f>IF(AND($C12="Short",$E12="Put"),ABS($D12)*$F12*100,0)</f>
        <v/>
      </c>
      <c r="P12" s="12">
        <f>IF($A12="",0,0)</f>
        <v/>
      </c>
      <c r="Q12" s="12" t="inlineStr">
        <is>
          <t>Open SOFI $18 put per joint CSV; corrected credit to $1.49.</t>
        </is>
      </c>
      <c r="R12" s="12" t="inlineStr">
        <is>
          <t>Broker CSV</t>
        </is>
      </c>
    </row>
    <row r="13">
      <c r="A13" s="12" t="inlineStr">
        <is>
          <t>AEHR</t>
        </is>
      </c>
      <c r="B13" s="12" t="inlineStr">
        <is>
          <t>Call 160</t>
        </is>
      </c>
      <c r="C13" s="12" t="inlineStr">
        <is>
          <t>Short</t>
        </is>
      </c>
      <c r="D13" s="12" t="n">
        <v>-1</v>
      </c>
      <c r="E13" s="12" t="inlineStr">
        <is>
          <t>Call</t>
        </is>
      </c>
      <c r="F13" s="20" t="n">
        <v>160</v>
      </c>
      <c r="G13" s="20" t="n"/>
      <c r="H13" s="16" t="n">
        <v>46205</v>
      </c>
      <c r="I13" s="16" t="n">
        <v>46170</v>
      </c>
      <c r="J13" s="20" t="n">
        <v>4.05</v>
      </c>
      <c r="K13" s="20" t="n">
        <v>4.05</v>
      </c>
      <c r="L13" s="11">
        <f>IF($A13="","",ABS($D13)*$J13*100)</f>
        <v/>
      </c>
      <c r="M13" s="11">
        <f>IF($A13="","",IF($C13="Short",-ABS($D13)*$K13*100,ABS($D13)*$K13*100))</f>
        <v/>
      </c>
      <c r="N13" s="11">
        <f>IF($A13="","",IF($C13="Short",($J13-$K13)*ABS($D13)*100,($K13-$J13)*ABS($D13)*100))</f>
        <v/>
      </c>
      <c r="O13" s="11">
        <f>IF(AND($C13="Short",$E13="Put"),ABS($D13)*$F13*100,0)</f>
        <v/>
      </c>
      <c r="P13" s="12">
        <f>IF($A13="",0,ABS($D13)*100)</f>
        <v/>
      </c>
      <c r="Q13" s="12" t="inlineStr">
        <is>
          <t>Open AEHR $160 7/2 covered call per individual CSV.</t>
        </is>
      </c>
      <c r="R13" s="12" t="inlineStr">
        <is>
          <t>Broker CSV</t>
        </is>
      </c>
    </row>
    <row r="14">
      <c r="A14" s="12" t="inlineStr">
        <is>
          <t>FIVN</t>
        </is>
      </c>
      <c r="B14" s="12" t="inlineStr">
        <is>
          <t>Call 25</t>
        </is>
      </c>
      <c r="C14" s="12" t="inlineStr">
        <is>
          <t>Long</t>
        </is>
      </c>
      <c r="D14" s="12" t="n">
        <v>2</v>
      </c>
      <c r="E14" s="12" t="inlineStr">
        <is>
          <t>Call</t>
        </is>
      </c>
      <c r="F14" s="20" t="n">
        <v>25</v>
      </c>
      <c r="G14" s="20" t="n"/>
      <c r="H14" s="16" t="n">
        <v>46311</v>
      </c>
      <c r="I14" s="16" t="n">
        <v>46170</v>
      </c>
      <c r="J14" s="20" t="n">
        <v>4.3</v>
      </c>
      <c r="K14" s="20" t="n">
        <v>4.3</v>
      </c>
      <c r="L14" s="11">
        <f>IF($A14="","",ABS($D14)*$J14*100)</f>
        <v/>
      </c>
      <c r="M14" s="11">
        <f>IF($A14="","",IF($C14="Short",-ABS($D14)*$K14*100,ABS($D14)*$K14*100))</f>
        <v/>
      </c>
      <c r="N14" s="11">
        <f>IF($A14="","",IF($C14="Short",($J14-$K14)*ABS($D14)*100,($K14-$J14)*ABS($D14)*100))</f>
        <v/>
      </c>
      <c r="O14" s="11">
        <f>IF(AND($C14="Short",$E14="Put"),ABS($D14)*$F14*100,0)</f>
        <v/>
      </c>
      <c r="P14" s="12">
        <f>IF($A14="",0,0)</f>
        <v/>
      </c>
      <c r="Q14" s="12" t="inlineStr">
        <is>
          <t>Open FIVN $25 calls per joint CSV.</t>
        </is>
      </c>
      <c r="R14" s="12" t="inlineStr">
        <is>
          <t>Broker CSV</t>
        </is>
      </c>
    </row>
    <row r="15">
      <c r="A15" s="12" t="inlineStr">
        <is>
          <t>PLTR</t>
        </is>
      </c>
      <c r="B15" s="12" t="inlineStr">
        <is>
          <t>Call 220</t>
        </is>
      </c>
      <c r="C15" s="12" t="inlineStr">
        <is>
          <t>Short</t>
        </is>
      </c>
      <c r="D15" s="12" t="n">
        <v>-1</v>
      </c>
      <c r="E15" s="12" t="inlineStr">
        <is>
          <t>Call</t>
        </is>
      </c>
      <c r="F15" s="20" t="n">
        <v>220</v>
      </c>
      <c r="G15" s="20" t="n"/>
      <c r="H15" s="16" t="n">
        <v>46402</v>
      </c>
      <c r="I15" s="16" t="n">
        <v>46171</v>
      </c>
      <c r="J15" s="20" t="n">
        <v>12.5</v>
      </c>
      <c r="K15" s="20" t="n">
        <v>12.5</v>
      </c>
      <c r="L15" s="11">
        <f>IF($A15="","",ABS($D15)*$J15*100)</f>
        <v/>
      </c>
      <c r="M15" s="11">
        <f>IF($A15="","",IF($C15="Short",-ABS($D15)*$K15*100,ABS($D15)*$K15*100))</f>
        <v/>
      </c>
      <c r="N15" s="11">
        <f>IF($A15="","",IF($C15="Short",($J15-$K15)*ABS($D15)*100,($K15-$J15)*ABS($D15)*100))</f>
        <v/>
      </c>
      <c r="O15" s="11">
        <f>IF(AND($C15="Short",$E15="Put"),ABS($D15)*$F15*100,0)</f>
        <v/>
      </c>
      <c r="P15" s="12">
        <f>IF($A15="",0,ABS($D15)*100)</f>
        <v/>
      </c>
      <c r="Q15" s="12" t="inlineStr">
        <is>
          <t>Final open PLTR $220 covered call from 2026-05-29 roll sequence per joint CSV.</t>
        </is>
      </c>
      <c r="R15" s="12" t="inlineStr">
        <is>
          <t>Broker CSV</t>
        </is>
      </c>
    </row>
    <row r="16">
      <c r="A16" s="12" t="inlineStr">
        <is>
          <t>CRNC</t>
        </is>
      </c>
      <c r="B16" s="12" t="inlineStr">
        <is>
          <t>Put 12</t>
        </is>
      </c>
      <c r="C16" s="12" t="inlineStr">
        <is>
          <t>Short</t>
        </is>
      </c>
      <c r="D16" s="12" t="n">
        <v>-2</v>
      </c>
      <c r="E16" s="12" t="inlineStr">
        <is>
          <t>Put</t>
        </is>
      </c>
      <c r="F16" s="20" t="n">
        <v>12</v>
      </c>
      <c r="G16" s="20" t="n"/>
      <c r="H16" s="16" t="n">
        <v>46191</v>
      </c>
      <c r="I16" s="16" t="n">
        <v>46174</v>
      </c>
      <c r="J16" s="20" t="n">
        <v>1.05</v>
      </c>
      <c r="K16" s="20" t="n">
        <v>1.05</v>
      </c>
      <c r="L16" s="11">
        <f>IF($A16="","",ABS($D16)*$J16*100)</f>
        <v/>
      </c>
      <c r="M16" s="11">
        <f>IF($A16="","",IF($C16="Short",-ABS($D16)*$K16*100,ABS($D16)*$K16*100))</f>
        <v/>
      </c>
      <c r="N16" s="11">
        <f>IF($A16="","",IF($C16="Short",($J16-$K16)*ABS($D16)*100,($K16-$J16)*ABS($D16)*100))</f>
        <v/>
      </c>
      <c r="O16" s="11">
        <f>IF(AND($C16="Short",$E16="Put"),ABS($D16)*$F16*100,0)</f>
        <v/>
      </c>
      <c r="P16" s="12">
        <f>IF($A16="",0,0)</f>
        <v/>
      </c>
      <c r="Q16" s="12" t="inlineStr">
        <is>
          <t>Open 2 CRNC $12 cash secured puts per joint CSV.</t>
        </is>
      </c>
      <c r="R16" s="12" t="inlineStr">
        <is>
          <t>Broker CSV</t>
        </is>
      </c>
    </row>
    <row r="17">
      <c r="A17" s="12" t="inlineStr">
        <is>
          <t>CRNC</t>
        </is>
      </c>
      <c r="B17" s="12" t="inlineStr">
        <is>
          <t>Call 10</t>
        </is>
      </c>
      <c r="C17" s="12" t="inlineStr">
        <is>
          <t>Long</t>
        </is>
      </c>
      <c r="D17" s="12" t="n">
        <v>6</v>
      </c>
      <c r="E17" s="12" t="inlineStr">
        <is>
          <t>Call</t>
        </is>
      </c>
      <c r="F17" s="20" t="n">
        <v>10</v>
      </c>
      <c r="G17" s="20" t="n"/>
      <c r="H17" s="16" t="n">
        <v>46255</v>
      </c>
      <c r="I17" s="16" t="n">
        <v>46174</v>
      </c>
      <c r="J17" s="20" t="n">
        <v>3.83</v>
      </c>
      <c r="K17" s="20" t="n">
        <v>3.83</v>
      </c>
      <c r="L17" s="11">
        <f>IF($A17="","",ABS($D17)*$J17*100)</f>
        <v/>
      </c>
      <c r="M17" s="11">
        <f>IF($A17="","",IF($C17="Short",-ABS($D17)*$K17*100,ABS($D17)*$K17*100))</f>
        <v/>
      </c>
      <c r="N17" s="11">
        <f>IF($A17="","",IF($C17="Short",($J17-$K17)*ABS($D17)*100,($K17-$J17)*ABS($D17)*100))</f>
        <v/>
      </c>
      <c r="O17" s="11">
        <f>IF(AND($C17="Short",$E17="Put"),ABS($D17)*$F17*100,0)</f>
        <v/>
      </c>
      <c r="P17" s="12">
        <f>IF($A17="",0,0)</f>
        <v/>
      </c>
      <c r="Q17" s="12" t="inlineStr">
        <is>
          <t>Open CRNC $10 calls: 2 at $4.10, 2 at $3.60, 2 at $3.80; weighted average about $3.83.</t>
        </is>
      </c>
      <c r="R17" s="12" t="inlineStr">
        <is>
          <t>Broker CSV</t>
        </is>
      </c>
    </row>
    <row r="18">
      <c r="A18" s="12" t="inlineStr">
        <is>
          <t>AEHR</t>
        </is>
      </c>
      <c r="B18" s="12" t="inlineStr">
        <is>
          <t>Call 160</t>
        </is>
      </c>
      <c r="C18" s="12" t="inlineStr">
        <is>
          <t>Short</t>
        </is>
      </c>
      <c r="D18" s="12" t="n">
        <v>-1</v>
      </c>
      <c r="E18" s="12" t="inlineStr">
        <is>
          <t>Call</t>
        </is>
      </c>
      <c r="F18" s="20" t="n">
        <v>160</v>
      </c>
      <c r="G18" s="20" t="n"/>
      <c r="H18" s="16" t="n">
        <v>46402</v>
      </c>
      <c r="I18" s="16" t="n">
        <v>46182</v>
      </c>
      <c r="J18" s="20" t="n">
        <v>22.05</v>
      </c>
      <c r="K18" s="20" t="n">
        <v>22.05</v>
      </c>
      <c r="L18" s="11">
        <f>IF($A18="","",ABS($D18)*$J18*100)</f>
        <v/>
      </c>
      <c r="M18" s="11">
        <f>IF($A18="","",IF($C18="Short",-ABS($D18)*$K18*100,ABS($D18)*$K18*100))</f>
        <v/>
      </c>
      <c r="N18" s="11">
        <f>IF($A18="","",IF($C18="Short",($J18-$K18)*ABS($D18)*100,($K18-$J18)*ABS($D18)*100))</f>
        <v/>
      </c>
      <c r="O18" s="11">
        <f>IF(AND($C18="Short",$E18="Put"),ABS($D18)*$F18*100,0)</f>
        <v/>
      </c>
      <c r="P18" s="12">
        <f>IF($A18="",0,ABS($D18)*100)</f>
        <v/>
      </c>
      <c r="Q18" s="12" t="inlineStr">
        <is>
          <t>Open AEHR $160 1/15/27 covered call from roll per individual CSV.</t>
        </is>
      </c>
      <c r="R18" s="12" t="inlineStr">
        <is>
          <t>Broker CSV</t>
        </is>
      </c>
    </row>
    <row r="19">
      <c r="A19" s="12" t="inlineStr">
        <is>
          <t>NEXT</t>
        </is>
      </c>
      <c r="B19" s="12" t="inlineStr">
        <is>
          <t>Put 8</t>
        </is>
      </c>
      <c r="C19" s="12" t="inlineStr">
        <is>
          <t>Short</t>
        </is>
      </c>
      <c r="D19" s="12" t="n">
        <v>-1</v>
      </c>
      <c r="E19" s="12" t="inlineStr">
        <is>
          <t>Put</t>
        </is>
      </c>
      <c r="F19" s="20" t="n">
        <v>8</v>
      </c>
      <c r="G19" s="20" t="n"/>
      <c r="H19" s="16" t="n">
        <v>46191</v>
      </c>
      <c r="I19" s="16" t="n">
        <v>46164</v>
      </c>
      <c r="J19" s="20" t="n">
        <v>0.45</v>
      </c>
      <c r="K19" s="20" t="n">
        <v>0.45</v>
      </c>
      <c r="L19" s="11">
        <f>IF($A19="","",ABS($D19)*$J19*100)</f>
        <v/>
      </c>
      <c r="M19" s="11">
        <f>IF($A19="","",IF($C19="Short",-ABS($D19)*$K19*100,ABS($D19)*$K19*100))</f>
        <v/>
      </c>
      <c r="N19" s="11">
        <f>IF($A19="","",IF($C19="Short",($J19-$K19)*ABS($D19)*100,($K19-$J19)*ABS($D19)*100))</f>
        <v/>
      </c>
      <c r="O19" s="11">
        <f>IF(AND($C19="Short",$E19="Put"),ABS($D19)*$F19*100,0)</f>
        <v/>
      </c>
      <c r="P19" s="12">
        <f>IF($A19="",0,0)</f>
        <v/>
      </c>
      <c r="Q19" s="12" t="inlineStr">
        <is>
          <t>Open NEXT $8 put per joint CSV.</t>
        </is>
      </c>
      <c r="R19" s="12" t="inlineStr">
        <is>
          <t>Broker CSV</t>
        </is>
      </c>
    </row>
    <row r="20">
      <c r="A20" s="12" t="inlineStr">
        <is>
          <t>ADEA</t>
        </is>
      </c>
      <c r="B20" s="12" t="inlineStr">
        <is>
          <t>Put 30</t>
        </is>
      </c>
      <c r="C20" s="12" t="inlineStr">
        <is>
          <t>Short</t>
        </is>
      </c>
      <c r="D20" s="12" t="n">
        <v>-1</v>
      </c>
      <c r="E20" s="12" t="inlineStr">
        <is>
          <t>Put</t>
        </is>
      </c>
      <c r="F20" s="20" t="n">
        <v>30</v>
      </c>
      <c r="G20" s="20" t="n"/>
      <c r="H20" s="16" t="n">
        <v>46220</v>
      </c>
      <c r="I20" s="16" t="n">
        <v>46182</v>
      </c>
      <c r="J20" s="20" t="n">
        <v>3.6</v>
      </c>
      <c r="K20" s="20" t="n">
        <v>3.6</v>
      </c>
      <c r="L20" s="11">
        <f>IF($A20="","",ABS($D20)*$J20*100)</f>
        <v/>
      </c>
      <c r="M20" s="11">
        <f>IF($A20="","",IF($C20="Short",-ABS($D20)*$K20*100,ABS($D20)*$K20*100))</f>
        <v/>
      </c>
      <c r="N20" s="11">
        <f>IF($A20="","",IF($C20="Short",($J20-$K20)*ABS($D20)*100,($K20-$J20)*ABS($D20)*100))</f>
        <v/>
      </c>
      <c r="O20" s="11">
        <f>IF(AND($C20="Short",$E20="Put"),ABS($D20)*$F20*100,0)</f>
        <v/>
      </c>
      <c r="P20" s="12">
        <f>IF($A20="",0,0)</f>
        <v/>
      </c>
      <c r="Q20" s="12" t="inlineStr">
        <is>
          <t>Open ADEA $30 cash secured put per joint CSV.</t>
        </is>
      </c>
      <c r="R20" s="12" t="inlineStr">
        <is>
          <t>Broker CSV</t>
        </is>
      </c>
    </row>
    <row r="21">
      <c r="A21" s="12" t="inlineStr">
        <is>
          <t>ADEA</t>
        </is>
      </c>
      <c r="B21" s="12" t="inlineStr">
        <is>
          <t>Call 30</t>
        </is>
      </c>
      <c r="C21" s="12" t="inlineStr">
        <is>
          <t>Long</t>
        </is>
      </c>
      <c r="D21" s="12" t="n">
        <v>2</v>
      </c>
      <c r="E21" s="12" t="inlineStr">
        <is>
          <t>Call</t>
        </is>
      </c>
      <c r="F21" s="20" t="n">
        <v>30</v>
      </c>
      <c r="G21" s="20" t="n"/>
      <c r="H21" s="16" t="n">
        <v>46283</v>
      </c>
      <c r="I21" s="16" t="n">
        <v>46178</v>
      </c>
      <c r="J21" s="20" t="n">
        <v>6.6</v>
      </c>
      <c r="K21" s="20" t="n">
        <v>6.6</v>
      </c>
      <c r="L21" s="11">
        <f>IF($A21="","",ABS($D21)*$J21*100)</f>
        <v/>
      </c>
      <c r="M21" s="11">
        <f>IF($A21="","",IF($C21="Short",-ABS($D21)*$K21*100,ABS($D21)*$K21*100))</f>
        <v/>
      </c>
      <c r="N21" s="11">
        <f>IF($A21="","",IF($C21="Short",($J21-$K21)*ABS($D21)*100,($K21-$J21)*ABS($D21)*100))</f>
        <v/>
      </c>
      <c r="O21" s="11">
        <f>IF(AND($C21="Short",$E21="Put"),ABS($D21)*$F21*100,0)</f>
        <v/>
      </c>
      <c r="P21" s="12">
        <f>IF($A21="",0,0)</f>
        <v/>
      </c>
      <c r="Q21" s="12" t="inlineStr">
        <is>
          <t>Open ADEA $30 calls per individual CSV.</t>
        </is>
      </c>
      <c r="R21" s="12" t="inlineStr">
        <is>
          <t>Broker CSV</t>
        </is>
      </c>
    </row>
    <row r="22">
      <c r="A22" s="12" t="inlineStr">
        <is>
          <t>GRAB</t>
        </is>
      </c>
      <c r="B22" s="12" t="inlineStr">
        <is>
          <t>Call 5</t>
        </is>
      </c>
      <c r="C22" s="12" t="inlineStr">
        <is>
          <t>Long</t>
        </is>
      </c>
      <c r="D22" s="12" t="n">
        <v>40</v>
      </c>
      <c r="E22" s="12" t="inlineStr">
        <is>
          <t>Call</t>
        </is>
      </c>
      <c r="F22" s="20" t="n">
        <v>5</v>
      </c>
      <c r="G22" s="20" t="n"/>
      <c r="H22" s="16" t="n">
        <v>46738</v>
      </c>
      <c r="I22" s="16" t="n">
        <v>46178</v>
      </c>
      <c r="J22" s="20" t="n">
        <v>0.59</v>
      </c>
      <c r="K22" s="20" t="n">
        <v>0.59</v>
      </c>
      <c r="L22" s="11">
        <f>IF($A22="","",ABS($D22)*$J22*100)</f>
        <v/>
      </c>
      <c r="M22" s="11">
        <f>IF($A22="","",IF($C22="Short",-ABS($D22)*$K22*100,ABS($D22)*$K22*100))</f>
        <v/>
      </c>
      <c r="N22" s="11">
        <f>IF($A22="","",IF($C22="Short",($J22-$K22)*ABS($D22)*100,($K22-$J22)*ABS($D22)*100))</f>
        <v/>
      </c>
      <c r="O22" s="11">
        <f>IF(AND($C22="Short",$E22="Put"),ABS($D22)*$F22*100,0)</f>
        <v/>
      </c>
      <c r="P22" s="12">
        <f>IF($A22="",0,0)</f>
        <v/>
      </c>
      <c r="Q22" s="12" t="inlineStr">
        <is>
          <t>Open GRAB $5 calls per individual CSV.</t>
        </is>
      </c>
      <c r="R22" s="12" t="inlineStr">
        <is>
          <t>Broker CSV</t>
        </is>
      </c>
    </row>
    <row r="23">
      <c r="A23" s="12" t="inlineStr">
        <is>
          <t>CRNC</t>
        </is>
      </c>
      <c r="B23" s="12" t="inlineStr">
        <is>
          <t>Call 15</t>
        </is>
      </c>
      <c r="C23" s="12" t="inlineStr">
        <is>
          <t>Long</t>
        </is>
      </c>
      <c r="D23" s="12" t="n">
        <v>2</v>
      </c>
      <c r="E23" s="12" t="inlineStr">
        <is>
          <t>Call</t>
        </is>
      </c>
      <c r="F23" s="20" t="n">
        <v>15</v>
      </c>
      <c r="G23" s="20" t="n"/>
      <c r="H23" s="16" t="n">
        <v>46402</v>
      </c>
      <c r="I23" s="16" t="n">
        <v>46176</v>
      </c>
      <c r="J23" s="20" t="n">
        <v>3.3</v>
      </c>
      <c r="K23" s="20" t="n">
        <v>3.3</v>
      </c>
      <c r="L23" s="11">
        <f>IF($A23="","",ABS($D23)*$J23*100)</f>
        <v/>
      </c>
      <c r="M23" s="11">
        <f>IF($A23="","",IF($C23="Short",-ABS($D23)*$K23*100,ABS($D23)*$K23*100))</f>
        <v/>
      </c>
      <c r="N23" s="11">
        <f>IF($A23="","",IF($C23="Short",($J23-$K23)*ABS($D23)*100,($K23-$J23)*ABS($D23)*100))</f>
        <v/>
      </c>
      <c r="O23" s="11">
        <f>IF(AND($C23="Short",$E23="Put"),ABS($D23)*$F23*100,0)</f>
        <v/>
      </c>
      <c r="P23" s="12">
        <f>IF($A23="",0,0)</f>
        <v/>
      </c>
      <c r="Q23" s="12" t="inlineStr">
        <is>
          <t>Open CRNC $15 calls per joint CSV.</t>
        </is>
      </c>
      <c r="R23" s="12" t="inlineStr">
        <is>
          <t>Broker CSV</t>
        </is>
      </c>
    </row>
    <row r="24">
      <c r="A24" s="12" t="inlineStr">
        <is>
          <t>FIVN</t>
        </is>
      </c>
      <c r="B24" s="12" t="inlineStr">
        <is>
          <t>Call 25</t>
        </is>
      </c>
      <c r="C24" s="12" t="inlineStr">
        <is>
          <t>Long</t>
        </is>
      </c>
      <c r="D24" s="12" t="n">
        <v>2</v>
      </c>
      <c r="E24" s="12" t="inlineStr">
        <is>
          <t>Call</t>
        </is>
      </c>
      <c r="F24" s="20" t="n">
        <v>25</v>
      </c>
      <c r="G24" s="20" t="n"/>
      <c r="H24" s="16" t="n">
        <v>46255</v>
      </c>
      <c r="I24" s="16" t="n">
        <v>46176</v>
      </c>
      <c r="J24" s="20" t="n">
        <v>4</v>
      </c>
      <c r="K24" s="20" t="n">
        <v>4</v>
      </c>
      <c r="L24" s="11">
        <f>IF($A24="","",ABS($D24)*$J24*100)</f>
        <v/>
      </c>
      <c r="M24" s="11">
        <f>IF($A24="","",IF($C24="Short",-ABS($D24)*$K24*100,ABS($D24)*$K24*100))</f>
        <v/>
      </c>
      <c r="N24" s="11">
        <f>IF($A24="","",IF($C24="Short",($J24-$K24)*ABS($D24)*100,($K24-$J24)*ABS($D24)*100))</f>
        <v/>
      </c>
      <c r="O24" s="11">
        <f>IF(AND($C24="Short",$E24="Put"),ABS($D24)*$F24*100,0)</f>
        <v/>
      </c>
      <c r="P24" s="12">
        <f>IF($A24="",0,0)</f>
        <v/>
      </c>
      <c r="Q24" s="12" t="inlineStr">
        <is>
          <t>Open FIVN $25 8/21 calls per joint CSV.</t>
        </is>
      </c>
      <c r="R24" s="12" t="inlineStr">
        <is>
          <t>Broker CSV</t>
        </is>
      </c>
    </row>
    <row r="25">
      <c r="A25" s="12" t="inlineStr">
        <is>
          <t>FIVN</t>
        </is>
      </c>
      <c r="B25" s="12" t="inlineStr">
        <is>
          <t>Call 22.5</t>
        </is>
      </c>
      <c r="C25" s="12" t="inlineStr">
        <is>
          <t>Long</t>
        </is>
      </c>
      <c r="D25" s="12" t="n">
        <v>1</v>
      </c>
      <c r="E25" s="12" t="inlineStr">
        <is>
          <t>Call</t>
        </is>
      </c>
      <c r="F25" s="20" t="n">
        <v>22.5</v>
      </c>
      <c r="G25" s="20" t="n"/>
      <c r="H25" s="16" t="n">
        <v>46402</v>
      </c>
      <c r="I25" s="16" t="n">
        <v>46182</v>
      </c>
      <c r="J25" s="20" t="n">
        <v>5.5</v>
      </c>
      <c r="K25" s="20" t="n">
        <v>5.5</v>
      </c>
      <c r="L25" s="11">
        <f>IF($A25="","",ABS($D25)*$J25*100)</f>
        <v/>
      </c>
      <c r="M25" s="11">
        <f>IF($A25="","",IF($C25="Short",-ABS($D25)*$K25*100,ABS($D25)*$K25*100))</f>
        <v/>
      </c>
      <c r="N25" s="11">
        <f>IF($A25="","",IF($C25="Short",($J25-$K25)*ABS($D25)*100,($K25-$J25)*ABS($D25)*100))</f>
        <v/>
      </c>
      <c r="O25" s="11">
        <f>IF(AND($C25="Short",$E25="Put"),ABS($D25)*$F25*100,0)</f>
        <v/>
      </c>
      <c r="P25" s="12">
        <f>IF($A25="",0,0)</f>
        <v/>
      </c>
      <c r="Q25" s="12" t="inlineStr">
        <is>
          <t>Open FIVN $22.50 call per joint CSV.</t>
        </is>
      </c>
      <c r="R25" s="12" t="inlineStr">
        <is>
          <t>Broker CSV</t>
        </is>
      </c>
    </row>
    <row r="26">
      <c r="A26" s="12" t="inlineStr">
        <is>
          <t>SHLS</t>
        </is>
      </c>
      <c r="B26" s="12" t="inlineStr">
        <is>
          <t>Call 10</t>
        </is>
      </c>
      <c r="C26" s="12" t="inlineStr">
        <is>
          <t>Long</t>
        </is>
      </c>
      <c r="D26" s="12" t="n">
        <v>2</v>
      </c>
      <c r="E26" s="12" t="inlineStr">
        <is>
          <t>Call</t>
        </is>
      </c>
      <c r="F26" s="20" t="n">
        <v>10</v>
      </c>
      <c r="G26" s="20" t="n"/>
      <c r="H26" s="16" t="n">
        <v>46402</v>
      </c>
      <c r="I26" s="16" t="n">
        <v>46184</v>
      </c>
      <c r="J26" s="20" t="n">
        <v>2.8</v>
      </c>
      <c r="K26" s="20" t="n">
        <v>2.8</v>
      </c>
      <c r="L26" s="11">
        <f>IF($A26="","",ABS($D26)*$J26*100)</f>
        <v/>
      </c>
      <c r="M26" s="11">
        <f>IF($A26="","",IF($C26="Short",-ABS($D26)*$K26*100,ABS($D26)*$K26*100))</f>
        <v/>
      </c>
      <c r="N26" s="11">
        <f>IF($A26="","",IF($C26="Short",($J26-$K26)*ABS($D26)*100,($K26-$J26)*ABS($D26)*100))</f>
        <v/>
      </c>
      <c r="O26" s="11">
        <f>IF(AND($C26="Short",$E26="Put"),ABS($D26)*$F26*100,0)</f>
        <v/>
      </c>
      <c r="P26" s="12">
        <f>IF($A26="",0,0)</f>
        <v/>
      </c>
      <c r="Q26" s="12" t="inlineStr">
        <is>
          <t>Bought 2 SHLS $10 calls expiring 2027-01-15 at $2.80 each on 2026-06-11.</t>
        </is>
      </c>
      <c r="R26" s="12" t="inlineStr">
        <is>
          <t>User trade update</t>
        </is>
      </c>
    </row>
    <row r="29">
      <c r="A29" s="6" t="inlineStr">
        <is>
          <t>Options Exposure Summary</t>
        </is>
      </c>
    </row>
    <row r="30">
      <c r="A30" t="inlineStr">
        <is>
          <t>Net option market value</t>
        </is>
      </c>
      <c r="B30" s="21">
        <f>SUM(M5:M26)</f>
        <v/>
      </c>
    </row>
    <row r="31">
      <c r="A31" t="inlineStr">
        <is>
          <t>Open option unrealized P/L</t>
        </is>
      </c>
      <c r="B31" s="21">
        <f>SUM(N5:N26)</f>
        <v/>
      </c>
    </row>
    <row r="32">
      <c r="A32" t="inlineStr">
        <is>
          <t>Cash-secured put obligation</t>
        </is>
      </c>
      <c r="B32" s="21">
        <f>SUM(O5:O26)</f>
        <v/>
      </c>
    </row>
    <row r="33">
      <c r="A33" t="inlineStr">
        <is>
          <t>Covered shares committed</t>
        </is>
      </c>
      <c r="B33" s="22">
        <f>SUM(P5:P26)</f>
        <v/>
      </c>
    </row>
    <row r="34">
      <c r="A34" t="inlineStr">
        <is>
          <t>Long debit spread cost basis</t>
        </is>
      </c>
      <c r="B34" s="21">
        <f>SUMIFS(L5:L26,B5:B26,"Call Debit Spread")</f>
        <v/>
      </c>
    </row>
    <row r="35">
      <c r="A35" t="inlineStr">
        <is>
          <t>Long debit spread market value</t>
        </is>
      </c>
      <c r="B35" s="21">
        <f>SUMIFS(M5:M26,B5:B26,"Call Debit Spread")</f>
        <v/>
      </c>
    </row>
  </sheetData>
  <mergeCells count="3">
    <mergeCell ref="A2:R2"/>
    <mergeCell ref="A29:F29"/>
    <mergeCell ref="A1:R1"/>
  </mergeCells>
  <conditionalFormatting sqref="N5:N26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2" customWidth="1" min="3" max="3"/>
    <col width="18" customWidth="1" min="4" max="4"/>
    <col width="14" customWidth="1" min="5" max="5"/>
    <col width="12" customWidth="1" min="6" max="6"/>
    <col width="18" customWidth="1" min="7" max="7"/>
    <col width="12" customWidth="1" min="8" max="8"/>
    <col width="15" customWidth="1" min="9" max="9"/>
  </cols>
  <sheetData>
    <row r="1" ht="28" customHeight="1">
      <c r="A1" s="1" t="inlineStr">
        <is>
          <t>Monthly Revenue Tracker</t>
        </is>
      </c>
    </row>
    <row r="2" ht="34" customHeight="1">
      <c r="A2" s="2" t="inlineStr">
        <is>
          <t>Formula-driven view of realized gains/losses by month and income bucket.</t>
        </is>
      </c>
    </row>
    <row r="4">
      <c r="A4" s="9" t="inlineStr">
        <is>
          <t>Month</t>
        </is>
      </c>
      <c r="B4" s="9" t="inlineStr">
        <is>
          <t>Covered Call Premium</t>
        </is>
      </c>
      <c r="C4" s="9" t="inlineStr">
        <is>
          <t>Cash Secured Put Premium</t>
        </is>
      </c>
      <c r="D4" s="9" t="inlineStr">
        <is>
          <t>Long Call/Put P/L</t>
        </is>
      </c>
      <c r="E4" s="9" t="inlineStr">
        <is>
          <t>Stock Sales</t>
        </is>
      </c>
      <c r="F4" s="9" t="inlineStr">
        <is>
          <t>Other</t>
        </is>
      </c>
      <c r="G4" s="9" t="inlineStr">
        <is>
          <t>Total Realized P/L</t>
        </is>
      </c>
      <c r="H4" s="9" t="inlineStr">
        <is>
          <t>Trade Count</t>
        </is>
      </c>
      <c r="I4" s="9" t="inlineStr">
        <is>
          <t>Avg P/L / Trade</t>
        </is>
      </c>
    </row>
    <row r="5">
      <c r="A5" s="10" t="n">
        <v>46023</v>
      </c>
      <c r="B5" s="11">
        <f>SUMIFS('Trade Log'!$R$5:$R$1004,'Trade Log'!$F$5:$F$1004,$A5,'Trade Log'!$S$5:$S$1004,B$4)</f>
        <v/>
      </c>
      <c r="C5" s="11">
        <f>SUMIFS('Trade Log'!$R$5:$R$1004,'Trade Log'!$F$5:$F$1004,$A5,'Trade Log'!$S$5:$S$1004,C$4)</f>
        <v/>
      </c>
      <c r="D5" s="11">
        <f>SUMIFS('Trade Log'!$R$5:$R$1004,'Trade Log'!$F$5:$F$1004,$A5,'Trade Log'!$S$5:$S$1004,D$4)</f>
        <v/>
      </c>
      <c r="E5" s="11">
        <f>SUMIFS('Trade Log'!$R$5:$R$1004,'Trade Log'!$F$5:$F$1004,$A5,'Trade Log'!$S$5:$S$1004,E$4)</f>
        <v/>
      </c>
      <c r="F5" s="11">
        <f>SUMIFS('Trade Log'!$R$5:$R$1004,'Trade Log'!$F$5:$F$1004,$A5,'Trade Log'!$S$5:$S$1004,F$4)</f>
        <v/>
      </c>
      <c r="G5" s="11">
        <f>SUM(B5:F5)</f>
        <v/>
      </c>
      <c r="H5" s="12">
        <f>COUNTIFS('Trade Log'!$F$5:$F$1004,$A5,'Trade Log'!$R$5:$R$1004,"&lt;&gt;")</f>
        <v/>
      </c>
      <c r="I5" s="11">
        <f>IF($H5=0,"",$G5/$H5)</f>
        <v/>
      </c>
    </row>
    <row r="6">
      <c r="A6" s="10" t="n">
        <v>46054</v>
      </c>
      <c r="B6" s="11">
        <f>SUMIFS('Trade Log'!$R$5:$R$1004,'Trade Log'!$F$5:$F$1004,$A6,'Trade Log'!$S$5:$S$1004,B$4)</f>
        <v/>
      </c>
      <c r="C6" s="11">
        <f>SUMIFS('Trade Log'!$R$5:$R$1004,'Trade Log'!$F$5:$F$1004,$A6,'Trade Log'!$S$5:$S$1004,C$4)</f>
        <v/>
      </c>
      <c r="D6" s="11">
        <f>SUMIFS('Trade Log'!$R$5:$R$1004,'Trade Log'!$F$5:$F$1004,$A6,'Trade Log'!$S$5:$S$1004,D$4)</f>
        <v/>
      </c>
      <c r="E6" s="11">
        <f>SUMIFS('Trade Log'!$R$5:$R$1004,'Trade Log'!$F$5:$F$1004,$A6,'Trade Log'!$S$5:$S$1004,E$4)</f>
        <v/>
      </c>
      <c r="F6" s="11">
        <f>SUMIFS('Trade Log'!$R$5:$R$1004,'Trade Log'!$F$5:$F$1004,$A6,'Trade Log'!$S$5:$S$1004,F$4)</f>
        <v/>
      </c>
      <c r="G6" s="11">
        <f>SUM(B6:F6)</f>
        <v/>
      </c>
      <c r="H6" s="12">
        <f>COUNTIFS('Trade Log'!$F$5:$F$1004,$A6,'Trade Log'!$R$5:$R$1004,"&lt;&gt;")</f>
        <v/>
      </c>
      <c r="I6" s="11">
        <f>IF($H6=0,"",$G6/$H6)</f>
        <v/>
      </c>
    </row>
    <row r="7">
      <c r="A7" s="10" t="n">
        <v>46082</v>
      </c>
      <c r="B7" s="11">
        <f>SUMIFS('Trade Log'!$R$5:$R$1004,'Trade Log'!$F$5:$F$1004,$A7,'Trade Log'!$S$5:$S$1004,B$4)</f>
        <v/>
      </c>
      <c r="C7" s="11">
        <f>SUMIFS('Trade Log'!$R$5:$R$1004,'Trade Log'!$F$5:$F$1004,$A7,'Trade Log'!$S$5:$S$1004,C$4)</f>
        <v/>
      </c>
      <c r="D7" s="11">
        <f>SUMIFS('Trade Log'!$R$5:$R$1004,'Trade Log'!$F$5:$F$1004,$A7,'Trade Log'!$S$5:$S$1004,D$4)</f>
        <v/>
      </c>
      <c r="E7" s="11">
        <f>SUMIFS('Trade Log'!$R$5:$R$1004,'Trade Log'!$F$5:$F$1004,$A7,'Trade Log'!$S$5:$S$1004,E$4)</f>
        <v/>
      </c>
      <c r="F7" s="11">
        <f>SUMIFS('Trade Log'!$R$5:$R$1004,'Trade Log'!$F$5:$F$1004,$A7,'Trade Log'!$S$5:$S$1004,F$4)</f>
        <v/>
      </c>
      <c r="G7" s="11">
        <f>SUM(B7:F7)</f>
        <v/>
      </c>
      <c r="H7" s="12">
        <f>COUNTIFS('Trade Log'!$F$5:$F$1004,$A7,'Trade Log'!$R$5:$R$1004,"&lt;&gt;")</f>
        <v/>
      </c>
      <c r="I7" s="11">
        <f>IF($H7=0,"",$G7/$H7)</f>
        <v/>
      </c>
    </row>
    <row r="8">
      <c r="A8" s="10" t="n">
        <v>46113</v>
      </c>
      <c r="B8" s="11">
        <f>SUMIFS('Trade Log'!$R$5:$R$1004,'Trade Log'!$F$5:$F$1004,$A8,'Trade Log'!$S$5:$S$1004,B$4)</f>
        <v/>
      </c>
      <c r="C8" s="11">
        <f>SUMIFS('Trade Log'!$R$5:$R$1004,'Trade Log'!$F$5:$F$1004,$A8,'Trade Log'!$S$5:$S$1004,C$4)</f>
        <v/>
      </c>
      <c r="D8" s="11">
        <f>SUMIFS('Trade Log'!$R$5:$R$1004,'Trade Log'!$F$5:$F$1004,$A8,'Trade Log'!$S$5:$S$1004,D$4)</f>
        <v/>
      </c>
      <c r="E8" s="11">
        <f>SUMIFS('Trade Log'!$R$5:$R$1004,'Trade Log'!$F$5:$F$1004,$A8,'Trade Log'!$S$5:$S$1004,E$4)</f>
        <v/>
      </c>
      <c r="F8" s="11">
        <f>SUMIFS('Trade Log'!$R$5:$R$1004,'Trade Log'!$F$5:$F$1004,$A8,'Trade Log'!$S$5:$S$1004,F$4)</f>
        <v/>
      </c>
      <c r="G8" s="11">
        <f>SUM(B8:F8)</f>
        <v/>
      </c>
      <c r="H8" s="12">
        <f>COUNTIFS('Trade Log'!$F$5:$F$1004,$A8,'Trade Log'!$R$5:$R$1004,"&lt;&gt;")</f>
        <v/>
      </c>
      <c r="I8" s="11">
        <f>IF($H8=0,"",$G8/$H8)</f>
        <v/>
      </c>
    </row>
    <row r="9">
      <c r="A9" s="10" t="n">
        <v>46143</v>
      </c>
      <c r="B9" s="11">
        <f>SUMIFS('Trade Log'!$R$5:$R$1004,'Trade Log'!$F$5:$F$1004,$A9,'Trade Log'!$S$5:$S$1004,B$4)</f>
        <v/>
      </c>
      <c r="C9" s="11">
        <f>SUMIFS('Trade Log'!$R$5:$R$1004,'Trade Log'!$F$5:$F$1004,$A9,'Trade Log'!$S$5:$S$1004,C$4)</f>
        <v/>
      </c>
      <c r="D9" s="11">
        <f>SUMIFS('Trade Log'!$R$5:$R$1004,'Trade Log'!$F$5:$F$1004,$A9,'Trade Log'!$S$5:$S$1004,D$4)</f>
        <v/>
      </c>
      <c r="E9" s="11">
        <f>SUMIFS('Trade Log'!$R$5:$R$1004,'Trade Log'!$F$5:$F$1004,$A9,'Trade Log'!$S$5:$S$1004,E$4)</f>
        <v/>
      </c>
      <c r="F9" s="11">
        <f>SUMIFS('Trade Log'!$R$5:$R$1004,'Trade Log'!$F$5:$F$1004,$A9,'Trade Log'!$S$5:$S$1004,F$4)</f>
        <v/>
      </c>
      <c r="G9" s="11">
        <f>SUM(B9:F9)</f>
        <v/>
      </c>
      <c r="H9" s="12">
        <f>COUNTIFS('Trade Log'!$F$5:$F$1004,$A9,'Trade Log'!$R$5:$R$1004,"&lt;&gt;")</f>
        <v/>
      </c>
      <c r="I9" s="11">
        <f>IF($H9=0,"",$G9/$H9)</f>
        <v/>
      </c>
    </row>
    <row r="10">
      <c r="A10" s="10" t="n">
        <v>46174</v>
      </c>
      <c r="B10" s="11">
        <f>SUMIFS('Trade Log'!$R$5:$R$1004,'Trade Log'!$F$5:$F$1004,$A10,'Trade Log'!$S$5:$S$1004,B$4)</f>
        <v/>
      </c>
      <c r="C10" s="11">
        <f>SUMIFS('Trade Log'!$R$5:$R$1004,'Trade Log'!$F$5:$F$1004,$A10,'Trade Log'!$S$5:$S$1004,C$4)</f>
        <v/>
      </c>
      <c r="D10" s="11">
        <f>SUMIFS('Trade Log'!$R$5:$R$1004,'Trade Log'!$F$5:$F$1004,$A10,'Trade Log'!$S$5:$S$1004,D$4)</f>
        <v/>
      </c>
      <c r="E10" s="11">
        <f>SUMIFS('Trade Log'!$R$5:$R$1004,'Trade Log'!$F$5:$F$1004,$A10,'Trade Log'!$S$5:$S$1004,E$4)</f>
        <v/>
      </c>
      <c r="F10" s="11">
        <f>SUMIFS('Trade Log'!$R$5:$R$1004,'Trade Log'!$F$5:$F$1004,$A10,'Trade Log'!$S$5:$S$1004,F$4)</f>
        <v/>
      </c>
      <c r="G10" s="11">
        <f>SUM(B10:F10)</f>
        <v/>
      </c>
      <c r="H10" s="12">
        <f>COUNTIFS('Trade Log'!$F$5:$F$1004,$A10,'Trade Log'!$R$5:$R$1004,"&lt;&gt;")</f>
        <v/>
      </c>
      <c r="I10" s="11">
        <f>IF($H10=0,"",$G10/$H10)</f>
        <v/>
      </c>
    </row>
    <row r="11">
      <c r="A11" s="10" t="n">
        <v>46204</v>
      </c>
      <c r="B11" s="11">
        <f>SUMIFS('Trade Log'!$R$5:$R$1004,'Trade Log'!$F$5:$F$1004,$A11,'Trade Log'!$S$5:$S$1004,B$4)</f>
        <v/>
      </c>
      <c r="C11" s="11">
        <f>SUMIFS('Trade Log'!$R$5:$R$1004,'Trade Log'!$F$5:$F$1004,$A11,'Trade Log'!$S$5:$S$1004,C$4)</f>
        <v/>
      </c>
      <c r="D11" s="11">
        <f>SUMIFS('Trade Log'!$R$5:$R$1004,'Trade Log'!$F$5:$F$1004,$A11,'Trade Log'!$S$5:$S$1004,D$4)</f>
        <v/>
      </c>
      <c r="E11" s="11">
        <f>SUMIFS('Trade Log'!$R$5:$R$1004,'Trade Log'!$F$5:$F$1004,$A11,'Trade Log'!$S$5:$S$1004,E$4)</f>
        <v/>
      </c>
      <c r="F11" s="11">
        <f>SUMIFS('Trade Log'!$R$5:$R$1004,'Trade Log'!$F$5:$F$1004,$A11,'Trade Log'!$S$5:$S$1004,F$4)</f>
        <v/>
      </c>
      <c r="G11" s="11">
        <f>SUM(B11:F11)</f>
        <v/>
      </c>
      <c r="H11" s="12">
        <f>COUNTIFS('Trade Log'!$F$5:$F$1004,$A11,'Trade Log'!$R$5:$R$1004,"&lt;&gt;")</f>
        <v/>
      </c>
      <c r="I11" s="11">
        <f>IF($H11=0,"",$G11/$H11)</f>
        <v/>
      </c>
    </row>
    <row r="12">
      <c r="A12" s="10" t="n">
        <v>46235</v>
      </c>
      <c r="B12" s="11">
        <f>SUMIFS('Trade Log'!$R$5:$R$1004,'Trade Log'!$F$5:$F$1004,$A12,'Trade Log'!$S$5:$S$1004,B$4)</f>
        <v/>
      </c>
      <c r="C12" s="11">
        <f>SUMIFS('Trade Log'!$R$5:$R$1004,'Trade Log'!$F$5:$F$1004,$A12,'Trade Log'!$S$5:$S$1004,C$4)</f>
        <v/>
      </c>
      <c r="D12" s="11">
        <f>SUMIFS('Trade Log'!$R$5:$R$1004,'Trade Log'!$F$5:$F$1004,$A12,'Trade Log'!$S$5:$S$1004,D$4)</f>
        <v/>
      </c>
      <c r="E12" s="11">
        <f>SUMIFS('Trade Log'!$R$5:$R$1004,'Trade Log'!$F$5:$F$1004,$A12,'Trade Log'!$S$5:$S$1004,E$4)</f>
        <v/>
      </c>
      <c r="F12" s="11">
        <f>SUMIFS('Trade Log'!$R$5:$R$1004,'Trade Log'!$F$5:$F$1004,$A12,'Trade Log'!$S$5:$S$1004,F$4)</f>
        <v/>
      </c>
      <c r="G12" s="11">
        <f>SUM(B12:F12)</f>
        <v/>
      </c>
      <c r="H12" s="12">
        <f>COUNTIFS('Trade Log'!$F$5:$F$1004,$A12,'Trade Log'!$R$5:$R$1004,"&lt;&gt;")</f>
        <v/>
      </c>
      <c r="I12" s="11">
        <f>IF($H12=0,"",$G12/$H12)</f>
        <v/>
      </c>
    </row>
    <row r="13">
      <c r="A13" s="10" t="n">
        <v>46266</v>
      </c>
      <c r="B13" s="11">
        <f>SUMIFS('Trade Log'!$R$5:$R$1004,'Trade Log'!$F$5:$F$1004,$A13,'Trade Log'!$S$5:$S$1004,B$4)</f>
        <v/>
      </c>
      <c r="C13" s="11">
        <f>SUMIFS('Trade Log'!$R$5:$R$1004,'Trade Log'!$F$5:$F$1004,$A13,'Trade Log'!$S$5:$S$1004,C$4)</f>
        <v/>
      </c>
      <c r="D13" s="11">
        <f>SUMIFS('Trade Log'!$R$5:$R$1004,'Trade Log'!$F$5:$F$1004,$A13,'Trade Log'!$S$5:$S$1004,D$4)</f>
        <v/>
      </c>
      <c r="E13" s="11">
        <f>SUMIFS('Trade Log'!$R$5:$R$1004,'Trade Log'!$F$5:$F$1004,$A13,'Trade Log'!$S$5:$S$1004,E$4)</f>
        <v/>
      </c>
      <c r="F13" s="11">
        <f>SUMIFS('Trade Log'!$R$5:$R$1004,'Trade Log'!$F$5:$F$1004,$A13,'Trade Log'!$S$5:$S$1004,F$4)</f>
        <v/>
      </c>
      <c r="G13" s="11">
        <f>SUM(B13:F13)</f>
        <v/>
      </c>
      <c r="H13" s="12">
        <f>COUNTIFS('Trade Log'!$F$5:$F$1004,$A13,'Trade Log'!$R$5:$R$1004,"&lt;&gt;")</f>
        <v/>
      </c>
      <c r="I13" s="11">
        <f>IF($H13=0,"",$G13/$H13)</f>
        <v/>
      </c>
    </row>
    <row r="14">
      <c r="A14" s="10" t="n">
        <v>46296</v>
      </c>
      <c r="B14" s="11">
        <f>SUMIFS('Trade Log'!$R$5:$R$1004,'Trade Log'!$F$5:$F$1004,$A14,'Trade Log'!$S$5:$S$1004,B$4)</f>
        <v/>
      </c>
      <c r="C14" s="11">
        <f>SUMIFS('Trade Log'!$R$5:$R$1004,'Trade Log'!$F$5:$F$1004,$A14,'Trade Log'!$S$5:$S$1004,C$4)</f>
        <v/>
      </c>
      <c r="D14" s="11">
        <f>SUMIFS('Trade Log'!$R$5:$R$1004,'Trade Log'!$F$5:$F$1004,$A14,'Trade Log'!$S$5:$S$1004,D$4)</f>
        <v/>
      </c>
      <c r="E14" s="11">
        <f>SUMIFS('Trade Log'!$R$5:$R$1004,'Trade Log'!$F$5:$F$1004,$A14,'Trade Log'!$S$5:$S$1004,E$4)</f>
        <v/>
      </c>
      <c r="F14" s="11">
        <f>SUMIFS('Trade Log'!$R$5:$R$1004,'Trade Log'!$F$5:$F$1004,$A14,'Trade Log'!$S$5:$S$1004,F$4)</f>
        <v/>
      </c>
      <c r="G14" s="11">
        <f>SUM(B14:F14)</f>
        <v/>
      </c>
      <c r="H14" s="12">
        <f>COUNTIFS('Trade Log'!$F$5:$F$1004,$A14,'Trade Log'!$R$5:$R$1004,"&lt;&gt;")</f>
        <v/>
      </c>
      <c r="I14" s="11">
        <f>IF($H14=0,"",$G14/$H14)</f>
        <v/>
      </c>
    </row>
    <row r="15">
      <c r="A15" s="10" t="n">
        <v>46327</v>
      </c>
      <c r="B15" s="11">
        <f>SUMIFS('Trade Log'!$R$5:$R$1004,'Trade Log'!$F$5:$F$1004,$A15,'Trade Log'!$S$5:$S$1004,B$4)</f>
        <v/>
      </c>
      <c r="C15" s="11">
        <f>SUMIFS('Trade Log'!$R$5:$R$1004,'Trade Log'!$F$5:$F$1004,$A15,'Trade Log'!$S$5:$S$1004,C$4)</f>
        <v/>
      </c>
      <c r="D15" s="11">
        <f>SUMIFS('Trade Log'!$R$5:$R$1004,'Trade Log'!$F$5:$F$1004,$A15,'Trade Log'!$S$5:$S$1004,D$4)</f>
        <v/>
      </c>
      <c r="E15" s="11">
        <f>SUMIFS('Trade Log'!$R$5:$R$1004,'Trade Log'!$F$5:$F$1004,$A15,'Trade Log'!$S$5:$S$1004,E$4)</f>
        <v/>
      </c>
      <c r="F15" s="11">
        <f>SUMIFS('Trade Log'!$R$5:$R$1004,'Trade Log'!$F$5:$F$1004,$A15,'Trade Log'!$S$5:$S$1004,F$4)</f>
        <v/>
      </c>
      <c r="G15" s="11">
        <f>SUM(B15:F15)</f>
        <v/>
      </c>
      <c r="H15" s="12">
        <f>COUNTIFS('Trade Log'!$F$5:$F$1004,$A15,'Trade Log'!$R$5:$R$1004,"&lt;&gt;")</f>
        <v/>
      </c>
      <c r="I15" s="11">
        <f>IF($H15=0,"",$G15/$H15)</f>
        <v/>
      </c>
    </row>
    <row r="16">
      <c r="A16" s="10" t="n">
        <v>46357</v>
      </c>
      <c r="B16" s="11">
        <f>SUMIFS('Trade Log'!$R$5:$R$1004,'Trade Log'!$F$5:$F$1004,$A16,'Trade Log'!$S$5:$S$1004,B$4)</f>
        <v/>
      </c>
      <c r="C16" s="11">
        <f>SUMIFS('Trade Log'!$R$5:$R$1004,'Trade Log'!$F$5:$F$1004,$A16,'Trade Log'!$S$5:$S$1004,C$4)</f>
        <v/>
      </c>
      <c r="D16" s="11">
        <f>SUMIFS('Trade Log'!$R$5:$R$1004,'Trade Log'!$F$5:$F$1004,$A16,'Trade Log'!$S$5:$S$1004,D$4)</f>
        <v/>
      </c>
      <c r="E16" s="11">
        <f>SUMIFS('Trade Log'!$R$5:$R$1004,'Trade Log'!$F$5:$F$1004,$A16,'Trade Log'!$S$5:$S$1004,E$4)</f>
        <v/>
      </c>
      <c r="F16" s="11">
        <f>SUMIFS('Trade Log'!$R$5:$R$1004,'Trade Log'!$F$5:$F$1004,$A16,'Trade Log'!$S$5:$S$1004,F$4)</f>
        <v/>
      </c>
      <c r="G16" s="11">
        <f>SUM(B16:F16)</f>
        <v/>
      </c>
      <c r="H16" s="12">
        <f>COUNTIFS('Trade Log'!$F$5:$F$1004,$A16,'Trade Log'!$R$5:$R$1004,"&lt;&gt;")</f>
        <v/>
      </c>
      <c r="I16" s="11">
        <f>IF($H16=0,"",$G16/$H16)</f>
        <v/>
      </c>
    </row>
    <row r="17">
      <c r="A17" s="10" t="n">
        <v>46388</v>
      </c>
      <c r="B17" s="11">
        <f>SUMIFS('Trade Log'!$R$5:$R$1004,'Trade Log'!$F$5:$F$1004,$A17,'Trade Log'!$S$5:$S$1004,B$4)</f>
        <v/>
      </c>
      <c r="C17" s="11">
        <f>SUMIFS('Trade Log'!$R$5:$R$1004,'Trade Log'!$F$5:$F$1004,$A17,'Trade Log'!$S$5:$S$1004,C$4)</f>
        <v/>
      </c>
      <c r="D17" s="11">
        <f>SUMIFS('Trade Log'!$R$5:$R$1004,'Trade Log'!$F$5:$F$1004,$A17,'Trade Log'!$S$5:$S$1004,D$4)</f>
        <v/>
      </c>
      <c r="E17" s="11">
        <f>SUMIFS('Trade Log'!$R$5:$R$1004,'Trade Log'!$F$5:$F$1004,$A17,'Trade Log'!$S$5:$S$1004,E$4)</f>
        <v/>
      </c>
      <c r="F17" s="11">
        <f>SUMIFS('Trade Log'!$R$5:$R$1004,'Trade Log'!$F$5:$F$1004,$A17,'Trade Log'!$S$5:$S$1004,F$4)</f>
        <v/>
      </c>
      <c r="G17" s="11">
        <f>SUM(B17:F17)</f>
        <v/>
      </c>
      <c r="H17" s="12">
        <f>COUNTIFS('Trade Log'!$F$5:$F$1004,$A17,'Trade Log'!$R$5:$R$1004,"&lt;&gt;")</f>
        <v/>
      </c>
      <c r="I17" s="11">
        <f>IF($H17=0,"",$G17/$H17)</f>
        <v/>
      </c>
    </row>
    <row r="18">
      <c r="A18" s="10" t="n">
        <v>46419</v>
      </c>
      <c r="B18" s="11">
        <f>SUMIFS('Trade Log'!$R$5:$R$1004,'Trade Log'!$F$5:$F$1004,$A18,'Trade Log'!$S$5:$S$1004,B$4)</f>
        <v/>
      </c>
      <c r="C18" s="11">
        <f>SUMIFS('Trade Log'!$R$5:$R$1004,'Trade Log'!$F$5:$F$1004,$A18,'Trade Log'!$S$5:$S$1004,C$4)</f>
        <v/>
      </c>
      <c r="D18" s="11">
        <f>SUMIFS('Trade Log'!$R$5:$R$1004,'Trade Log'!$F$5:$F$1004,$A18,'Trade Log'!$S$5:$S$1004,D$4)</f>
        <v/>
      </c>
      <c r="E18" s="11">
        <f>SUMIFS('Trade Log'!$R$5:$R$1004,'Trade Log'!$F$5:$F$1004,$A18,'Trade Log'!$S$5:$S$1004,E$4)</f>
        <v/>
      </c>
      <c r="F18" s="11">
        <f>SUMIFS('Trade Log'!$R$5:$R$1004,'Trade Log'!$F$5:$F$1004,$A18,'Trade Log'!$S$5:$S$1004,F$4)</f>
        <v/>
      </c>
      <c r="G18" s="11">
        <f>SUM(B18:F18)</f>
        <v/>
      </c>
      <c r="H18" s="12">
        <f>COUNTIFS('Trade Log'!$F$5:$F$1004,$A18,'Trade Log'!$R$5:$R$1004,"&lt;&gt;")</f>
        <v/>
      </c>
      <c r="I18" s="11">
        <f>IF($H18=0,"",$G18/$H18)</f>
        <v/>
      </c>
    </row>
    <row r="19">
      <c r="A19" s="10" t="n">
        <v>46447</v>
      </c>
      <c r="B19" s="11">
        <f>SUMIFS('Trade Log'!$R$5:$R$1004,'Trade Log'!$F$5:$F$1004,$A19,'Trade Log'!$S$5:$S$1004,B$4)</f>
        <v/>
      </c>
      <c r="C19" s="11">
        <f>SUMIFS('Trade Log'!$R$5:$R$1004,'Trade Log'!$F$5:$F$1004,$A19,'Trade Log'!$S$5:$S$1004,C$4)</f>
        <v/>
      </c>
      <c r="D19" s="11">
        <f>SUMIFS('Trade Log'!$R$5:$R$1004,'Trade Log'!$F$5:$F$1004,$A19,'Trade Log'!$S$5:$S$1004,D$4)</f>
        <v/>
      </c>
      <c r="E19" s="11">
        <f>SUMIFS('Trade Log'!$R$5:$R$1004,'Trade Log'!$F$5:$F$1004,$A19,'Trade Log'!$S$5:$S$1004,E$4)</f>
        <v/>
      </c>
      <c r="F19" s="11">
        <f>SUMIFS('Trade Log'!$R$5:$R$1004,'Trade Log'!$F$5:$F$1004,$A19,'Trade Log'!$S$5:$S$1004,F$4)</f>
        <v/>
      </c>
      <c r="G19" s="11">
        <f>SUM(B19:F19)</f>
        <v/>
      </c>
      <c r="H19" s="12">
        <f>COUNTIFS('Trade Log'!$F$5:$F$1004,$A19,'Trade Log'!$R$5:$R$1004,"&lt;&gt;")</f>
        <v/>
      </c>
      <c r="I19" s="11">
        <f>IF($H19=0,"",$G19/$H19)</f>
        <v/>
      </c>
    </row>
    <row r="20">
      <c r="A20" s="10" t="n">
        <v>46478</v>
      </c>
      <c r="B20" s="11">
        <f>SUMIFS('Trade Log'!$R$5:$R$1004,'Trade Log'!$F$5:$F$1004,$A20,'Trade Log'!$S$5:$S$1004,B$4)</f>
        <v/>
      </c>
      <c r="C20" s="11">
        <f>SUMIFS('Trade Log'!$R$5:$R$1004,'Trade Log'!$F$5:$F$1004,$A20,'Trade Log'!$S$5:$S$1004,C$4)</f>
        <v/>
      </c>
      <c r="D20" s="11">
        <f>SUMIFS('Trade Log'!$R$5:$R$1004,'Trade Log'!$F$5:$F$1004,$A20,'Trade Log'!$S$5:$S$1004,D$4)</f>
        <v/>
      </c>
      <c r="E20" s="11">
        <f>SUMIFS('Trade Log'!$R$5:$R$1004,'Trade Log'!$F$5:$F$1004,$A20,'Trade Log'!$S$5:$S$1004,E$4)</f>
        <v/>
      </c>
      <c r="F20" s="11">
        <f>SUMIFS('Trade Log'!$R$5:$R$1004,'Trade Log'!$F$5:$F$1004,$A20,'Trade Log'!$S$5:$S$1004,F$4)</f>
        <v/>
      </c>
      <c r="G20" s="11">
        <f>SUM(B20:F20)</f>
        <v/>
      </c>
      <c r="H20" s="12">
        <f>COUNTIFS('Trade Log'!$F$5:$F$1004,$A20,'Trade Log'!$R$5:$R$1004,"&lt;&gt;")</f>
        <v/>
      </c>
      <c r="I20" s="11">
        <f>IF($H20=0,"",$G20/$H20)</f>
        <v/>
      </c>
    </row>
    <row r="21">
      <c r="A21" s="10" t="n">
        <v>46508</v>
      </c>
      <c r="B21" s="11">
        <f>SUMIFS('Trade Log'!$R$5:$R$1004,'Trade Log'!$F$5:$F$1004,$A21,'Trade Log'!$S$5:$S$1004,B$4)</f>
        <v/>
      </c>
      <c r="C21" s="11">
        <f>SUMIFS('Trade Log'!$R$5:$R$1004,'Trade Log'!$F$5:$F$1004,$A21,'Trade Log'!$S$5:$S$1004,C$4)</f>
        <v/>
      </c>
      <c r="D21" s="11">
        <f>SUMIFS('Trade Log'!$R$5:$R$1004,'Trade Log'!$F$5:$F$1004,$A21,'Trade Log'!$S$5:$S$1004,D$4)</f>
        <v/>
      </c>
      <c r="E21" s="11">
        <f>SUMIFS('Trade Log'!$R$5:$R$1004,'Trade Log'!$F$5:$F$1004,$A21,'Trade Log'!$S$5:$S$1004,E$4)</f>
        <v/>
      </c>
      <c r="F21" s="11">
        <f>SUMIFS('Trade Log'!$R$5:$R$1004,'Trade Log'!$F$5:$F$1004,$A21,'Trade Log'!$S$5:$S$1004,F$4)</f>
        <v/>
      </c>
      <c r="G21" s="11">
        <f>SUM(B21:F21)</f>
        <v/>
      </c>
      <c r="H21" s="12">
        <f>COUNTIFS('Trade Log'!$F$5:$F$1004,$A21,'Trade Log'!$R$5:$R$1004,"&lt;&gt;")</f>
        <v/>
      </c>
      <c r="I21" s="11">
        <f>IF($H21=0,"",$G21/$H21)</f>
        <v/>
      </c>
    </row>
    <row r="22">
      <c r="A22" s="10" t="n">
        <v>46539</v>
      </c>
      <c r="B22" s="11">
        <f>SUMIFS('Trade Log'!$R$5:$R$1004,'Trade Log'!$F$5:$F$1004,$A22,'Trade Log'!$S$5:$S$1004,B$4)</f>
        <v/>
      </c>
      <c r="C22" s="11">
        <f>SUMIFS('Trade Log'!$R$5:$R$1004,'Trade Log'!$F$5:$F$1004,$A22,'Trade Log'!$S$5:$S$1004,C$4)</f>
        <v/>
      </c>
      <c r="D22" s="11">
        <f>SUMIFS('Trade Log'!$R$5:$R$1004,'Trade Log'!$F$5:$F$1004,$A22,'Trade Log'!$S$5:$S$1004,D$4)</f>
        <v/>
      </c>
      <c r="E22" s="11">
        <f>SUMIFS('Trade Log'!$R$5:$R$1004,'Trade Log'!$F$5:$F$1004,$A22,'Trade Log'!$S$5:$S$1004,E$4)</f>
        <v/>
      </c>
      <c r="F22" s="11">
        <f>SUMIFS('Trade Log'!$R$5:$R$1004,'Trade Log'!$F$5:$F$1004,$A22,'Trade Log'!$S$5:$S$1004,F$4)</f>
        <v/>
      </c>
      <c r="G22" s="11">
        <f>SUM(B22:F22)</f>
        <v/>
      </c>
      <c r="H22" s="12">
        <f>COUNTIFS('Trade Log'!$F$5:$F$1004,$A22,'Trade Log'!$R$5:$R$1004,"&lt;&gt;")</f>
        <v/>
      </c>
      <c r="I22" s="11">
        <f>IF($H22=0,"",$G22/$H22)</f>
        <v/>
      </c>
    </row>
    <row r="23">
      <c r="A23" s="10" t="n">
        <v>46569</v>
      </c>
      <c r="B23" s="11">
        <f>SUMIFS('Trade Log'!$R$5:$R$1004,'Trade Log'!$F$5:$F$1004,$A23,'Trade Log'!$S$5:$S$1004,B$4)</f>
        <v/>
      </c>
      <c r="C23" s="11">
        <f>SUMIFS('Trade Log'!$R$5:$R$1004,'Trade Log'!$F$5:$F$1004,$A23,'Trade Log'!$S$5:$S$1004,C$4)</f>
        <v/>
      </c>
      <c r="D23" s="11">
        <f>SUMIFS('Trade Log'!$R$5:$R$1004,'Trade Log'!$F$5:$F$1004,$A23,'Trade Log'!$S$5:$S$1004,D$4)</f>
        <v/>
      </c>
      <c r="E23" s="11">
        <f>SUMIFS('Trade Log'!$R$5:$R$1004,'Trade Log'!$F$5:$F$1004,$A23,'Trade Log'!$S$5:$S$1004,E$4)</f>
        <v/>
      </c>
      <c r="F23" s="11">
        <f>SUMIFS('Trade Log'!$R$5:$R$1004,'Trade Log'!$F$5:$F$1004,$A23,'Trade Log'!$S$5:$S$1004,F$4)</f>
        <v/>
      </c>
      <c r="G23" s="11">
        <f>SUM(B23:F23)</f>
        <v/>
      </c>
      <c r="H23" s="12">
        <f>COUNTIFS('Trade Log'!$F$5:$F$1004,$A23,'Trade Log'!$R$5:$R$1004,"&lt;&gt;")</f>
        <v/>
      </c>
      <c r="I23" s="11">
        <f>IF($H23=0,"",$G23/$H23)</f>
        <v/>
      </c>
    </row>
    <row r="24">
      <c r="A24" s="10" t="n">
        <v>46600</v>
      </c>
      <c r="B24" s="11">
        <f>SUMIFS('Trade Log'!$R$5:$R$1004,'Trade Log'!$F$5:$F$1004,$A24,'Trade Log'!$S$5:$S$1004,B$4)</f>
        <v/>
      </c>
      <c r="C24" s="11">
        <f>SUMIFS('Trade Log'!$R$5:$R$1004,'Trade Log'!$F$5:$F$1004,$A24,'Trade Log'!$S$5:$S$1004,C$4)</f>
        <v/>
      </c>
      <c r="D24" s="11">
        <f>SUMIFS('Trade Log'!$R$5:$R$1004,'Trade Log'!$F$5:$F$1004,$A24,'Trade Log'!$S$5:$S$1004,D$4)</f>
        <v/>
      </c>
      <c r="E24" s="11">
        <f>SUMIFS('Trade Log'!$R$5:$R$1004,'Trade Log'!$F$5:$F$1004,$A24,'Trade Log'!$S$5:$S$1004,E$4)</f>
        <v/>
      </c>
      <c r="F24" s="11">
        <f>SUMIFS('Trade Log'!$R$5:$R$1004,'Trade Log'!$F$5:$F$1004,$A24,'Trade Log'!$S$5:$S$1004,F$4)</f>
        <v/>
      </c>
      <c r="G24" s="11">
        <f>SUM(B24:F24)</f>
        <v/>
      </c>
      <c r="H24" s="12">
        <f>COUNTIFS('Trade Log'!$F$5:$F$1004,$A24,'Trade Log'!$R$5:$R$1004,"&lt;&gt;")</f>
        <v/>
      </c>
      <c r="I24" s="11">
        <f>IF($H24=0,"",$G24/$H24)</f>
        <v/>
      </c>
    </row>
    <row r="25">
      <c r="A25" s="10" t="n">
        <v>46631</v>
      </c>
      <c r="B25" s="11">
        <f>SUMIFS('Trade Log'!$R$5:$R$1004,'Trade Log'!$F$5:$F$1004,$A25,'Trade Log'!$S$5:$S$1004,B$4)</f>
        <v/>
      </c>
      <c r="C25" s="11">
        <f>SUMIFS('Trade Log'!$R$5:$R$1004,'Trade Log'!$F$5:$F$1004,$A25,'Trade Log'!$S$5:$S$1004,C$4)</f>
        <v/>
      </c>
      <c r="D25" s="11">
        <f>SUMIFS('Trade Log'!$R$5:$R$1004,'Trade Log'!$F$5:$F$1004,$A25,'Trade Log'!$S$5:$S$1004,D$4)</f>
        <v/>
      </c>
      <c r="E25" s="11">
        <f>SUMIFS('Trade Log'!$R$5:$R$1004,'Trade Log'!$F$5:$F$1004,$A25,'Trade Log'!$S$5:$S$1004,E$4)</f>
        <v/>
      </c>
      <c r="F25" s="11">
        <f>SUMIFS('Trade Log'!$R$5:$R$1004,'Trade Log'!$F$5:$F$1004,$A25,'Trade Log'!$S$5:$S$1004,F$4)</f>
        <v/>
      </c>
      <c r="G25" s="11">
        <f>SUM(B25:F25)</f>
        <v/>
      </c>
      <c r="H25" s="12">
        <f>COUNTIFS('Trade Log'!$F$5:$F$1004,$A25,'Trade Log'!$R$5:$R$1004,"&lt;&gt;")</f>
        <v/>
      </c>
      <c r="I25" s="11">
        <f>IF($H25=0,"",$G25/$H25)</f>
        <v/>
      </c>
    </row>
    <row r="26">
      <c r="A26" s="10" t="n">
        <v>46661</v>
      </c>
      <c r="B26" s="11">
        <f>SUMIFS('Trade Log'!$R$5:$R$1004,'Trade Log'!$F$5:$F$1004,$A26,'Trade Log'!$S$5:$S$1004,B$4)</f>
        <v/>
      </c>
      <c r="C26" s="11">
        <f>SUMIFS('Trade Log'!$R$5:$R$1004,'Trade Log'!$F$5:$F$1004,$A26,'Trade Log'!$S$5:$S$1004,C$4)</f>
        <v/>
      </c>
      <c r="D26" s="11">
        <f>SUMIFS('Trade Log'!$R$5:$R$1004,'Trade Log'!$F$5:$F$1004,$A26,'Trade Log'!$S$5:$S$1004,D$4)</f>
        <v/>
      </c>
      <c r="E26" s="11">
        <f>SUMIFS('Trade Log'!$R$5:$R$1004,'Trade Log'!$F$5:$F$1004,$A26,'Trade Log'!$S$5:$S$1004,E$4)</f>
        <v/>
      </c>
      <c r="F26" s="11">
        <f>SUMIFS('Trade Log'!$R$5:$R$1004,'Trade Log'!$F$5:$F$1004,$A26,'Trade Log'!$S$5:$S$1004,F$4)</f>
        <v/>
      </c>
      <c r="G26" s="11">
        <f>SUM(B26:F26)</f>
        <v/>
      </c>
      <c r="H26" s="12">
        <f>COUNTIFS('Trade Log'!$F$5:$F$1004,$A26,'Trade Log'!$R$5:$R$1004,"&lt;&gt;")</f>
        <v/>
      </c>
      <c r="I26" s="11">
        <f>IF($H26=0,"",$G26/$H26)</f>
        <v/>
      </c>
    </row>
    <row r="27">
      <c r="A27" s="10" t="n">
        <v>46692</v>
      </c>
      <c r="B27" s="11">
        <f>SUMIFS('Trade Log'!$R$5:$R$1004,'Trade Log'!$F$5:$F$1004,$A27,'Trade Log'!$S$5:$S$1004,B$4)</f>
        <v/>
      </c>
      <c r="C27" s="11">
        <f>SUMIFS('Trade Log'!$R$5:$R$1004,'Trade Log'!$F$5:$F$1004,$A27,'Trade Log'!$S$5:$S$1004,C$4)</f>
        <v/>
      </c>
      <c r="D27" s="11">
        <f>SUMIFS('Trade Log'!$R$5:$R$1004,'Trade Log'!$F$5:$F$1004,$A27,'Trade Log'!$S$5:$S$1004,D$4)</f>
        <v/>
      </c>
      <c r="E27" s="11">
        <f>SUMIFS('Trade Log'!$R$5:$R$1004,'Trade Log'!$F$5:$F$1004,$A27,'Trade Log'!$S$5:$S$1004,E$4)</f>
        <v/>
      </c>
      <c r="F27" s="11">
        <f>SUMIFS('Trade Log'!$R$5:$R$1004,'Trade Log'!$F$5:$F$1004,$A27,'Trade Log'!$S$5:$S$1004,F$4)</f>
        <v/>
      </c>
      <c r="G27" s="11">
        <f>SUM(B27:F27)</f>
        <v/>
      </c>
      <c r="H27" s="12">
        <f>COUNTIFS('Trade Log'!$F$5:$F$1004,$A27,'Trade Log'!$R$5:$R$1004,"&lt;&gt;")</f>
        <v/>
      </c>
      <c r="I27" s="11">
        <f>IF($H27=0,"",$G27/$H27)</f>
        <v/>
      </c>
    </row>
    <row r="28">
      <c r="A28" s="10" t="n">
        <v>46722</v>
      </c>
      <c r="B28" s="11">
        <f>SUMIFS('Trade Log'!$R$5:$R$1004,'Trade Log'!$F$5:$F$1004,$A28,'Trade Log'!$S$5:$S$1004,B$4)</f>
        <v/>
      </c>
      <c r="C28" s="11">
        <f>SUMIFS('Trade Log'!$R$5:$R$1004,'Trade Log'!$F$5:$F$1004,$A28,'Trade Log'!$S$5:$S$1004,C$4)</f>
        <v/>
      </c>
      <c r="D28" s="11">
        <f>SUMIFS('Trade Log'!$R$5:$R$1004,'Trade Log'!$F$5:$F$1004,$A28,'Trade Log'!$S$5:$S$1004,D$4)</f>
        <v/>
      </c>
      <c r="E28" s="11">
        <f>SUMIFS('Trade Log'!$R$5:$R$1004,'Trade Log'!$F$5:$F$1004,$A28,'Trade Log'!$S$5:$S$1004,E$4)</f>
        <v/>
      </c>
      <c r="F28" s="11">
        <f>SUMIFS('Trade Log'!$R$5:$R$1004,'Trade Log'!$F$5:$F$1004,$A28,'Trade Log'!$S$5:$S$1004,F$4)</f>
        <v/>
      </c>
      <c r="G28" s="11">
        <f>SUM(B28:F28)</f>
        <v/>
      </c>
      <c r="H28" s="12">
        <f>COUNTIFS('Trade Log'!$F$5:$F$1004,$A28,'Trade Log'!$R$5:$R$1004,"&lt;&gt;")</f>
        <v/>
      </c>
      <c r="I28" s="11">
        <f>IF($H28=0,"",$G28/$H28)</f>
        <v/>
      </c>
    </row>
    <row r="32">
      <c r="A32" s="9" t="inlineStr">
        <is>
          <t>Ticker</t>
        </is>
      </c>
      <c r="B32" s="9" t="inlineStr">
        <is>
          <t>Covered Call</t>
        </is>
      </c>
      <c r="C32" s="9" t="inlineStr">
        <is>
          <t>Cash Secured Put</t>
        </is>
      </c>
      <c r="D32" s="9" t="inlineStr">
        <is>
          <t>Long Option / Spread</t>
        </is>
      </c>
      <c r="E32" s="9" t="inlineStr">
        <is>
          <t>Stock Sales</t>
        </is>
      </c>
      <c r="F32" s="9" t="inlineStr">
        <is>
          <t>Other</t>
        </is>
      </c>
      <c r="G32" s="9" t="inlineStr">
        <is>
          <t>Total</t>
        </is>
      </c>
    </row>
    <row r="33">
      <c r="A33" s="12">
        <f>IFERROR(INDEX(SORT(UNIQUE(FILTER('Trade Log'!$G$5:$G$1004,'Trade Log'!$G$5:$G$1004&lt;&gt;""))),ROW()-32),"")</f>
        <v/>
      </c>
      <c r="B33" s="11">
        <f>IF($A33="","",SUMIFS('Trade Log'!$R$5:$R$1004,'Trade Log'!$G$5:$G$1004,$A33,'Trade Log'!$S$5:$S$1004,"Covered Call Premium"))</f>
        <v/>
      </c>
      <c r="C33" s="11">
        <f>IF($A33="","",SUMIFS('Trade Log'!$R$5:$R$1004,'Trade Log'!$G$5:$G$1004,$A33,'Trade Log'!$S$5:$S$1004,"Cash Secured Put Premium"))</f>
        <v/>
      </c>
      <c r="D33" s="11">
        <f>IF($A33="","",SUMIFS('Trade Log'!$R$5:$R$1004,'Trade Log'!$G$5:$G$1004,$A33,'Trade Log'!$S$5:$S$1004,"Long Call/Put P/L"))</f>
        <v/>
      </c>
      <c r="E33" s="11">
        <f>IF($A33="","",SUMIFS('Trade Log'!$R$5:$R$1004,'Trade Log'!$G$5:$G$1004,$A33,'Trade Log'!$S$5:$S$1004,"Stock Sales"))</f>
        <v/>
      </c>
      <c r="F33" s="11">
        <f>IF($A33="","",SUMIFS('Trade Log'!$R$5:$R$1004,'Trade Log'!$G$5:$G$1004,$A33,'Trade Log'!$S$5:$S$1004,"Other"))</f>
        <v/>
      </c>
      <c r="G33" s="11">
        <f>IF($A33="","",SUM(B33:F33))</f>
        <v/>
      </c>
    </row>
    <row r="34">
      <c r="A34" s="12">
        <f>IFERROR(INDEX(SORT(UNIQUE(FILTER('Trade Log'!$G$5:$G$1004,'Trade Log'!$G$5:$G$1004&lt;&gt;""))),ROW()-32),"")</f>
        <v/>
      </c>
      <c r="B34" s="11">
        <f>IF($A34="","",SUMIFS('Trade Log'!$R$5:$R$1004,'Trade Log'!$G$5:$G$1004,$A34,'Trade Log'!$S$5:$S$1004,"Covered Call Premium"))</f>
        <v/>
      </c>
      <c r="C34" s="11">
        <f>IF($A34="","",SUMIFS('Trade Log'!$R$5:$R$1004,'Trade Log'!$G$5:$G$1004,$A34,'Trade Log'!$S$5:$S$1004,"Cash Secured Put Premium"))</f>
        <v/>
      </c>
      <c r="D34" s="11">
        <f>IF($A34="","",SUMIFS('Trade Log'!$R$5:$R$1004,'Trade Log'!$G$5:$G$1004,$A34,'Trade Log'!$S$5:$S$1004,"Long Call/Put P/L"))</f>
        <v/>
      </c>
      <c r="E34" s="11">
        <f>IF($A34="","",SUMIFS('Trade Log'!$R$5:$R$1004,'Trade Log'!$G$5:$G$1004,$A34,'Trade Log'!$S$5:$S$1004,"Stock Sales"))</f>
        <v/>
      </c>
      <c r="F34" s="11">
        <f>IF($A34="","",SUMIFS('Trade Log'!$R$5:$R$1004,'Trade Log'!$G$5:$G$1004,$A34,'Trade Log'!$S$5:$S$1004,"Other"))</f>
        <v/>
      </c>
      <c r="G34" s="11">
        <f>IF($A34="","",SUM(B34:F34))</f>
        <v/>
      </c>
    </row>
    <row r="35">
      <c r="A35" s="12">
        <f>IFERROR(INDEX(SORT(UNIQUE(FILTER('Trade Log'!$G$5:$G$1004,'Trade Log'!$G$5:$G$1004&lt;&gt;""))),ROW()-32),"")</f>
        <v/>
      </c>
      <c r="B35" s="11">
        <f>IF($A35="","",SUMIFS('Trade Log'!$R$5:$R$1004,'Trade Log'!$G$5:$G$1004,$A35,'Trade Log'!$S$5:$S$1004,"Covered Call Premium"))</f>
        <v/>
      </c>
      <c r="C35" s="11">
        <f>IF($A35="","",SUMIFS('Trade Log'!$R$5:$R$1004,'Trade Log'!$G$5:$G$1004,$A35,'Trade Log'!$S$5:$S$1004,"Cash Secured Put Premium"))</f>
        <v/>
      </c>
      <c r="D35" s="11">
        <f>IF($A35="","",SUMIFS('Trade Log'!$R$5:$R$1004,'Trade Log'!$G$5:$G$1004,$A35,'Trade Log'!$S$5:$S$1004,"Long Call/Put P/L"))</f>
        <v/>
      </c>
      <c r="E35" s="11">
        <f>IF($A35="","",SUMIFS('Trade Log'!$R$5:$R$1004,'Trade Log'!$G$5:$G$1004,$A35,'Trade Log'!$S$5:$S$1004,"Stock Sales"))</f>
        <v/>
      </c>
      <c r="F35" s="11">
        <f>IF($A35="","",SUMIFS('Trade Log'!$R$5:$R$1004,'Trade Log'!$G$5:$G$1004,$A35,'Trade Log'!$S$5:$S$1004,"Other"))</f>
        <v/>
      </c>
      <c r="G35" s="11">
        <f>IF($A35="","",SUM(B35:F35))</f>
        <v/>
      </c>
    </row>
    <row r="36">
      <c r="A36" s="12">
        <f>IFERROR(INDEX(SORT(UNIQUE(FILTER('Trade Log'!$G$5:$G$1004,'Trade Log'!$G$5:$G$1004&lt;&gt;""))),ROW()-32),"")</f>
        <v/>
      </c>
      <c r="B36" s="11">
        <f>IF($A36="","",SUMIFS('Trade Log'!$R$5:$R$1004,'Trade Log'!$G$5:$G$1004,$A36,'Trade Log'!$S$5:$S$1004,"Covered Call Premium"))</f>
        <v/>
      </c>
      <c r="C36" s="11">
        <f>IF($A36="","",SUMIFS('Trade Log'!$R$5:$R$1004,'Trade Log'!$G$5:$G$1004,$A36,'Trade Log'!$S$5:$S$1004,"Cash Secured Put Premium"))</f>
        <v/>
      </c>
      <c r="D36" s="11">
        <f>IF($A36="","",SUMIFS('Trade Log'!$R$5:$R$1004,'Trade Log'!$G$5:$G$1004,$A36,'Trade Log'!$S$5:$S$1004,"Long Call/Put P/L"))</f>
        <v/>
      </c>
      <c r="E36" s="11">
        <f>IF($A36="","",SUMIFS('Trade Log'!$R$5:$R$1004,'Trade Log'!$G$5:$G$1004,$A36,'Trade Log'!$S$5:$S$1004,"Stock Sales"))</f>
        <v/>
      </c>
      <c r="F36" s="11">
        <f>IF($A36="","",SUMIFS('Trade Log'!$R$5:$R$1004,'Trade Log'!$G$5:$G$1004,$A36,'Trade Log'!$S$5:$S$1004,"Other"))</f>
        <v/>
      </c>
      <c r="G36" s="11">
        <f>IF($A36="","",SUM(B36:F36))</f>
        <v/>
      </c>
    </row>
    <row r="37">
      <c r="A37" s="12">
        <f>IFERROR(INDEX(SORT(UNIQUE(FILTER('Trade Log'!$G$5:$G$1004,'Trade Log'!$G$5:$G$1004&lt;&gt;""))),ROW()-32),"")</f>
        <v/>
      </c>
      <c r="B37" s="11">
        <f>IF($A37="","",SUMIFS('Trade Log'!$R$5:$R$1004,'Trade Log'!$G$5:$G$1004,$A37,'Trade Log'!$S$5:$S$1004,"Covered Call Premium"))</f>
        <v/>
      </c>
      <c r="C37" s="11">
        <f>IF($A37="","",SUMIFS('Trade Log'!$R$5:$R$1004,'Trade Log'!$G$5:$G$1004,$A37,'Trade Log'!$S$5:$S$1004,"Cash Secured Put Premium"))</f>
        <v/>
      </c>
      <c r="D37" s="11">
        <f>IF($A37="","",SUMIFS('Trade Log'!$R$5:$R$1004,'Trade Log'!$G$5:$G$1004,$A37,'Trade Log'!$S$5:$S$1004,"Long Call/Put P/L"))</f>
        <v/>
      </c>
      <c r="E37" s="11">
        <f>IF($A37="","",SUMIFS('Trade Log'!$R$5:$R$1004,'Trade Log'!$G$5:$G$1004,$A37,'Trade Log'!$S$5:$S$1004,"Stock Sales"))</f>
        <v/>
      </c>
      <c r="F37" s="11">
        <f>IF($A37="","",SUMIFS('Trade Log'!$R$5:$R$1004,'Trade Log'!$G$5:$G$1004,$A37,'Trade Log'!$S$5:$S$1004,"Other"))</f>
        <v/>
      </c>
      <c r="G37" s="11">
        <f>IF($A37="","",SUM(B37:F37))</f>
        <v/>
      </c>
    </row>
    <row r="38">
      <c r="A38" s="12">
        <f>IFERROR(INDEX(SORT(UNIQUE(FILTER('Trade Log'!$G$5:$G$1004,'Trade Log'!$G$5:$G$1004&lt;&gt;""))),ROW()-32),"")</f>
        <v/>
      </c>
      <c r="B38" s="11">
        <f>IF($A38="","",SUMIFS('Trade Log'!$R$5:$R$1004,'Trade Log'!$G$5:$G$1004,$A38,'Trade Log'!$S$5:$S$1004,"Covered Call Premium"))</f>
        <v/>
      </c>
      <c r="C38" s="11">
        <f>IF($A38="","",SUMIFS('Trade Log'!$R$5:$R$1004,'Trade Log'!$G$5:$G$1004,$A38,'Trade Log'!$S$5:$S$1004,"Cash Secured Put Premium"))</f>
        <v/>
      </c>
      <c r="D38" s="11">
        <f>IF($A38="","",SUMIFS('Trade Log'!$R$5:$R$1004,'Trade Log'!$G$5:$G$1004,$A38,'Trade Log'!$S$5:$S$1004,"Long Call/Put P/L"))</f>
        <v/>
      </c>
      <c r="E38" s="11">
        <f>IF($A38="","",SUMIFS('Trade Log'!$R$5:$R$1004,'Trade Log'!$G$5:$G$1004,$A38,'Trade Log'!$S$5:$S$1004,"Stock Sales"))</f>
        <v/>
      </c>
      <c r="F38" s="11">
        <f>IF($A38="","",SUMIFS('Trade Log'!$R$5:$R$1004,'Trade Log'!$G$5:$G$1004,$A38,'Trade Log'!$S$5:$S$1004,"Other"))</f>
        <v/>
      </c>
      <c r="G38" s="11">
        <f>IF($A38="","",SUM(B38:F38))</f>
        <v/>
      </c>
    </row>
    <row r="39">
      <c r="A39" s="12">
        <f>IFERROR(INDEX(SORT(UNIQUE(FILTER('Trade Log'!$G$5:$G$1004,'Trade Log'!$G$5:$G$1004&lt;&gt;""))),ROW()-32),"")</f>
        <v/>
      </c>
      <c r="B39" s="11">
        <f>IF($A39="","",SUMIFS('Trade Log'!$R$5:$R$1004,'Trade Log'!$G$5:$G$1004,$A39,'Trade Log'!$S$5:$S$1004,"Covered Call Premium"))</f>
        <v/>
      </c>
      <c r="C39" s="11">
        <f>IF($A39="","",SUMIFS('Trade Log'!$R$5:$R$1004,'Trade Log'!$G$5:$G$1004,$A39,'Trade Log'!$S$5:$S$1004,"Cash Secured Put Premium"))</f>
        <v/>
      </c>
      <c r="D39" s="11">
        <f>IF($A39="","",SUMIFS('Trade Log'!$R$5:$R$1004,'Trade Log'!$G$5:$G$1004,$A39,'Trade Log'!$S$5:$S$1004,"Long Call/Put P/L"))</f>
        <v/>
      </c>
      <c r="E39" s="11">
        <f>IF($A39="","",SUMIFS('Trade Log'!$R$5:$R$1004,'Trade Log'!$G$5:$G$1004,$A39,'Trade Log'!$S$5:$S$1004,"Stock Sales"))</f>
        <v/>
      </c>
      <c r="F39" s="11">
        <f>IF($A39="","",SUMIFS('Trade Log'!$R$5:$R$1004,'Trade Log'!$G$5:$G$1004,$A39,'Trade Log'!$S$5:$S$1004,"Other"))</f>
        <v/>
      </c>
      <c r="G39" s="11">
        <f>IF($A39="","",SUM(B39:F39))</f>
        <v/>
      </c>
    </row>
    <row r="40">
      <c r="A40" s="12">
        <f>IFERROR(INDEX(SORT(UNIQUE(FILTER('Trade Log'!$G$5:$G$1004,'Trade Log'!$G$5:$G$1004&lt;&gt;""))),ROW()-32),"")</f>
        <v/>
      </c>
      <c r="B40" s="11">
        <f>IF($A40="","",SUMIFS('Trade Log'!$R$5:$R$1004,'Trade Log'!$G$5:$G$1004,$A40,'Trade Log'!$S$5:$S$1004,"Covered Call Premium"))</f>
        <v/>
      </c>
      <c r="C40" s="11">
        <f>IF($A40="","",SUMIFS('Trade Log'!$R$5:$R$1004,'Trade Log'!$G$5:$G$1004,$A40,'Trade Log'!$S$5:$S$1004,"Cash Secured Put Premium"))</f>
        <v/>
      </c>
      <c r="D40" s="11">
        <f>IF($A40="","",SUMIFS('Trade Log'!$R$5:$R$1004,'Trade Log'!$G$5:$G$1004,$A40,'Trade Log'!$S$5:$S$1004,"Long Call/Put P/L"))</f>
        <v/>
      </c>
      <c r="E40" s="11">
        <f>IF($A40="","",SUMIFS('Trade Log'!$R$5:$R$1004,'Trade Log'!$G$5:$G$1004,$A40,'Trade Log'!$S$5:$S$1004,"Stock Sales"))</f>
        <v/>
      </c>
      <c r="F40" s="11">
        <f>IF($A40="","",SUMIFS('Trade Log'!$R$5:$R$1004,'Trade Log'!$G$5:$G$1004,$A40,'Trade Log'!$S$5:$S$1004,"Other"))</f>
        <v/>
      </c>
      <c r="G40" s="11">
        <f>IF($A40="","",SUM(B40:F40))</f>
        <v/>
      </c>
    </row>
    <row r="41">
      <c r="A41" s="12">
        <f>IFERROR(INDEX(SORT(UNIQUE(FILTER('Trade Log'!$G$5:$G$1004,'Trade Log'!$G$5:$G$1004&lt;&gt;""))),ROW()-32),"")</f>
        <v/>
      </c>
      <c r="B41" s="11">
        <f>IF($A41="","",SUMIFS('Trade Log'!$R$5:$R$1004,'Trade Log'!$G$5:$G$1004,$A41,'Trade Log'!$S$5:$S$1004,"Covered Call Premium"))</f>
        <v/>
      </c>
      <c r="C41" s="11">
        <f>IF($A41="","",SUMIFS('Trade Log'!$R$5:$R$1004,'Trade Log'!$G$5:$G$1004,$A41,'Trade Log'!$S$5:$S$1004,"Cash Secured Put Premium"))</f>
        <v/>
      </c>
      <c r="D41" s="11">
        <f>IF($A41="","",SUMIFS('Trade Log'!$R$5:$R$1004,'Trade Log'!$G$5:$G$1004,$A41,'Trade Log'!$S$5:$S$1004,"Long Call/Put P/L"))</f>
        <v/>
      </c>
      <c r="E41" s="11">
        <f>IF($A41="","",SUMIFS('Trade Log'!$R$5:$R$1004,'Trade Log'!$G$5:$G$1004,$A41,'Trade Log'!$S$5:$S$1004,"Stock Sales"))</f>
        <v/>
      </c>
      <c r="F41" s="11">
        <f>IF($A41="","",SUMIFS('Trade Log'!$R$5:$R$1004,'Trade Log'!$G$5:$G$1004,$A41,'Trade Log'!$S$5:$S$1004,"Other"))</f>
        <v/>
      </c>
      <c r="G41" s="11">
        <f>IF($A41="","",SUM(B41:F41))</f>
        <v/>
      </c>
    </row>
    <row r="42">
      <c r="A42" s="12">
        <f>IFERROR(INDEX(SORT(UNIQUE(FILTER('Trade Log'!$G$5:$G$1004,'Trade Log'!$G$5:$G$1004&lt;&gt;""))),ROW()-32),"")</f>
        <v/>
      </c>
      <c r="B42" s="11">
        <f>IF($A42="","",SUMIFS('Trade Log'!$R$5:$R$1004,'Trade Log'!$G$5:$G$1004,$A42,'Trade Log'!$S$5:$S$1004,"Covered Call Premium"))</f>
        <v/>
      </c>
      <c r="C42" s="11">
        <f>IF($A42="","",SUMIFS('Trade Log'!$R$5:$R$1004,'Trade Log'!$G$5:$G$1004,$A42,'Trade Log'!$S$5:$S$1004,"Cash Secured Put Premium"))</f>
        <v/>
      </c>
      <c r="D42" s="11">
        <f>IF($A42="","",SUMIFS('Trade Log'!$R$5:$R$1004,'Trade Log'!$G$5:$G$1004,$A42,'Trade Log'!$S$5:$S$1004,"Long Call/Put P/L"))</f>
        <v/>
      </c>
      <c r="E42" s="11">
        <f>IF($A42="","",SUMIFS('Trade Log'!$R$5:$R$1004,'Trade Log'!$G$5:$G$1004,$A42,'Trade Log'!$S$5:$S$1004,"Stock Sales"))</f>
        <v/>
      </c>
      <c r="F42" s="11">
        <f>IF($A42="","",SUMIFS('Trade Log'!$R$5:$R$1004,'Trade Log'!$G$5:$G$1004,$A42,'Trade Log'!$S$5:$S$1004,"Other"))</f>
        <v/>
      </c>
      <c r="G42" s="11">
        <f>IF($A42="","",SUM(B42:F42))</f>
        <v/>
      </c>
    </row>
    <row r="43">
      <c r="A43" s="12">
        <f>IFERROR(INDEX(SORT(UNIQUE(FILTER('Trade Log'!$G$5:$G$1004,'Trade Log'!$G$5:$G$1004&lt;&gt;""))),ROW()-32),"")</f>
        <v/>
      </c>
      <c r="B43" s="11">
        <f>IF($A43="","",SUMIFS('Trade Log'!$R$5:$R$1004,'Trade Log'!$G$5:$G$1004,$A43,'Trade Log'!$S$5:$S$1004,"Covered Call Premium"))</f>
        <v/>
      </c>
      <c r="C43" s="11">
        <f>IF($A43="","",SUMIFS('Trade Log'!$R$5:$R$1004,'Trade Log'!$G$5:$G$1004,$A43,'Trade Log'!$S$5:$S$1004,"Cash Secured Put Premium"))</f>
        <v/>
      </c>
      <c r="D43" s="11">
        <f>IF($A43="","",SUMIFS('Trade Log'!$R$5:$R$1004,'Trade Log'!$G$5:$G$1004,$A43,'Trade Log'!$S$5:$S$1004,"Long Call/Put P/L"))</f>
        <v/>
      </c>
      <c r="E43" s="11">
        <f>IF($A43="","",SUMIFS('Trade Log'!$R$5:$R$1004,'Trade Log'!$G$5:$G$1004,$A43,'Trade Log'!$S$5:$S$1004,"Stock Sales"))</f>
        <v/>
      </c>
      <c r="F43" s="11">
        <f>IF($A43="","",SUMIFS('Trade Log'!$R$5:$R$1004,'Trade Log'!$G$5:$G$1004,$A43,'Trade Log'!$S$5:$S$1004,"Other"))</f>
        <v/>
      </c>
      <c r="G43" s="11">
        <f>IF($A43="","",SUM(B43:F43))</f>
        <v/>
      </c>
    </row>
    <row r="44">
      <c r="A44" s="12">
        <f>IFERROR(INDEX(SORT(UNIQUE(FILTER('Trade Log'!$G$5:$G$1004,'Trade Log'!$G$5:$G$1004&lt;&gt;""))),ROW()-32),"")</f>
        <v/>
      </c>
      <c r="B44" s="11">
        <f>IF($A44="","",SUMIFS('Trade Log'!$R$5:$R$1004,'Trade Log'!$G$5:$G$1004,$A44,'Trade Log'!$S$5:$S$1004,"Covered Call Premium"))</f>
        <v/>
      </c>
      <c r="C44" s="11">
        <f>IF($A44="","",SUMIFS('Trade Log'!$R$5:$R$1004,'Trade Log'!$G$5:$G$1004,$A44,'Trade Log'!$S$5:$S$1004,"Cash Secured Put Premium"))</f>
        <v/>
      </c>
      <c r="D44" s="11">
        <f>IF($A44="","",SUMIFS('Trade Log'!$R$5:$R$1004,'Trade Log'!$G$5:$G$1004,$A44,'Trade Log'!$S$5:$S$1004,"Long Call/Put P/L"))</f>
        <v/>
      </c>
      <c r="E44" s="11">
        <f>IF($A44="","",SUMIFS('Trade Log'!$R$5:$R$1004,'Trade Log'!$G$5:$G$1004,$A44,'Trade Log'!$S$5:$S$1004,"Stock Sales"))</f>
        <v/>
      </c>
      <c r="F44" s="11">
        <f>IF($A44="","",SUMIFS('Trade Log'!$R$5:$R$1004,'Trade Log'!$G$5:$G$1004,$A44,'Trade Log'!$S$5:$S$1004,"Other"))</f>
        <v/>
      </c>
      <c r="G44" s="11">
        <f>IF($A44="","",SUM(B44:F44))</f>
        <v/>
      </c>
    </row>
    <row r="45">
      <c r="A45" s="12">
        <f>IFERROR(INDEX(SORT(UNIQUE(FILTER('Trade Log'!$G$5:$G$1004,'Trade Log'!$G$5:$G$1004&lt;&gt;""))),ROW()-32),"")</f>
        <v/>
      </c>
      <c r="B45" s="11">
        <f>IF($A45="","",SUMIFS('Trade Log'!$R$5:$R$1004,'Trade Log'!$G$5:$G$1004,$A45,'Trade Log'!$S$5:$S$1004,"Covered Call Premium"))</f>
        <v/>
      </c>
      <c r="C45" s="11">
        <f>IF($A45="","",SUMIFS('Trade Log'!$R$5:$R$1004,'Trade Log'!$G$5:$G$1004,$A45,'Trade Log'!$S$5:$S$1004,"Cash Secured Put Premium"))</f>
        <v/>
      </c>
      <c r="D45" s="11">
        <f>IF($A45="","",SUMIFS('Trade Log'!$R$5:$R$1004,'Trade Log'!$G$5:$G$1004,$A45,'Trade Log'!$S$5:$S$1004,"Long Call/Put P/L"))</f>
        <v/>
      </c>
      <c r="E45" s="11">
        <f>IF($A45="","",SUMIFS('Trade Log'!$R$5:$R$1004,'Trade Log'!$G$5:$G$1004,$A45,'Trade Log'!$S$5:$S$1004,"Stock Sales"))</f>
        <v/>
      </c>
      <c r="F45" s="11">
        <f>IF($A45="","",SUMIFS('Trade Log'!$R$5:$R$1004,'Trade Log'!$G$5:$G$1004,$A45,'Trade Log'!$S$5:$S$1004,"Other"))</f>
        <v/>
      </c>
      <c r="G45" s="11">
        <f>IF($A45="","",SUM(B45:F45))</f>
        <v/>
      </c>
    </row>
    <row r="46">
      <c r="A46" s="12">
        <f>IFERROR(INDEX(SORT(UNIQUE(FILTER('Trade Log'!$G$5:$G$1004,'Trade Log'!$G$5:$G$1004&lt;&gt;""))),ROW()-32),"")</f>
        <v/>
      </c>
      <c r="B46" s="11">
        <f>IF($A46="","",SUMIFS('Trade Log'!$R$5:$R$1004,'Trade Log'!$G$5:$G$1004,$A46,'Trade Log'!$S$5:$S$1004,"Covered Call Premium"))</f>
        <v/>
      </c>
      <c r="C46" s="11">
        <f>IF($A46="","",SUMIFS('Trade Log'!$R$5:$R$1004,'Trade Log'!$G$5:$G$1004,$A46,'Trade Log'!$S$5:$S$1004,"Cash Secured Put Premium"))</f>
        <v/>
      </c>
      <c r="D46" s="11">
        <f>IF($A46="","",SUMIFS('Trade Log'!$R$5:$R$1004,'Trade Log'!$G$5:$G$1004,$A46,'Trade Log'!$S$5:$S$1004,"Long Call/Put P/L"))</f>
        <v/>
      </c>
      <c r="E46" s="11">
        <f>IF($A46="","",SUMIFS('Trade Log'!$R$5:$R$1004,'Trade Log'!$G$5:$G$1004,$A46,'Trade Log'!$S$5:$S$1004,"Stock Sales"))</f>
        <v/>
      </c>
      <c r="F46" s="11">
        <f>IF($A46="","",SUMIFS('Trade Log'!$R$5:$R$1004,'Trade Log'!$G$5:$G$1004,$A46,'Trade Log'!$S$5:$S$1004,"Other"))</f>
        <v/>
      </c>
      <c r="G46" s="11">
        <f>IF($A46="","",SUM(B46:F46))</f>
        <v/>
      </c>
    </row>
    <row r="47">
      <c r="A47" s="12">
        <f>IFERROR(INDEX(SORT(UNIQUE(FILTER('Trade Log'!$G$5:$G$1004,'Trade Log'!$G$5:$G$1004&lt;&gt;""))),ROW()-32),"")</f>
        <v/>
      </c>
      <c r="B47" s="11">
        <f>IF($A47="","",SUMIFS('Trade Log'!$R$5:$R$1004,'Trade Log'!$G$5:$G$1004,$A47,'Trade Log'!$S$5:$S$1004,"Covered Call Premium"))</f>
        <v/>
      </c>
      <c r="C47" s="11">
        <f>IF($A47="","",SUMIFS('Trade Log'!$R$5:$R$1004,'Trade Log'!$G$5:$G$1004,$A47,'Trade Log'!$S$5:$S$1004,"Cash Secured Put Premium"))</f>
        <v/>
      </c>
      <c r="D47" s="11">
        <f>IF($A47="","",SUMIFS('Trade Log'!$R$5:$R$1004,'Trade Log'!$G$5:$G$1004,$A47,'Trade Log'!$S$5:$S$1004,"Long Call/Put P/L"))</f>
        <v/>
      </c>
      <c r="E47" s="11">
        <f>IF($A47="","",SUMIFS('Trade Log'!$R$5:$R$1004,'Trade Log'!$G$5:$G$1004,$A47,'Trade Log'!$S$5:$S$1004,"Stock Sales"))</f>
        <v/>
      </c>
      <c r="F47" s="11">
        <f>IF($A47="","",SUMIFS('Trade Log'!$R$5:$R$1004,'Trade Log'!$G$5:$G$1004,$A47,'Trade Log'!$S$5:$S$1004,"Other"))</f>
        <v/>
      </c>
      <c r="G47" s="11">
        <f>IF($A47="","",SUM(B47:F47))</f>
        <v/>
      </c>
    </row>
    <row r="48">
      <c r="A48" s="12">
        <f>IFERROR(INDEX(SORT(UNIQUE(FILTER('Trade Log'!$G$5:$G$1004,'Trade Log'!$G$5:$G$1004&lt;&gt;""))),ROW()-32),"")</f>
        <v/>
      </c>
      <c r="B48" s="11">
        <f>IF($A48="","",SUMIFS('Trade Log'!$R$5:$R$1004,'Trade Log'!$G$5:$G$1004,$A48,'Trade Log'!$S$5:$S$1004,"Covered Call Premium"))</f>
        <v/>
      </c>
      <c r="C48" s="11">
        <f>IF($A48="","",SUMIFS('Trade Log'!$R$5:$R$1004,'Trade Log'!$G$5:$G$1004,$A48,'Trade Log'!$S$5:$S$1004,"Cash Secured Put Premium"))</f>
        <v/>
      </c>
      <c r="D48" s="11">
        <f>IF($A48="","",SUMIFS('Trade Log'!$R$5:$R$1004,'Trade Log'!$G$5:$G$1004,$A48,'Trade Log'!$S$5:$S$1004,"Long Call/Put P/L"))</f>
        <v/>
      </c>
      <c r="E48" s="11">
        <f>IF($A48="","",SUMIFS('Trade Log'!$R$5:$R$1004,'Trade Log'!$G$5:$G$1004,$A48,'Trade Log'!$S$5:$S$1004,"Stock Sales"))</f>
        <v/>
      </c>
      <c r="F48" s="11">
        <f>IF($A48="","",SUMIFS('Trade Log'!$R$5:$R$1004,'Trade Log'!$G$5:$G$1004,$A48,'Trade Log'!$S$5:$S$1004,"Other"))</f>
        <v/>
      </c>
      <c r="G48" s="11">
        <f>IF($A48="","",SUM(B48:F48))</f>
        <v/>
      </c>
    </row>
    <row r="49">
      <c r="A49" s="12">
        <f>IFERROR(INDEX(SORT(UNIQUE(FILTER('Trade Log'!$G$5:$G$1004,'Trade Log'!$G$5:$G$1004&lt;&gt;""))),ROW()-32),"")</f>
        <v/>
      </c>
      <c r="B49" s="11">
        <f>IF($A49="","",SUMIFS('Trade Log'!$R$5:$R$1004,'Trade Log'!$G$5:$G$1004,$A49,'Trade Log'!$S$5:$S$1004,"Covered Call Premium"))</f>
        <v/>
      </c>
      <c r="C49" s="11">
        <f>IF($A49="","",SUMIFS('Trade Log'!$R$5:$R$1004,'Trade Log'!$G$5:$G$1004,$A49,'Trade Log'!$S$5:$S$1004,"Cash Secured Put Premium"))</f>
        <v/>
      </c>
      <c r="D49" s="11">
        <f>IF($A49="","",SUMIFS('Trade Log'!$R$5:$R$1004,'Trade Log'!$G$5:$G$1004,$A49,'Trade Log'!$S$5:$S$1004,"Long Call/Put P/L"))</f>
        <v/>
      </c>
      <c r="E49" s="11">
        <f>IF($A49="","",SUMIFS('Trade Log'!$R$5:$R$1004,'Trade Log'!$G$5:$G$1004,$A49,'Trade Log'!$S$5:$S$1004,"Stock Sales"))</f>
        <v/>
      </c>
      <c r="F49" s="11">
        <f>IF($A49="","",SUMIFS('Trade Log'!$R$5:$R$1004,'Trade Log'!$G$5:$G$1004,$A49,'Trade Log'!$S$5:$S$1004,"Other"))</f>
        <v/>
      </c>
      <c r="G49" s="11">
        <f>IF($A49="","",SUM(B49:F49))</f>
        <v/>
      </c>
    </row>
    <row r="50">
      <c r="A50" s="12">
        <f>IFERROR(INDEX(SORT(UNIQUE(FILTER('Trade Log'!$G$5:$G$1004,'Trade Log'!$G$5:$G$1004&lt;&gt;""))),ROW()-32),"")</f>
        <v/>
      </c>
      <c r="B50" s="11">
        <f>IF($A50="","",SUMIFS('Trade Log'!$R$5:$R$1004,'Trade Log'!$G$5:$G$1004,$A50,'Trade Log'!$S$5:$S$1004,"Covered Call Premium"))</f>
        <v/>
      </c>
      <c r="C50" s="11">
        <f>IF($A50="","",SUMIFS('Trade Log'!$R$5:$R$1004,'Trade Log'!$G$5:$G$1004,$A50,'Trade Log'!$S$5:$S$1004,"Cash Secured Put Premium"))</f>
        <v/>
      </c>
      <c r="D50" s="11">
        <f>IF($A50="","",SUMIFS('Trade Log'!$R$5:$R$1004,'Trade Log'!$G$5:$G$1004,$A50,'Trade Log'!$S$5:$S$1004,"Long Call/Put P/L"))</f>
        <v/>
      </c>
      <c r="E50" s="11">
        <f>IF($A50="","",SUMIFS('Trade Log'!$R$5:$R$1004,'Trade Log'!$G$5:$G$1004,$A50,'Trade Log'!$S$5:$S$1004,"Stock Sales"))</f>
        <v/>
      </c>
      <c r="F50" s="11">
        <f>IF($A50="","",SUMIFS('Trade Log'!$R$5:$R$1004,'Trade Log'!$G$5:$G$1004,$A50,'Trade Log'!$S$5:$S$1004,"Other"))</f>
        <v/>
      </c>
      <c r="G50" s="11">
        <f>IF($A50="","",SUM(B50:F50))</f>
        <v/>
      </c>
    </row>
    <row r="51">
      <c r="A51" s="12">
        <f>IFERROR(INDEX(SORT(UNIQUE(FILTER('Trade Log'!$G$5:$G$1004,'Trade Log'!$G$5:$G$1004&lt;&gt;""))),ROW()-32),"")</f>
        <v/>
      </c>
      <c r="B51" s="11">
        <f>IF($A51="","",SUMIFS('Trade Log'!$R$5:$R$1004,'Trade Log'!$G$5:$G$1004,$A51,'Trade Log'!$S$5:$S$1004,"Covered Call Premium"))</f>
        <v/>
      </c>
      <c r="C51" s="11">
        <f>IF($A51="","",SUMIFS('Trade Log'!$R$5:$R$1004,'Trade Log'!$G$5:$G$1004,$A51,'Trade Log'!$S$5:$S$1004,"Cash Secured Put Premium"))</f>
        <v/>
      </c>
      <c r="D51" s="11">
        <f>IF($A51="","",SUMIFS('Trade Log'!$R$5:$R$1004,'Trade Log'!$G$5:$G$1004,$A51,'Trade Log'!$S$5:$S$1004,"Long Call/Put P/L"))</f>
        <v/>
      </c>
      <c r="E51" s="11">
        <f>IF($A51="","",SUMIFS('Trade Log'!$R$5:$R$1004,'Trade Log'!$G$5:$G$1004,$A51,'Trade Log'!$S$5:$S$1004,"Stock Sales"))</f>
        <v/>
      </c>
      <c r="F51" s="11">
        <f>IF($A51="","",SUMIFS('Trade Log'!$R$5:$R$1004,'Trade Log'!$G$5:$G$1004,$A51,'Trade Log'!$S$5:$S$1004,"Other"))</f>
        <v/>
      </c>
      <c r="G51" s="11">
        <f>IF($A51="","",SUM(B51:F51))</f>
        <v/>
      </c>
    </row>
    <row r="52">
      <c r="A52" s="12">
        <f>IFERROR(INDEX(SORT(UNIQUE(FILTER('Trade Log'!$G$5:$G$1004,'Trade Log'!$G$5:$G$1004&lt;&gt;""))),ROW()-32),"")</f>
        <v/>
      </c>
      <c r="B52" s="11">
        <f>IF($A52="","",SUMIFS('Trade Log'!$R$5:$R$1004,'Trade Log'!$G$5:$G$1004,$A52,'Trade Log'!$S$5:$S$1004,"Covered Call Premium"))</f>
        <v/>
      </c>
      <c r="C52" s="11">
        <f>IF($A52="","",SUMIFS('Trade Log'!$R$5:$R$1004,'Trade Log'!$G$5:$G$1004,$A52,'Trade Log'!$S$5:$S$1004,"Cash Secured Put Premium"))</f>
        <v/>
      </c>
      <c r="D52" s="11">
        <f>IF($A52="","",SUMIFS('Trade Log'!$R$5:$R$1004,'Trade Log'!$G$5:$G$1004,$A52,'Trade Log'!$S$5:$S$1004,"Long Call/Put P/L"))</f>
        <v/>
      </c>
      <c r="E52" s="11">
        <f>IF($A52="","",SUMIFS('Trade Log'!$R$5:$R$1004,'Trade Log'!$G$5:$G$1004,$A52,'Trade Log'!$S$5:$S$1004,"Stock Sales"))</f>
        <v/>
      </c>
      <c r="F52" s="11">
        <f>IF($A52="","",SUMIFS('Trade Log'!$R$5:$R$1004,'Trade Log'!$G$5:$G$1004,$A52,'Trade Log'!$S$5:$S$1004,"Other"))</f>
        <v/>
      </c>
      <c r="G52" s="11">
        <f>IF($A52="","",SUM(B52:F52))</f>
        <v/>
      </c>
    </row>
    <row r="53">
      <c r="A53" s="12">
        <f>IFERROR(INDEX(SORT(UNIQUE(FILTER('Trade Log'!$G$5:$G$1004,'Trade Log'!$G$5:$G$1004&lt;&gt;""))),ROW()-32),"")</f>
        <v/>
      </c>
      <c r="B53" s="11">
        <f>IF($A53="","",SUMIFS('Trade Log'!$R$5:$R$1004,'Trade Log'!$G$5:$G$1004,$A53,'Trade Log'!$S$5:$S$1004,"Covered Call Premium"))</f>
        <v/>
      </c>
      <c r="C53" s="11">
        <f>IF($A53="","",SUMIFS('Trade Log'!$R$5:$R$1004,'Trade Log'!$G$5:$G$1004,$A53,'Trade Log'!$S$5:$S$1004,"Cash Secured Put Premium"))</f>
        <v/>
      </c>
      <c r="D53" s="11">
        <f>IF($A53="","",SUMIFS('Trade Log'!$R$5:$R$1004,'Trade Log'!$G$5:$G$1004,$A53,'Trade Log'!$S$5:$S$1004,"Long Call/Put P/L"))</f>
        <v/>
      </c>
      <c r="E53" s="11">
        <f>IF($A53="","",SUMIFS('Trade Log'!$R$5:$R$1004,'Trade Log'!$G$5:$G$1004,$A53,'Trade Log'!$S$5:$S$1004,"Stock Sales"))</f>
        <v/>
      </c>
      <c r="F53" s="11">
        <f>IF($A53="","",SUMIFS('Trade Log'!$R$5:$R$1004,'Trade Log'!$G$5:$G$1004,$A53,'Trade Log'!$S$5:$S$1004,"Other"))</f>
        <v/>
      </c>
      <c r="G53" s="11">
        <f>IF($A53="","",SUM(B53:F53))</f>
        <v/>
      </c>
    </row>
    <row r="54">
      <c r="A54" s="12">
        <f>IFERROR(INDEX(SORT(UNIQUE(FILTER('Trade Log'!$G$5:$G$1004,'Trade Log'!$G$5:$G$1004&lt;&gt;""))),ROW()-32),"")</f>
        <v/>
      </c>
      <c r="B54" s="11">
        <f>IF($A54="","",SUMIFS('Trade Log'!$R$5:$R$1004,'Trade Log'!$G$5:$G$1004,$A54,'Trade Log'!$S$5:$S$1004,"Covered Call Premium"))</f>
        <v/>
      </c>
      <c r="C54" s="11">
        <f>IF($A54="","",SUMIFS('Trade Log'!$R$5:$R$1004,'Trade Log'!$G$5:$G$1004,$A54,'Trade Log'!$S$5:$S$1004,"Cash Secured Put Premium"))</f>
        <v/>
      </c>
      <c r="D54" s="11">
        <f>IF($A54="","",SUMIFS('Trade Log'!$R$5:$R$1004,'Trade Log'!$G$5:$G$1004,$A54,'Trade Log'!$S$5:$S$1004,"Long Call/Put P/L"))</f>
        <v/>
      </c>
      <c r="E54" s="11">
        <f>IF($A54="","",SUMIFS('Trade Log'!$R$5:$R$1004,'Trade Log'!$G$5:$G$1004,$A54,'Trade Log'!$S$5:$S$1004,"Stock Sales"))</f>
        <v/>
      </c>
      <c r="F54" s="11">
        <f>IF($A54="","",SUMIFS('Trade Log'!$R$5:$R$1004,'Trade Log'!$G$5:$G$1004,$A54,'Trade Log'!$S$5:$S$1004,"Other"))</f>
        <v/>
      </c>
      <c r="G54" s="11">
        <f>IF($A54="","",SUM(B54:F54))</f>
        <v/>
      </c>
    </row>
    <row r="55">
      <c r="A55" s="12">
        <f>IFERROR(INDEX(SORT(UNIQUE(FILTER('Trade Log'!$G$5:$G$1004,'Trade Log'!$G$5:$G$1004&lt;&gt;""))),ROW()-32),"")</f>
        <v/>
      </c>
      <c r="B55" s="11">
        <f>IF($A55="","",SUMIFS('Trade Log'!$R$5:$R$1004,'Trade Log'!$G$5:$G$1004,$A55,'Trade Log'!$S$5:$S$1004,"Covered Call Premium"))</f>
        <v/>
      </c>
      <c r="C55" s="11">
        <f>IF($A55="","",SUMIFS('Trade Log'!$R$5:$R$1004,'Trade Log'!$G$5:$G$1004,$A55,'Trade Log'!$S$5:$S$1004,"Cash Secured Put Premium"))</f>
        <v/>
      </c>
      <c r="D55" s="11">
        <f>IF($A55="","",SUMIFS('Trade Log'!$R$5:$R$1004,'Trade Log'!$G$5:$G$1004,$A55,'Trade Log'!$S$5:$S$1004,"Long Call/Put P/L"))</f>
        <v/>
      </c>
      <c r="E55" s="11">
        <f>IF($A55="","",SUMIFS('Trade Log'!$R$5:$R$1004,'Trade Log'!$G$5:$G$1004,$A55,'Trade Log'!$S$5:$S$1004,"Stock Sales"))</f>
        <v/>
      </c>
      <c r="F55" s="11">
        <f>IF($A55="","",SUMIFS('Trade Log'!$R$5:$R$1004,'Trade Log'!$G$5:$G$1004,$A55,'Trade Log'!$S$5:$S$1004,"Other"))</f>
        <v/>
      </c>
      <c r="G55" s="11">
        <f>IF($A55="","",SUM(B55:F55))</f>
        <v/>
      </c>
    </row>
    <row r="56">
      <c r="A56" s="12">
        <f>IFERROR(INDEX(SORT(UNIQUE(FILTER('Trade Log'!$G$5:$G$1004,'Trade Log'!$G$5:$G$1004&lt;&gt;""))),ROW()-32),"")</f>
        <v/>
      </c>
      <c r="B56" s="11">
        <f>IF($A56="","",SUMIFS('Trade Log'!$R$5:$R$1004,'Trade Log'!$G$5:$G$1004,$A56,'Trade Log'!$S$5:$S$1004,"Covered Call Premium"))</f>
        <v/>
      </c>
      <c r="C56" s="11">
        <f>IF($A56="","",SUMIFS('Trade Log'!$R$5:$R$1004,'Trade Log'!$G$5:$G$1004,$A56,'Trade Log'!$S$5:$S$1004,"Cash Secured Put Premium"))</f>
        <v/>
      </c>
      <c r="D56" s="11">
        <f>IF($A56="","",SUMIFS('Trade Log'!$R$5:$R$1004,'Trade Log'!$G$5:$G$1004,$A56,'Trade Log'!$S$5:$S$1004,"Long Call/Put P/L"))</f>
        <v/>
      </c>
      <c r="E56" s="11">
        <f>IF($A56="","",SUMIFS('Trade Log'!$R$5:$R$1004,'Trade Log'!$G$5:$G$1004,$A56,'Trade Log'!$S$5:$S$1004,"Stock Sales"))</f>
        <v/>
      </c>
      <c r="F56" s="11">
        <f>IF($A56="","",SUMIFS('Trade Log'!$R$5:$R$1004,'Trade Log'!$G$5:$G$1004,$A56,'Trade Log'!$S$5:$S$1004,"Other"))</f>
        <v/>
      </c>
      <c r="G56" s="11">
        <f>IF($A56="","",SUM(B56:F56))</f>
        <v/>
      </c>
    </row>
    <row r="57">
      <c r="A57" s="12">
        <f>IFERROR(INDEX(SORT(UNIQUE(FILTER('Trade Log'!$G$5:$G$1004,'Trade Log'!$G$5:$G$1004&lt;&gt;""))),ROW()-32),"")</f>
        <v/>
      </c>
      <c r="B57" s="11">
        <f>IF($A57="","",SUMIFS('Trade Log'!$R$5:$R$1004,'Trade Log'!$G$5:$G$1004,$A57,'Trade Log'!$S$5:$S$1004,"Covered Call Premium"))</f>
        <v/>
      </c>
      <c r="C57" s="11">
        <f>IF($A57="","",SUMIFS('Trade Log'!$R$5:$R$1004,'Trade Log'!$G$5:$G$1004,$A57,'Trade Log'!$S$5:$S$1004,"Cash Secured Put Premium"))</f>
        <v/>
      </c>
      <c r="D57" s="11">
        <f>IF($A57="","",SUMIFS('Trade Log'!$R$5:$R$1004,'Trade Log'!$G$5:$G$1004,$A57,'Trade Log'!$S$5:$S$1004,"Long Call/Put P/L"))</f>
        <v/>
      </c>
      <c r="E57" s="11">
        <f>IF($A57="","",SUMIFS('Trade Log'!$R$5:$R$1004,'Trade Log'!$G$5:$G$1004,$A57,'Trade Log'!$S$5:$S$1004,"Stock Sales"))</f>
        <v/>
      </c>
      <c r="F57" s="11">
        <f>IF($A57="","",SUMIFS('Trade Log'!$R$5:$R$1004,'Trade Log'!$G$5:$G$1004,$A57,'Trade Log'!$S$5:$S$1004,"Other"))</f>
        <v/>
      </c>
      <c r="G57" s="11">
        <f>IF($A57="","",SUM(B57:F57))</f>
        <v/>
      </c>
    </row>
    <row r="58">
      <c r="A58" s="12">
        <f>IFERROR(INDEX(SORT(UNIQUE(FILTER('Trade Log'!$G$5:$G$1004,'Trade Log'!$G$5:$G$1004&lt;&gt;""))),ROW()-32),"")</f>
        <v/>
      </c>
      <c r="B58" s="11">
        <f>IF($A58="","",SUMIFS('Trade Log'!$R$5:$R$1004,'Trade Log'!$G$5:$G$1004,$A58,'Trade Log'!$S$5:$S$1004,"Covered Call Premium"))</f>
        <v/>
      </c>
      <c r="C58" s="11">
        <f>IF($A58="","",SUMIFS('Trade Log'!$R$5:$R$1004,'Trade Log'!$G$5:$G$1004,$A58,'Trade Log'!$S$5:$S$1004,"Cash Secured Put Premium"))</f>
        <v/>
      </c>
      <c r="D58" s="11">
        <f>IF($A58="","",SUMIFS('Trade Log'!$R$5:$R$1004,'Trade Log'!$G$5:$G$1004,$A58,'Trade Log'!$S$5:$S$1004,"Long Call/Put P/L"))</f>
        <v/>
      </c>
      <c r="E58" s="11">
        <f>IF($A58="","",SUMIFS('Trade Log'!$R$5:$R$1004,'Trade Log'!$G$5:$G$1004,$A58,'Trade Log'!$S$5:$S$1004,"Stock Sales"))</f>
        <v/>
      </c>
      <c r="F58" s="11">
        <f>IF($A58="","",SUMIFS('Trade Log'!$R$5:$R$1004,'Trade Log'!$G$5:$G$1004,$A58,'Trade Log'!$S$5:$S$1004,"Other"))</f>
        <v/>
      </c>
      <c r="G58" s="11">
        <f>IF($A58="","",SUM(B58:F58))</f>
        <v/>
      </c>
    </row>
    <row r="59">
      <c r="A59" s="12">
        <f>IFERROR(INDEX(SORT(UNIQUE(FILTER('Trade Log'!$G$5:$G$1004,'Trade Log'!$G$5:$G$1004&lt;&gt;""))),ROW()-32),"")</f>
        <v/>
      </c>
      <c r="B59" s="11">
        <f>IF($A59="","",SUMIFS('Trade Log'!$R$5:$R$1004,'Trade Log'!$G$5:$G$1004,$A59,'Trade Log'!$S$5:$S$1004,"Covered Call Premium"))</f>
        <v/>
      </c>
      <c r="C59" s="11">
        <f>IF($A59="","",SUMIFS('Trade Log'!$R$5:$R$1004,'Trade Log'!$G$5:$G$1004,$A59,'Trade Log'!$S$5:$S$1004,"Cash Secured Put Premium"))</f>
        <v/>
      </c>
      <c r="D59" s="11">
        <f>IF($A59="","",SUMIFS('Trade Log'!$R$5:$R$1004,'Trade Log'!$G$5:$G$1004,$A59,'Trade Log'!$S$5:$S$1004,"Long Call/Put P/L"))</f>
        <v/>
      </c>
      <c r="E59" s="11">
        <f>IF($A59="","",SUMIFS('Trade Log'!$R$5:$R$1004,'Trade Log'!$G$5:$G$1004,$A59,'Trade Log'!$S$5:$S$1004,"Stock Sales"))</f>
        <v/>
      </c>
      <c r="F59" s="11">
        <f>IF($A59="","",SUMIFS('Trade Log'!$R$5:$R$1004,'Trade Log'!$G$5:$G$1004,$A59,'Trade Log'!$S$5:$S$1004,"Other"))</f>
        <v/>
      </c>
      <c r="G59" s="11">
        <f>IF($A59="","",SUM(B59:F59))</f>
        <v/>
      </c>
    </row>
    <row r="60">
      <c r="A60" s="12">
        <f>IFERROR(INDEX(SORT(UNIQUE(FILTER('Trade Log'!$G$5:$G$1004,'Trade Log'!$G$5:$G$1004&lt;&gt;""))),ROW()-32),"")</f>
        <v/>
      </c>
      <c r="B60" s="11">
        <f>IF($A60="","",SUMIFS('Trade Log'!$R$5:$R$1004,'Trade Log'!$G$5:$G$1004,$A60,'Trade Log'!$S$5:$S$1004,"Covered Call Premium"))</f>
        <v/>
      </c>
      <c r="C60" s="11">
        <f>IF($A60="","",SUMIFS('Trade Log'!$R$5:$R$1004,'Trade Log'!$G$5:$G$1004,$A60,'Trade Log'!$S$5:$S$1004,"Cash Secured Put Premium"))</f>
        <v/>
      </c>
      <c r="D60" s="11">
        <f>IF($A60="","",SUMIFS('Trade Log'!$R$5:$R$1004,'Trade Log'!$G$5:$G$1004,$A60,'Trade Log'!$S$5:$S$1004,"Long Call/Put P/L"))</f>
        <v/>
      </c>
      <c r="E60" s="11">
        <f>IF($A60="","",SUMIFS('Trade Log'!$R$5:$R$1004,'Trade Log'!$G$5:$G$1004,$A60,'Trade Log'!$S$5:$S$1004,"Stock Sales"))</f>
        <v/>
      </c>
      <c r="F60" s="11">
        <f>IF($A60="","",SUMIFS('Trade Log'!$R$5:$R$1004,'Trade Log'!$G$5:$G$1004,$A60,'Trade Log'!$S$5:$S$1004,"Other"))</f>
        <v/>
      </c>
      <c r="G60" s="11">
        <f>IF($A60="","",SUM(B60:F60))</f>
        <v/>
      </c>
    </row>
    <row r="61">
      <c r="A61" s="12">
        <f>IFERROR(INDEX(SORT(UNIQUE(FILTER('Trade Log'!$G$5:$G$1004,'Trade Log'!$G$5:$G$1004&lt;&gt;""))),ROW()-32),"")</f>
        <v/>
      </c>
      <c r="B61" s="11">
        <f>IF($A61="","",SUMIFS('Trade Log'!$R$5:$R$1004,'Trade Log'!$G$5:$G$1004,$A61,'Trade Log'!$S$5:$S$1004,"Covered Call Premium"))</f>
        <v/>
      </c>
      <c r="C61" s="11">
        <f>IF($A61="","",SUMIFS('Trade Log'!$R$5:$R$1004,'Trade Log'!$G$5:$G$1004,$A61,'Trade Log'!$S$5:$S$1004,"Cash Secured Put Premium"))</f>
        <v/>
      </c>
      <c r="D61" s="11">
        <f>IF($A61="","",SUMIFS('Trade Log'!$R$5:$R$1004,'Trade Log'!$G$5:$G$1004,$A61,'Trade Log'!$S$5:$S$1004,"Long Call/Put P/L"))</f>
        <v/>
      </c>
      <c r="E61" s="11">
        <f>IF($A61="","",SUMIFS('Trade Log'!$R$5:$R$1004,'Trade Log'!$G$5:$G$1004,$A61,'Trade Log'!$S$5:$S$1004,"Stock Sales"))</f>
        <v/>
      </c>
      <c r="F61" s="11">
        <f>IF($A61="","",SUMIFS('Trade Log'!$R$5:$R$1004,'Trade Log'!$G$5:$G$1004,$A61,'Trade Log'!$S$5:$S$1004,"Other"))</f>
        <v/>
      </c>
      <c r="G61" s="11">
        <f>IF($A61="","",SUM(B61:F61))</f>
        <v/>
      </c>
    </row>
    <row r="62">
      <c r="A62" s="12">
        <f>IFERROR(INDEX(SORT(UNIQUE(FILTER('Trade Log'!$G$5:$G$1004,'Trade Log'!$G$5:$G$1004&lt;&gt;""))),ROW()-32),"")</f>
        <v/>
      </c>
      <c r="B62" s="11">
        <f>IF($A62="","",SUMIFS('Trade Log'!$R$5:$R$1004,'Trade Log'!$G$5:$G$1004,$A62,'Trade Log'!$S$5:$S$1004,"Covered Call Premium"))</f>
        <v/>
      </c>
      <c r="C62" s="11">
        <f>IF($A62="","",SUMIFS('Trade Log'!$R$5:$R$1004,'Trade Log'!$G$5:$G$1004,$A62,'Trade Log'!$S$5:$S$1004,"Cash Secured Put Premium"))</f>
        <v/>
      </c>
      <c r="D62" s="11">
        <f>IF($A62="","",SUMIFS('Trade Log'!$R$5:$R$1004,'Trade Log'!$G$5:$G$1004,$A62,'Trade Log'!$S$5:$S$1004,"Long Call/Put P/L"))</f>
        <v/>
      </c>
      <c r="E62" s="11">
        <f>IF($A62="","",SUMIFS('Trade Log'!$R$5:$R$1004,'Trade Log'!$G$5:$G$1004,$A62,'Trade Log'!$S$5:$S$1004,"Stock Sales"))</f>
        <v/>
      </c>
      <c r="F62" s="11">
        <f>IF($A62="","",SUMIFS('Trade Log'!$R$5:$R$1004,'Trade Log'!$G$5:$G$1004,$A62,'Trade Log'!$S$5:$S$1004,"Other"))</f>
        <v/>
      </c>
      <c r="G62" s="11">
        <f>IF($A62="","",SUM(B62:F62))</f>
        <v/>
      </c>
    </row>
    <row r="63">
      <c r="A63" s="12">
        <f>IFERROR(INDEX(SORT(UNIQUE(FILTER('Trade Log'!$G$5:$G$1004,'Trade Log'!$G$5:$G$1004&lt;&gt;""))),ROW()-32),"")</f>
        <v/>
      </c>
      <c r="B63" s="11">
        <f>IF($A63="","",SUMIFS('Trade Log'!$R$5:$R$1004,'Trade Log'!$G$5:$G$1004,$A63,'Trade Log'!$S$5:$S$1004,"Covered Call Premium"))</f>
        <v/>
      </c>
      <c r="C63" s="11">
        <f>IF($A63="","",SUMIFS('Trade Log'!$R$5:$R$1004,'Trade Log'!$G$5:$G$1004,$A63,'Trade Log'!$S$5:$S$1004,"Cash Secured Put Premium"))</f>
        <v/>
      </c>
      <c r="D63" s="11">
        <f>IF($A63="","",SUMIFS('Trade Log'!$R$5:$R$1004,'Trade Log'!$G$5:$G$1004,$A63,'Trade Log'!$S$5:$S$1004,"Long Call/Put P/L"))</f>
        <v/>
      </c>
      <c r="E63" s="11">
        <f>IF($A63="","",SUMIFS('Trade Log'!$R$5:$R$1004,'Trade Log'!$G$5:$G$1004,$A63,'Trade Log'!$S$5:$S$1004,"Stock Sales"))</f>
        <v/>
      </c>
      <c r="F63" s="11">
        <f>IF($A63="","",SUMIFS('Trade Log'!$R$5:$R$1004,'Trade Log'!$G$5:$G$1004,$A63,'Trade Log'!$S$5:$S$1004,"Other"))</f>
        <v/>
      </c>
      <c r="G63" s="11">
        <f>IF($A63="","",SUM(B63:F63))</f>
        <v/>
      </c>
    </row>
    <row r="64">
      <c r="A64" s="12">
        <f>IFERROR(INDEX(SORT(UNIQUE(FILTER('Trade Log'!$G$5:$G$1004,'Trade Log'!$G$5:$G$1004&lt;&gt;""))),ROW()-32),"")</f>
        <v/>
      </c>
      <c r="B64" s="11">
        <f>IF($A64="","",SUMIFS('Trade Log'!$R$5:$R$1004,'Trade Log'!$G$5:$G$1004,$A64,'Trade Log'!$S$5:$S$1004,"Covered Call Premium"))</f>
        <v/>
      </c>
      <c r="C64" s="11">
        <f>IF($A64="","",SUMIFS('Trade Log'!$R$5:$R$1004,'Trade Log'!$G$5:$G$1004,$A64,'Trade Log'!$S$5:$S$1004,"Cash Secured Put Premium"))</f>
        <v/>
      </c>
      <c r="D64" s="11">
        <f>IF($A64="","",SUMIFS('Trade Log'!$R$5:$R$1004,'Trade Log'!$G$5:$G$1004,$A64,'Trade Log'!$S$5:$S$1004,"Long Call/Put P/L"))</f>
        <v/>
      </c>
      <c r="E64" s="11">
        <f>IF($A64="","",SUMIFS('Trade Log'!$R$5:$R$1004,'Trade Log'!$G$5:$G$1004,$A64,'Trade Log'!$S$5:$S$1004,"Stock Sales"))</f>
        <v/>
      </c>
      <c r="F64" s="11">
        <f>IF($A64="","",SUMIFS('Trade Log'!$R$5:$R$1004,'Trade Log'!$G$5:$G$1004,$A64,'Trade Log'!$S$5:$S$1004,"Other"))</f>
        <v/>
      </c>
      <c r="G64" s="11">
        <f>IF($A64="","",SUM(B64:F64))</f>
        <v/>
      </c>
    </row>
    <row r="65">
      <c r="A65" s="12">
        <f>IFERROR(INDEX(SORT(UNIQUE(FILTER('Trade Log'!$G$5:$G$1004,'Trade Log'!$G$5:$G$1004&lt;&gt;""))),ROW()-32),"")</f>
        <v/>
      </c>
      <c r="B65" s="11">
        <f>IF($A65="","",SUMIFS('Trade Log'!$R$5:$R$1004,'Trade Log'!$G$5:$G$1004,$A65,'Trade Log'!$S$5:$S$1004,"Covered Call Premium"))</f>
        <v/>
      </c>
      <c r="C65" s="11">
        <f>IF($A65="","",SUMIFS('Trade Log'!$R$5:$R$1004,'Trade Log'!$G$5:$G$1004,$A65,'Trade Log'!$S$5:$S$1004,"Cash Secured Put Premium"))</f>
        <v/>
      </c>
      <c r="D65" s="11">
        <f>IF($A65="","",SUMIFS('Trade Log'!$R$5:$R$1004,'Trade Log'!$G$5:$G$1004,$A65,'Trade Log'!$S$5:$S$1004,"Long Call/Put P/L"))</f>
        <v/>
      </c>
      <c r="E65" s="11">
        <f>IF($A65="","",SUMIFS('Trade Log'!$R$5:$R$1004,'Trade Log'!$G$5:$G$1004,$A65,'Trade Log'!$S$5:$S$1004,"Stock Sales"))</f>
        <v/>
      </c>
      <c r="F65" s="11">
        <f>IF($A65="","",SUMIFS('Trade Log'!$R$5:$R$1004,'Trade Log'!$G$5:$G$1004,$A65,'Trade Log'!$S$5:$S$1004,"Other"))</f>
        <v/>
      </c>
      <c r="G65" s="11">
        <f>IF($A65="","",SUM(B65:F65))</f>
        <v/>
      </c>
    </row>
    <row r="66">
      <c r="A66" s="12">
        <f>IFERROR(INDEX(SORT(UNIQUE(FILTER('Trade Log'!$G$5:$G$1004,'Trade Log'!$G$5:$G$1004&lt;&gt;""))),ROW()-32),"")</f>
        <v/>
      </c>
      <c r="B66" s="11">
        <f>IF($A66="","",SUMIFS('Trade Log'!$R$5:$R$1004,'Trade Log'!$G$5:$G$1004,$A66,'Trade Log'!$S$5:$S$1004,"Covered Call Premium"))</f>
        <v/>
      </c>
      <c r="C66" s="11">
        <f>IF($A66="","",SUMIFS('Trade Log'!$R$5:$R$1004,'Trade Log'!$G$5:$G$1004,$A66,'Trade Log'!$S$5:$S$1004,"Cash Secured Put Premium"))</f>
        <v/>
      </c>
      <c r="D66" s="11">
        <f>IF($A66="","",SUMIFS('Trade Log'!$R$5:$R$1004,'Trade Log'!$G$5:$G$1004,$A66,'Trade Log'!$S$5:$S$1004,"Long Call/Put P/L"))</f>
        <v/>
      </c>
      <c r="E66" s="11">
        <f>IF($A66="","",SUMIFS('Trade Log'!$R$5:$R$1004,'Trade Log'!$G$5:$G$1004,$A66,'Trade Log'!$S$5:$S$1004,"Stock Sales"))</f>
        <v/>
      </c>
      <c r="F66" s="11">
        <f>IF($A66="","",SUMIFS('Trade Log'!$R$5:$R$1004,'Trade Log'!$G$5:$G$1004,$A66,'Trade Log'!$S$5:$S$1004,"Other"))</f>
        <v/>
      </c>
      <c r="G66" s="11">
        <f>IF($A66="","",SUM(B66:F66))</f>
        <v/>
      </c>
    </row>
    <row r="67">
      <c r="A67" s="12">
        <f>IFERROR(INDEX(SORT(UNIQUE(FILTER('Trade Log'!$G$5:$G$1004,'Trade Log'!$G$5:$G$1004&lt;&gt;""))),ROW()-32),"")</f>
        <v/>
      </c>
      <c r="B67" s="11">
        <f>IF($A67="","",SUMIFS('Trade Log'!$R$5:$R$1004,'Trade Log'!$G$5:$G$1004,$A67,'Trade Log'!$S$5:$S$1004,"Covered Call Premium"))</f>
        <v/>
      </c>
      <c r="C67" s="11">
        <f>IF($A67="","",SUMIFS('Trade Log'!$R$5:$R$1004,'Trade Log'!$G$5:$G$1004,$A67,'Trade Log'!$S$5:$S$1004,"Cash Secured Put Premium"))</f>
        <v/>
      </c>
      <c r="D67" s="11">
        <f>IF($A67="","",SUMIFS('Trade Log'!$R$5:$R$1004,'Trade Log'!$G$5:$G$1004,$A67,'Trade Log'!$S$5:$S$1004,"Long Call/Put P/L"))</f>
        <v/>
      </c>
      <c r="E67" s="11">
        <f>IF($A67="","",SUMIFS('Trade Log'!$R$5:$R$1004,'Trade Log'!$G$5:$G$1004,$A67,'Trade Log'!$S$5:$S$1004,"Stock Sales"))</f>
        <v/>
      </c>
      <c r="F67" s="11">
        <f>IF($A67="","",SUMIFS('Trade Log'!$R$5:$R$1004,'Trade Log'!$G$5:$G$1004,$A67,'Trade Log'!$S$5:$S$1004,"Other"))</f>
        <v/>
      </c>
      <c r="G67" s="11">
        <f>IF($A67="","",SUM(B67:F67))</f>
        <v/>
      </c>
    </row>
    <row r="68">
      <c r="A68" s="12">
        <f>IFERROR(INDEX(SORT(UNIQUE(FILTER('Trade Log'!$G$5:$G$1004,'Trade Log'!$G$5:$G$1004&lt;&gt;""))),ROW()-32),"")</f>
        <v/>
      </c>
      <c r="B68" s="11">
        <f>IF($A68="","",SUMIFS('Trade Log'!$R$5:$R$1004,'Trade Log'!$G$5:$G$1004,$A68,'Trade Log'!$S$5:$S$1004,"Covered Call Premium"))</f>
        <v/>
      </c>
      <c r="C68" s="11">
        <f>IF($A68="","",SUMIFS('Trade Log'!$R$5:$R$1004,'Trade Log'!$G$5:$G$1004,$A68,'Trade Log'!$S$5:$S$1004,"Cash Secured Put Premium"))</f>
        <v/>
      </c>
      <c r="D68" s="11">
        <f>IF($A68="","",SUMIFS('Trade Log'!$R$5:$R$1004,'Trade Log'!$G$5:$G$1004,$A68,'Trade Log'!$S$5:$S$1004,"Long Call/Put P/L"))</f>
        <v/>
      </c>
      <c r="E68" s="11">
        <f>IF($A68="","",SUMIFS('Trade Log'!$R$5:$R$1004,'Trade Log'!$G$5:$G$1004,$A68,'Trade Log'!$S$5:$S$1004,"Stock Sales"))</f>
        <v/>
      </c>
      <c r="F68" s="11">
        <f>IF($A68="","",SUMIFS('Trade Log'!$R$5:$R$1004,'Trade Log'!$G$5:$G$1004,$A68,'Trade Log'!$S$5:$S$1004,"Other"))</f>
        <v/>
      </c>
      <c r="G68" s="11">
        <f>IF($A68="","",SUM(B68:F68))</f>
        <v/>
      </c>
    </row>
    <row r="69">
      <c r="A69" s="12">
        <f>IFERROR(INDEX(SORT(UNIQUE(FILTER('Trade Log'!$G$5:$G$1004,'Trade Log'!$G$5:$G$1004&lt;&gt;""))),ROW()-32),"")</f>
        <v/>
      </c>
      <c r="B69" s="11">
        <f>IF($A69="","",SUMIFS('Trade Log'!$R$5:$R$1004,'Trade Log'!$G$5:$G$1004,$A69,'Trade Log'!$S$5:$S$1004,"Covered Call Premium"))</f>
        <v/>
      </c>
      <c r="C69" s="11">
        <f>IF($A69="","",SUMIFS('Trade Log'!$R$5:$R$1004,'Trade Log'!$G$5:$G$1004,$A69,'Trade Log'!$S$5:$S$1004,"Cash Secured Put Premium"))</f>
        <v/>
      </c>
      <c r="D69" s="11">
        <f>IF($A69="","",SUMIFS('Trade Log'!$R$5:$R$1004,'Trade Log'!$G$5:$G$1004,$A69,'Trade Log'!$S$5:$S$1004,"Long Call/Put P/L"))</f>
        <v/>
      </c>
      <c r="E69" s="11">
        <f>IF($A69="","",SUMIFS('Trade Log'!$R$5:$R$1004,'Trade Log'!$G$5:$G$1004,$A69,'Trade Log'!$S$5:$S$1004,"Stock Sales"))</f>
        <v/>
      </c>
      <c r="F69" s="11">
        <f>IF($A69="","",SUMIFS('Trade Log'!$R$5:$R$1004,'Trade Log'!$G$5:$G$1004,$A69,'Trade Log'!$S$5:$S$1004,"Other"))</f>
        <v/>
      </c>
      <c r="G69" s="11">
        <f>IF($A69="","",SUM(B69:F69))</f>
        <v/>
      </c>
    </row>
    <row r="70">
      <c r="A70" s="12">
        <f>IFERROR(INDEX(SORT(UNIQUE(FILTER('Trade Log'!$G$5:$G$1004,'Trade Log'!$G$5:$G$1004&lt;&gt;""))),ROW()-32),"")</f>
        <v/>
      </c>
      <c r="B70" s="11">
        <f>IF($A70="","",SUMIFS('Trade Log'!$R$5:$R$1004,'Trade Log'!$G$5:$G$1004,$A70,'Trade Log'!$S$5:$S$1004,"Covered Call Premium"))</f>
        <v/>
      </c>
      <c r="C70" s="11">
        <f>IF($A70="","",SUMIFS('Trade Log'!$R$5:$R$1004,'Trade Log'!$G$5:$G$1004,$A70,'Trade Log'!$S$5:$S$1004,"Cash Secured Put Premium"))</f>
        <v/>
      </c>
      <c r="D70" s="11">
        <f>IF($A70="","",SUMIFS('Trade Log'!$R$5:$R$1004,'Trade Log'!$G$5:$G$1004,$A70,'Trade Log'!$S$5:$S$1004,"Long Call/Put P/L"))</f>
        <v/>
      </c>
      <c r="E70" s="11">
        <f>IF($A70="","",SUMIFS('Trade Log'!$R$5:$R$1004,'Trade Log'!$G$5:$G$1004,$A70,'Trade Log'!$S$5:$S$1004,"Stock Sales"))</f>
        <v/>
      </c>
      <c r="F70" s="11">
        <f>IF($A70="","",SUMIFS('Trade Log'!$R$5:$R$1004,'Trade Log'!$G$5:$G$1004,$A70,'Trade Log'!$S$5:$S$1004,"Other"))</f>
        <v/>
      </c>
      <c r="G70" s="11">
        <f>IF($A70="","",SUM(B70:F70))</f>
        <v/>
      </c>
    </row>
    <row r="71">
      <c r="A71" s="12">
        <f>IFERROR(INDEX(SORT(UNIQUE(FILTER('Trade Log'!$G$5:$G$1004,'Trade Log'!$G$5:$G$1004&lt;&gt;""))),ROW()-32),"")</f>
        <v/>
      </c>
      <c r="B71" s="11">
        <f>IF($A71="","",SUMIFS('Trade Log'!$R$5:$R$1004,'Trade Log'!$G$5:$G$1004,$A71,'Trade Log'!$S$5:$S$1004,"Covered Call Premium"))</f>
        <v/>
      </c>
      <c r="C71" s="11">
        <f>IF($A71="","",SUMIFS('Trade Log'!$R$5:$R$1004,'Trade Log'!$G$5:$G$1004,$A71,'Trade Log'!$S$5:$S$1004,"Cash Secured Put Premium"))</f>
        <v/>
      </c>
      <c r="D71" s="11">
        <f>IF($A71="","",SUMIFS('Trade Log'!$R$5:$R$1004,'Trade Log'!$G$5:$G$1004,$A71,'Trade Log'!$S$5:$S$1004,"Long Call/Put P/L"))</f>
        <v/>
      </c>
      <c r="E71" s="11">
        <f>IF($A71="","",SUMIFS('Trade Log'!$R$5:$R$1004,'Trade Log'!$G$5:$G$1004,$A71,'Trade Log'!$S$5:$S$1004,"Stock Sales"))</f>
        <v/>
      </c>
      <c r="F71" s="11">
        <f>IF($A71="","",SUMIFS('Trade Log'!$R$5:$R$1004,'Trade Log'!$G$5:$G$1004,$A71,'Trade Log'!$S$5:$S$1004,"Other"))</f>
        <v/>
      </c>
      <c r="G71" s="11">
        <f>IF($A71="","",SUM(B71:F71))</f>
        <v/>
      </c>
    </row>
    <row r="72">
      <c r="A72" s="12">
        <f>IFERROR(INDEX(SORT(UNIQUE(FILTER('Trade Log'!$G$5:$G$1004,'Trade Log'!$G$5:$G$1004&lt;&gt;""))),ROW()-32),"")</f>
        <v/>
      </c>
      <c r="B72" s="11">
        <f>IF($A72="","",SUMIFS('Trade Log'!$R$5:$R$1004,'Trade Log'!$G$5:$G$1004,$A72,'Trade Log'!$S$5:$S$1004,"Covered Call Premium"))</f>
        <v/>
      </c>
      <c r="C72" s="11">
        <f>IF($A72="","",SUMIFS('Trade Log'!$R$5:$R$1004,'Trade Log'!$G$5:$G$1004,$A72,'Trade Log'!$S$5:$S$1004,"Cash Secured Put Premium"))</f>
        <v/>
      </c>
      <c r="D72" s="11">
        <f>IF($A72="","",SUMIFS('Trade Log'!$R$5:$R$1004,'Trade Log'!$G$5:$G$1004,$A72,'Trade Log'!$S$5:$S$1004,"Long Call/Put P/L"))</f>
        <v/>
      </c>
      <c r="E72" s="11">
        <f>IF($A72="","",SUMIFS('Trade Log'!$R$5:$R$1004,'Trade Log'!$G$5:$G$1004,$A72,'Trade Log'!$S$5:$S$1004,"Stock Sales"))</f>
        <v/>
      </c>
      <c r="F72" s="11">
        <f>IF($A72="","",SUMIFS('Trade Log'!$R$5:$R$1004,'Trade Log'!$G$5:$G$1004,$A72,'Trade Log'!$S$5:$S$1004,"Other"))</f>
        <v/>
      </c>
      <c r="G72" s="11">
        <f>IF($A72="","",SUM(B72:F72))</f>
        <v/>
      </c>
    </row>
    <row r="73">
      <c r="A73" s="12">
        <f>IFERROR(INDEX(SORT(UNIQUE(FILTER('Trade Log'!$G$5:$G$1004,'Trade Log'!$G$5:$G$1004&lt;&gt;""))),ROW()-32),"")</f>
        <v/>
      </c>
      <c r="B73" s="11">
        <f>IF($A73="","",SUMIFS('Trade Log'!$R$5:$R$1004,'Trade Log'!$G$5:$G$1004,$A73,'Trade Log'!$S$5:$S$1004,"Covered Call Premium"))</f>
        <v/>
      </c>
      <c r="C73" s="11">
        <f>IF($A73="","",SUMIFS('Trade Log'!$R$5:$R$1004,'Trade Log'!$G$5:$G$1004,$A73,'Trade Log'!$S$5:$S$1004,"Cash Secured Put Premium"))</f>
        <v/>
      </c>
      <c r="D73" s="11">
        <f>IF($A73="","",SUMIFS('Trade Log'!$R$5:$R$1004,'Trade Log'!$G$5:$G$1004,$A73,'Trade Log'!$S$5:$S$1004,"Long Call/Put P/L"))</f>
        <v/>
      </c>
      <c r="E73" s="11">
        <f>IF($A73="","",SUMIFS('Trade Log'!$R$5:$R$1004,'Trade Log'!$G$5:$G$1004,$A73,'Trade Log'!$S$5:$S$1004,"Stock Sales"))</f>
        <v/>
      </c>
      <c r="F73" s="11">
        <f>IF($A73="","",SUMIFS('Trade Log'!$R$5:$R$1004,'Trade Log'!$G$5:$G$1004,$A73,'Trade Log'!$S$5:$S$1004,"Other"))</f>
        <v/>
      </c>
      <c r="G73" s="11">
        <f>IF($A73="","",SUM(B73:F73))</f>
        <v/>
      </c>
    </row>
    <row r="74">
      <c r="A74" s="12">
        <f>IFERROR(INDEX(SORT(UNIQUE(FILTER('Trade Log'!$G$5:$G$1004,'Trade Log'!$G$5:$G$1004&lt;&gt;""))),ROW()-32),"")</f>
        <v/>
      </c>
      <c r="B74" s="11">
        <f>IF($A74="","",SUMIFS('Trade Log'!$R$5:$R$1004,'Trade Log'!$G$5:$G$1004,$A74,'Trade Log'!$S$5:$S$1004,"Covered Call Premium"))</f>
        <v/>
      </c>
      <c r="C74" s="11">
        <f>IF($A74="","",SUMIFS('Trade Log'!$R$5:$R$1004,'Trade Log'!$G$5:$G$1004,$A74,'Trade Log'!$S$5:$S$1004,"Cash Secured Put Premium"))</f>
        <v/>
      </c>
      <c r="D74" s="11">
        <f>IF($A74="","",SUMIFS('Trade Log'!$R$5:$R$1004,'Trade Log'!$G$5:$G$1004,$A74,'Trade Log'!$S$5:$S$1004,"Long Call/Put P/L"))</f>
        <v/>
      </c>
      <c r="E74" s="11">
        <f>IF($A74="","",SUMIFS('Trade Log'!$R$5:$R$1004,'Trade Log'!$G$5:$G$1004,$A74,'Trade Log'!$S$5:$S$1004,"Stock Sales"))</f>
        <v/>
      </c>
      <c r="F74" s="11">
        <f>IF($A74="","",SUMIFS('Trade Log'!$R$5:$R$1004,'Trade Log'!$G$5:$G$1004,$A74,'Trade Log'!$S$5:$S$1004,"Other"))</f>
        <v/>
      </c>
      <c r="G74" s="11">
        <f>IF($A74="","",SUM(B74:F74))</f>
        <v/>
      </c>
    </row>
    <row r="75">
      <c r="A75" s="12">
        <f>IFERROR(INDEX(SORT(UNIQUE(FILTER('Trade Log'!$G$5:$G$1004,'Trade Log'!$G$5:$G$1004&lt;&gt;""))),ROW()-32),"")</f>
        <v/>
      </c>
      <c r="B75" s="11">
        <f>IF($A75="","",SUMIFS('Trade Log'!$R$5:$R$1004,'Trade Log'!$G$5:$G$1004,$A75,'Trade Log'!$S$5:$S$1004,"Covered Call Premium"))</f>
        <v/>
      </c>
      <c r="C75" s="11">
        <f>IF($A75="","",SUMIFS('Trade Log'!$R$5:$R$1004,'Trade Log'!$G$5:$G$1004,$A75,'Trade Log'!$S$5:$S$1004,"Cash Secured Put Premium"))</f>
        <v/>
      </c>
      <c r="D75" s="11">
        <f>IF($A75="","",SUMIFS('Trade Log'!$R$5:$R$1004,'Trade Log'!$G$5:$G$1004,$A75,'Trade Log'!$S$5:$S$1004,"Long Call/Put P/L"))</f>
        <v/>
      </c>
      <c r="E75" s="11">
        <f>IF($A75="","",SUMIFS('Trade Log'!$R$5:$R$1004,'Trade Log'!$G$5:$G$1004,$A75,'Trade Log'!$S$5:$S$1004,"Stock Sales"))</f>
        <v/>
      </c>
      <c r="F75" s="11">
        <f>IF($A75="","",SUMIFS('Trade Log'!$R$5:$R$1004,'Trade Log'!$G$5:$G$1004,$A75,'Trade Log'!$S$5:$S$1004,"Other"))</f>
        <v/>
      </c>
      <c r="G75" s="11">
        <f>IF($A75="","",SUM(B75:F75))</f>
        <v/>
      </c>
    </row>
    <row r="76">
      <c r="A76" s="12">
        <f>IFERROR(INDEX(SORT(UNIQUE(FILTER('Trade Log'!$G$5:$G$1004,'Trade Log'!$G$5:$G$1004&lt;&gt;""))),ROW()-32),"")</f>
        <v/>
      </c>
      <c r="B76" s="11">
        <f>IF($A76="","",SUMIFS('Trade Log'!$R$5:$R$1004,'Trade Log'!$G$5:$G$1004,$A76,'Trade Log'!$S$5:$S$1004,"Covered Call Premium"))</f>
        <v/>
      </c>
      <c r="C76" s="11">
        <f>IF($A76="","",SUMIFS('Trade Log'!$R$5:$R$1004,'Trade Log'!$G$5:$G$1004,$A76,'Trade Log'!$S$5:$S$1004,"Cash Secured Put Premium"))</f>
        <v/>
      </c>
      <c r="D76" s="11">
        <f>IF($A76="","",SUMIFS('Trade Log'!$R$5:$R$1004,'Trade Log'!$G$5:$G$1004,$A76,'Trade Log'!$S$5:$S$1004,"Long Call/Put P/L"))</f>
        <v/>
      </c>
      <c r="E76" s="11">
        <f>IF($A76="","",SUMIFS('Trade Log'!$R$5:$R$1004,'Trade Log'!$G$5:$G$1004,$A76,'Trade Log'!$S$5:$S$1004,"Stock Sales"))</f>
        <v/>
      </c>
      <c r="F76" s="11">
        <f>IF($A76="","",SUMIFS('Trade Log'!$R$5:$R$1004,'Trade Log'!$G$5:$G$1004,$A76,'Trade Log'!$S$5:$S$1004,"Other"))</f>
        <v/>
      </c>
      <c r="G76" s="11">
        <f>IF($A76="","",SUM(B76:F76))</f>
        <v/>
      </c>
    </row>
    <row r="77">
      <c r="A77" s="12">
        <f>IFERROR(INDEX(SORT(UNIQUE(FILTER('Trade Log'!$G$5:$G$1004,'Trade Log'!$G$5:$G$1004&lt;&gt;""))),ROW()-32),"")</f>
        <v/>
      </c>
      <c r="B77" s="11">
        <f>IF($A77="","",SUMIFS('Trade Log'!$R$5:$R$1004,'Trade Log'!$G$5:$G$1004,$A77,'Trade Log'!$S$5:$S$1004,"Covered Call Premium"))</f>
        <v/>
      </c>
      <c r="C77" s="11">
        <f>IF($A77="","",SUMIFS('Trade Log'!$R$5:$R$1004,'Trade Log'!$G$5:$G$1004,$A77,'Trade Log'!$S$5:$S$1004,"Cash Secured Put Premium"))</f>
        <v/>
      </c>
      <c r="D77" s="11">
        <f>IF($A77="","",SUMIFS('Trade Log'!$R$5:$R$1004,'Trade Log'!$G$5:$G$1004,$A77,'Trade Log'!$S$5:$S$1004,"Long Call/Put P/L"))</f>
        <v/>
      </c>
      <c r="E77" s="11">
        <f>IF($A77="","",SUMIFS('Trade Log'!$R$5:$R$1004,'Trade Log'!$G$5:$G$1004,$A77,'Trade Log'!$S$5:$S$1004,"Stock Sales"))</f>
        <v/>
      </c>
      <c r="F77" s="11">
        <f>IF($A77="","",SUMIFS('Trade Log'!$R$5:$R$1004,'Trade Log'!$G$5:$G$1004,$A77,'Trade Log'!$S$5:$S$1004,"Other"))</f>
        <v/>
      </c>
      <c r="G77" s="11">
        <f>IF($A77="","",SUM(B77:F77))</f>
        <v/>
      </c>
    </row>
    <row r="78">
      <c r="A78" s="12">
        <f>IFERROR(INDEX(SORT(UNIQUE(FILTER('Trade Log'!$G$5:$G$1004,'Trade Log'!$G$5:$G$1004&lt;&gt;""))),ROW()-32),"")</f>
        <v/>
      </c>
      <c r="B78" s="11">
        <f>IF($A78="","",SUMIFS('Trade Log'!$R$5:$R$1004,'Trade Log'!$G$5:$G$1004,$A78,'Trade Log'!$S$5:$S$1004,"Covered Call Premium"))</f>
        <v/>
      </c>
      <c r="C78" s="11">
        <f>IF($A78="","",SUMIFS('Trade Log'!$R$5:$R$1004,'Trade Log'!$G$5:$G$1004,$A78,'Trade Log'!$S$5:$S$1004,"Cash Secured Put Premium"))</f>
        <v/>
      </c>
      <c r="D78" s="11">
        <f>IF($A78="","",SUMIFS('Trade Log'!$R$5:$R$1004,'Trade Log'!$G$5:$G$1004,$A78,'Trade Log'!$S$5:$S$1004,"Long Call/Put P/L"))</f>
        <v/>
      </c>
      <c r="E78" s="11">
        <f>IF($A78="","",SUMIFS('Trade Log'!$R$5:$R$1004,'Trade Log'!$G$5:$G$1004,$A78,'Trade Log'!$S$5:$S$1004,"Stock Sales"))</f>
        <v/>
      </c>
      <c r="F78" s="11">
        <f>IF($A78="","",SUMIFS('Trade Log'!$R$5:$R$1004,'Trade Log'!$G$5:$G$1004,$A78,'Trade Log'!$S$5:$S$1004,"Other"))</f>
        <v/>
      </c>
      <c r="G78" s="11">
        <f>IF($A78="","",SUM(B78:F78))</f>
        <v/>
      </c>
    </row>
    <row r="79">
      <c r="A79" s="12">
        <f>IFERROR(INDEX(SORT(UNIQUE(FILTER('Trade Log'!$G$5:$G$1004,'Trade Log'!$G$5:$G$1004&lt;&gt;""))),ROW()-32),"")</f>
        <v/>
      </c>
      <c r="B79" s="11">
        <f>IF($A79="","",SUMIFS('Trade Log'!$R$5:$R$1004,'Trade Log'!$G$5:$G$1004,$A79,'Trade Log'!$S$5:$S$1004,"Covered Call Premium"))</f>
        <v/>
      </c>
      <c r="C79" s="11">
        <f>IF($A79="","",SUMIFS('Trade Log'!$R$5:$R$1004,'Trade Log'!$G$5:$G$1004,$A79,'Trade Log'!$S$5:$S$1004,"Cash Secured Put Premium"))</f>
        <v/>
      </c>
      <c r="D79" s="11">
        <f>IF($A79="","",SUMIFS('Trade Log'!$R$5:$R$1004,'Trade Log'!$G$5:$G$1004,$A79,'Trade Log'!$S$5:$S$1004,"Long Call/Put P/L"))</f>
        <v/>
      </c>
      <c r="E79" s="11">
        <f>IF($A79="","",SUMIFS('Trade Log'!$R$5:$R$1004,'Trade Log'!$G$5:$G$1004,$A79,'Trade Log'!$S$5:$S$1004,"Stock Sales"))</f>
        <v/>
      </c>
      <c r="F79" s="11">
        <f>IF($A79="","",SUMIFS('Trade Log'!$R$5:$R$1004,'Trade Log'!$G$5:$G$1004,$A79,'Trade Log'!$S$5:$S$1004,"Other"))</f>
        <v/>
      </c>
      <c r="G79" s="11">
        <f>IF($A79="","",SUM(B79:F79))</f>
        <v/>
      </c>
    </row>
    <row r="80">
      <c r="A80" s="12">
        <f>IFERROR(INDEX(SORT(UNIQUE(FILTER('Trade Log'!$G$5:$G$1004,'Trade Log'!$G$5:$G$1004&lt;&gt;""))),ROW()-32),"")</f>
        <v/>
      </c>
      <c r="B80" s="11">
        <f>IF($A80="","",SUMIFS('Trade Log'!$R$5:$R$1004,'Trade Log'!$G$5:$G$1004,$A80,'Trade Log'!$S$5:$S$1004,"Covered Call Premium"))</f>
        <v/>
      </c>
      <c r="C80" s="11">
        <f>IF($A80="","",SUMIFS('Trade Log'!$R$5:$R$1004,'Trade Log'!$G$5:$G$1004,$A80,'Trade Log'!$S$5:$S$1004,"Cash Secured Put Premium"))</f>
        <v/>
      </c>
      <c r="D80" s="11">
        <f>IF($A80="","",SUMIFS('Trade Log'!$R$5:$R$1004,'Trade Log'!$G$5:$G$1004,$A80,'Trade Log'!$S$5:$S$1004,"Long Call/Put P/L"))</f>
        <v/>
      </c>
      <c r="E80" s="11">
        <f>IF($A80="","",SUMIFS('Trade Log'!$R$5:$R$1004,'Trade Log'!$G$5:$G$1004,$A80,'Trade Log'!$S$5:$S$1004,"Stock Sales"))</f>
        <v/>
      </c>
      <c r="F80" s="11">
        <f>IF($A80="","",SUMIFS('Trade Log'!$R$5:$R$1004,'Trade Log'!$G$5:$G$1004,$A80,'Trade Log'!$S$5:$S$1004,"Other"))</f>
        <v/>
      </c>
      <c r="G80" s="11">
        <f>IF($A80="","",SUM(B80:F80))</f>
        <v/>
      </c>
    </row>
    <row r="81">
      <c r="A81" s="12">
        <f>IFERROR(INDEX(SORT(UNIQUE(FILTER('Trade Log'!$G$5:$G$1004,'Trade Log'!$G$5:$G$1004&lt;&gt;""))),ROW()-32),"")</f>
        <v/>
      </c>
      <c r="B81" s="11">
        <f>IF($A81="","",SUMIFS('Trade Log'!$R$5:$R$1004,'Trade Log'!$G$5:$G$1004,$A81,'Trade Log'!$S$5:$S$1004,"Covered Call Premium"))</f>
        <v/>
      </c>
      <c r="C81" s="11">
        <f>IF($A81="","",SUMIFS('Trade Log'!$R$5:$R$1004,'Trade Log'!$G$5:$G$1004,$A81,'Trade Log'!$S$5:$S$1004,"Cash Secured Put Premium"))</f>
        <v/>
      </c>
      <c r="D81" s="11">
        <f>IF($A81="","",SUMIFS('Trade Log'!$R$5:$R$1004,'Trade Log'!$G$5:$G$1004,$A81,'Trade Log'!$S$5:$S$1004,"Long Call/Put P/L"))</f>
        <v/>
      </c>
      <c r="E81" s="11">
        <f>IF($A81="","",SUMIFS('Trade Log'!$R$5:$R$1004,'Trade Log'!$G$5:$G$1004,$A81,'Trade Log'!$S$5:$S$1004,"Stock Sales"))</f>
        <v/>
      </c>
      <c r="F81" s="11">
        <f>IF($A81="","",SUMIFS('Trade Log'!$R$5:$R$1004,'Trade Log'!$G$5:$G$1004,$A81,'Trade Log'!$S$5:$S$1004,"Other"))</f>
        <v/>
      </c>
      <c r="G81" s="11">
        <f>IF($A81="","",SUM(B81:F81))</f>
        <v/>
      </c>
    </row>
    <row r="82">
      <c r="A82" s="12">
        <f>IFERROR(INDEX(SORT(UNIQUE(FILTER('Trade Log'!$G$5:$G$1004,'Trade Log'!$G$5:$G$1004&lt;&gt;""))),ROW()-32),"")</f>
        <v/>
      </c>
      <c r="B82" s="11">
        <f>IF($A82="","",SUMIFS('Trade Log'!$R$5:$R$1004,'Trade Log'!$G$5:$G$1004,$A82,'Trade Log'!$S$5:$S$1004,"Covered Call Premium"))</f>
        <v/>
      </c>
      <c r="C82" s="11">
        <f>IF($A82="","",SUMIFS('Trade Log'!$R$5:$R$1004,'Trade Log'!$G$5:$G$1004,$A82,'Trade Log'!$S$5:$S$1004,"Cash Secured Put Premium"))</f>
        <v/>
      </c>
      <c r="D82" s="11">
        <f>IF($A82="","",SUMIFS('Trade Log'!$R$5:$R$1004,'Trade Log'!$G$5:$G$1004,$A82,'Trade Log'!$S$5:$S$1004,"Long Call/Put P/L"))</f>
        <v/>
      </c>
      <c r="E82" s="11">
        <f>IF($A82="","",SUMIFS('Trade Log'!$R$5:$R$1004,'Trade Log'!$G$5:$G$1004,$A82,'Trade Log'!$S$5:$S$1004,"Stock Sales"))</f>
        <v/>
      </c>
      <c r="F82" s="11">
        <f>IF($A82="","",SUMIFS('Trade Log'!$R$5:$R$1004,'Trade Log'!$G$5:$G$1004,$A82,'Trade Log'!$S$5:$S$1004,"Other"))</f>
        <v/>
      </c>
      <c r="G82" s="11">
        <f>IF($A82="","",SUM(B82:F82))</f>
        <v/>
      </c>
    </row>
  </sheetData>
  <mergeCells count="2">
    <mergeCell ref="A1:I1"/>
    <mergeCell ref="A2:I2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2" customWidth="1" min="4" max="4"/>
    <col width="15" customWidth="1" min="5" max="5"/>
    <col width="14" customWidth="1" min="6" max="6"/>
    <col width="14" customWidth="1" min="7" max="7"/>
    <col width="10" customWidth="1" min="8" max="8"/>
    <col width="15" customWidth="1" min="9" max="9"/>
    <col width="16" customWidth="1" min="10" max="10"/>
    <col width="21" customWidth="1" min="11" max="11"/>
    <col width="14" customWidth="1" min="12" max="12"/>
    <col width="12" customWidth="1" min="13" max="13"/>
    <col width="28" customWidth="1" min="14" max="14"/>
  </cols>
  <sheetData>
    <row r="1" ht="28" customHeight="1">
      <c r="A1" s="1" t="inlineStr">
        <is>
          <t>Portfolio Positions &amp; Weights</t>
        </is>
      </c>
    </row>
    <row r="2" ht="34" customHeight="1">
      <c r="A2" s="2" t="inlineStr">
        <is>
          <t>Current stock positions from screenshots. Weights, unrealized P/L, and option exposure update automatically.</t>
        </is>
      </c>
    </row>
    <row r="4">
      <c r="A4" s="9" t="inlineStr">
        <is>
          <t>Ticker</t>
        </is>
      </c>
      <c r="B4" s="9" t="inlineStr">
        <is>
          <t>Shares</t>
        </is>
      </c>
      <c r="C4" s="9" t="inlineStr">
        <is>
          <t>Current Price</t>
        </is>
      </c>
      <c r="D4" s="9" t="inlineStr">
        <is>
          <t>Avg Cost</t>
        </is>
      </c>
      <c r="E4" s="9" t="inlineStr">
        <is>
          <t>Market Value</t>
        </is>
      </c>
      <c r="F4" s="9" t="inlineStr">
        <is>
          <t>Cost Basis</t>
        </is>
      </c>
      <c r="G4" s="9" t="inlineStr">
        <is>
          <t>Unrealized P/L</t>
        </is>
      </c>
      <c r="H4" s="9" t="inlineStr">
        <is>
          <t>Weight</t>
        </is>
      </c>
      <c r="I4" s="9" t="inlineStr">
        <is>
          <t>Open CC Contracts</t>
        </is>
      </c>
      <c r="J4" s="9" t="inlineStr">
        <is>
          <t>Open CSP Contracts</t>
        </is>
      </c>
      <c r="K4" s="9" t="inlineStr">
        <is>
          <t>Cash Secured Obligation</t>
        </is>
      </c>
      <c r="L4" s="9" t="inlineStr">
        <is>
          <t>Covered Shares</t>
        </is>
      </c>
      <c r="M4" s="9" t="inlineStr">
        <is>
          <t>Coverage %</t>
        </is>
      </c>
      <c r="N4" s="9" t="inlineStr">
        <is>
          <t>Notes</t>
        </is>
      </c>
    </row>
    <row r="5">
      <c r="A5" s="12" t="inlineStr">
        <is>
          <t>CASH</t>
        </is>
      </c>
      <c r="B5" s="14" t="n">
        <v>5526.75</v>
      </c>
      <c r="C5" s="17" t="n">
        <v>1</v>
      </c>
      <c r="D5" s="17" t="n">
        <v>1</v>
      </c>
      <c r="E5" s="11">
        <f>IF($A5="","",IFERROR($B5*$C5,0))</f>
        <v/>
      </c>
      <c r="F5" s="11">
        <f>IF($A5="","",IFERROR($B5*$D5,0))</f>
        <v/>
      </c>
      <c r="G5" s="11">
        <f>IF($A5="","",$E5-$F5)</f>
        <v/>
      </c>
      <c r="H5" s="19">
        <f>IF($A5="","",IFERROR($E5/SUM($E$5:$E$154),0))</f>
        <v/>
      </c>
      <c r="I5" s="12">
        <f>IF($A5="","",SUMIFS('Trade Log'!$M$5:$M$1004,'Trade Log'!$G$5:$G$1004,$A5,'Trade Log'!$B$5:$B$1004,"Covered Call",'Trade Log'!$C$5:$C$1004,"Open"))</f>
        <v/>
      </c>
      <c r="J5" s="12">
        <f>IF($A5="","",SUMIFS('Trade Log'!$M$5:$M$1004,'Trade Log'!$G$5:$G$1004,$A5,'Trade Log'!$B$5:$B$1004,"Cash Secured Put",'Trade Log'!$C$5:$C$1004,"Open"))</f>
        <v/>
      </c>
      <c r="K5" s="11">
        <f>IF($A5="","",SUMIFS('Trade Log'!$T$5:$T$1004,'Trade Log'!$G$5:$G$1004,$A5,'Trade Log'!$B$5:$B$1004,"Cash Secured Put",'Trade Log'!$C$5:$C$1004,"Open"))</f>
        <v/>
      </c>
      <c r="L5" s="12">
        <f>IF($A5="","",$I5*100)</f>
        <v/>
      </c>
      <c r="M5" s="19">
        <f>IFERROR($L5/$B5,0)</f>
        <v/>
      </c>
      <c r="N5" s="14" t="inlineStr">
        <is>
          <t>Estimated free cash / buying power after reconciling known activity through 2026-06-09, the 2026-06-11 SHLS call purchase, and closing SONY calls. Includes the user-reported $3,000 cash addition, which was not visible as a posted deposit in the CSV exports; confirm against broker buying power.</t>
        </is>
      </c>
    </row>
    <row r="6">
      <c r="A6" s="12" t="inlineStr">
        <is>
          <t>ETH</t>
        </is>
      </c>
      <c r="B6" s="14" t="n">
        <v>1</v>
      </c>
      <c r="C6" s="17" t="n">
        <v>2298.88</v>
      </c>
      <c r="D6" s="17" t="n"/>
      <c r="E6" s="11">
        <f>IF($A6="","",IFERROR($B6*$C6,0))</f>
        <v/>
      </c>
      <c r="F6" s="11">
        <f>IF($A6="","",IFERROR($B6*$D6,0))</f>
        <v/>
      </c>
      <c r="G6" s="11">
        <f>IF($A6="","",$E6-$F6)</f>
        <v/>
      </c>
      <c r="H6" s="19">
        <f>IF($A6="","",IFERROR($E6/SUM($E$5:$E$154),0))</f>
        <v/>
      </c>
      <c r="I6" s="12">
        <f>IF($A6="","",SUMIFS('Trade Log'!$M$5:$M$1004,'Trade Log'!$G$5:$G$1004,$A6,'Trade Log'!$B$5:$B$1004,"Covered Call",'Trade Log'!$C$5:$C$1004,"Open"))</f>
        <v/>
      </c>
      <c r="J6" s="12">
        <f>IF($A6="","",SUMIFS('Trade Log'!$M$5:$M$1004,'Trade Log'!$G$5:$G$1004,$A6,'Trade Log'!$B$5:$B$1004,"Cash Secured Put",'Trade Log'!$C$5:$C$1004,"Open"))</f>
        <v/>
      </c>
      <c r="K6" s="11">
        <f>IF($A6="","",SUMIFS('Trade Log'!$T$5:$T$1004,'Trade Log'!$G$5:$G$1004,$A6,'Trade Log'!$B$5:$B$1004,"Cash Secured Put",'Trade Log'!$C$5:$C$1004,"Open"))</f>
        <v/>
      </c>
      <c r="L6" s="12">
        <f>IF($A6="","",$I6*100)</f>
        <v/>
      </c>
      <c r="M6" s="19">
        <f>IFERROR($L6/$B6,0)</f>
        <v/>
      </c>
      <c r="N6" s="14" t="inlineStr">
        <is>
          <t>1 Ethereum token. Cost basis pending.</t>
        </is>
      </c>
    </row>
    <row r="7">
      <c r="A7" s="12" t="inlineStr">
        <is>
          <t>ADEA</t>
        </is>
      </c>
      <c r="B7" s="14" t="n">
        <v>100</v>
      </c>
      <c r="C7" s="17" t="n">
        <v>29.69</v>
      </c>
      <c r="D7" s="17" t="n">
        <v>29.69</v>
      </c>
      <c r="E7" s="11">
        <f>IF($A7="","",IFERROR($B7*$C7,0))</f>
        <v/>
      </c>
      <c r="F7" s="11">
        <f>IF($A7="","",IFERROR($B7*$D7,0))</f>
        <v/>
      </c>
      <c r="G7" s="11">
        <f>IF($A7="","",$E7-$F7)</f>
        <v/>
      </c>
      <c r="H7" s="19">
        <f>IF($A7="","",IFERROR($E7/SUM($E$5:$E$154),0))</f>
        <v/>
      </c>
      <c r="I7" s="12">
        <f>IF($A7="","",SUMIFS('Trade Log'!$M$5:$M$1004,'Trade Log'!$G$5:$G$1004,$A7,'Trade Log'!$B$5:$B$1004,"Covered Call",'Trade Log'!$C$5:$C$1004,"Open"))</f>
        <v/>
      </c>
      <c r="J7" s="12">
        <f>IF($A7="","",SUMIFS('Trade Log'!$M$5:$M$1004,'Trade Log'!$G$5:$G$1004,$A7,'Trade Log'!$B$5:$B$1004,"Cash Secured Put",'Trade Log'!$C$5:$C$1004,"Open"))</f>
        <v/>
      </c>
      <c r="K7" s="11">
        <f>IF($A7="","",SUMIFS('Trade Log'!$T$5:$T$1004,'Trade Log'!$G$5:$G$1004,$A7,'Trade Log'!$B$5:$B$1004,"Cash Secured Put",'Trade Log'!$C$5:$C$1004,"Open"))</f>
        <v/>
      </c>
      <c r="L7" s="12">
        <f>IF($A7="","",$I7*100)</f>
        <v/>
      </c>
      <c r="M7" s="19">
        <f>IFERROR($L7/$B7,0)</f>
        <v/>
      </c>
      <c r="N7" s="14" t="inlineStr">
        <is>
          <t>Bought 100 shares on 2026-06-08 per joint CSV. Current price set to fill pending live quote refresh.</t>
        </is>
      </c>
    </row>
    <row r="8">
      <c r="A8" s="12" t="inlineStr">
        <is>
          <t>AEHR</t>
        </is>
      </c>
      <c r="B8" s="14" t="n">
        <v>200</v>
      </c>
      <c r="C8" s="17" t="n">
        <v>99.84</v>
      </c>
      <c r="D8" s="17" t="n">
        <v>35.73</v>
      </c>
      <c r="E8" s="11">
        <f>IF($A8="","",IFERROR($B8*$C8,0))</f>
        <v/>
      </c>
      <c r="F8" s="11">
        <f>IF($A8="","",IFERROR($B8*$D8,0))</f>
        <v/>
      </c>
      <c r="G8" s="11">
        <f>IF($A8="","",$E8-$F8)</f>
        <v/>
      </c>
      <c r="H8" s="19">
        <f>IF($A8="","",IFERROR($E8/SUM($E$5:$E$154),0))</f>
        <v/>
      </c>
      <c r="I8" s="12">
        <f>IF($A8="","",SUMIFS('Trade Log'!$M$5:$M$1004,'Trade Log'!$G$5:$G$1004,$A8,'Trade Log'!$B$5:$B$1004,"Covered Call",'Trade Log'!$C$5:$C$1004,"Open"))</f>
        <v/>
      </c>
      <c r="J8" s="12">
        <f>IF($A8="","",SUMIFS('Trade Log'!$M$5:$M$1004,'Trade Log'!$G$5:$G$1004,$A8,'Trade Log'!$B$5:$B$1004,"Cash Secured Put",'Trade Log'!$C$5:$C$1004,"Open"))</f>
        <v/>
      </c>
      <c r="K8" s="11">
        <f>IF($A8="","",SUMIFS('Trade Log'!$T$5:$T$1004,'Trade Log'!$G$5:$G$1004,$A8,'Trade Log'!$B$5:$B$1004,"Cash Secured Put",'Trade Log'!$C$5:$C$1004,"Open"))</f>
        <v/>
      </c>
      <c r="L8" s="12">
        <f>IF($A8="","",$I8*100)</f>
        <v/>
      </c>
      <c r="M8" s="19">
        <f>IFERROR($L8/$B8,0)</f>
        <v/>
      </c>
      <c r="N8" s="14" t="inlineStr">
        <is>
          <t>Combined holdings from tracker plus YTD CSV activity. Price last refreshed 2026-05-28.</t>
        </is>
      </c>
    </row>
    <row r="9">
      <c r="A9" s="12" t="inlineStr">
        <is>
          <t>AMD</t>
        </is>
      </c>
      <c r="B9" s="14" t="n">
        <v>100</v>
      </c>
      <c r="C9" s="17" t="n">
        <v>518.15</v>
      </c>
      <c r="D9" s="17" t="n">
        <v>165.46</v>
      </c>
      <c r="E9" s="11">
        <f>IF($A9="","",IFERROR($B9*$C9,0))</f>
        <v/>
      </c>
      <c r="F9" s="11">
        <f>IF($A9="","",IFERROR($B9*$D9,0))</f>
        <v/>
      </c>
      <c r="G9" s="11">
        <f>IF($A9="","",$E9-$F9)</f>
        <v/>
      </c>
      <c r="H9" s="19">
        <f>IF($A9="","",IFERROR($E9/SUM($E$5:$E$154),0))</f>
        <v/>
      </c>
      <c r="I9" s="12">
        <f>IF($A9="","",SUMIFS('Trade Log'!$M$5:$M$1004,'Trade Log'!$G$5:$G$1004,$A9,'Trade Log'!$B$5:$B$1004,"Covered Call",'Trade Log'!$C$5:$C$1004,"Open"))</f>
        <v/>
      </c>
      <c r="J9" s="12">
        <f>IF($A9="","",SUMIFS('Trade Log'!$M$5:$M$1004,'Trade Log'!$G$5:$G$1004,$A9,'Trade Log'!$B$5:$B$1004,"Cash Secured Put",'Trade Log'!$C$5:$C$1004,"Open"))</f>
        <v/>
      </c>
      <c r="K9" s="11">
        <f>IF($A9="","",SUMIFS('Trade Log'!$T$5:$T$1004,'Trade Log'!$G$5:$G$1004,$A9,'Trade Log'!$B$5:$B$1004,"Cash Secured Put",'Trade Log'!$C$5:$C$1004,"Open"))</f>
        <v/>
      </c>
      <c r="L9" s="12">
        <f>IF($A9="","",$I9*100)</f>
        <v/>
      </c>
      <c r="M9" s="19">
        <f>IFERROR($L9/$B9,0)</f>
        <v/>
      </c>
      <c r="N9" s="14" t="inlineStr">
        <is>
          <t>Existing pre-CSV position retained. Price last refreshed 2026-05-28.</t>
        </is>
      </c>
    </row>
    <row r="10">
      <c r="A10" s="12" t="inlineStr">
        <is>
          <t>BMNR</t>
        </is>
      </c>
      <c r="B10" s="14" t="n">
        <v>700</v>
      </c>
      <c r="C10" s="17" t="n">
        <v>19.25</v>
      </c>
      <c r="D10" s="17" t="n">
        <v>31.58</v>
      </c>
      <c r="E10" s="11">
        <f>IF($A10="","",IFERROR($B10*$C10,0))</f>
        <v/>
      </c>
      <c r="F10" s="11">
        <f>IF($A10="","",IFERROR($B10*$D10,0))</f>
        <v/>
      </c>
      <c r="G10" s="11">
        <f>IF($A10="","",$E10-$F10)</f>
        <v/>
      </c>
      <c r="H10" s="19">
        <f>IF($A10="","",IFERROR($E10/SUM($E$5:$E$154),0))</f>
        <v/>
      </c>
      <c r="I10" s="12">
        <f>IF($A10="","",SUMIFS('Trade Log'!$M$5:$M$1004,'Trade Log'!$G$5:$G$1004,$A10,'Trade Log'!$B$5:$B$1004,"Covered Call",'Trade Log'!$C$5:$C$1004,"Open"))</f>
        <v/>
      </c>
      <c r="J10" s="12">
        <f>IF($A10="","",SUMIFS('Trade Log'!$M$5:$M$1004,'Trade Log'!$G$5:$G$1004,$A10,'Trade Log'!$B$5:$B$1004,"Cash Secured Put",'Trade Log'!$C$5:$C$1004,"Open"))</f>
        <v/>
      </c>
      <c r="K10" s="11">
        <f>IF($A10="","",SUMIFS('Trade Log'!$T$5:$T$1004,'Trade Log'!$G$5:$G$1004,$A10,'Trade Log'!$B$5:$B$1004,"Cash Secured Put",'Trade Log'!$C$5:$C$1004,"Open"))</f>
        <v/>
      </c>
      <c r="L10" s="12">
        <f>IF($A10="","",$I10*100)</f>
        <v/>
      </c>
      <c r="M10" s="19">
        <f>IFERROR($L10/$B10,0)</f>
        <v/>
      </c>
      <c r="N10" s="14" t="inlineStr">
        <is>
          <t>Combined across portfolios; reconciled against YTD activity. Price last refreshed 2026-05-28.</t>
        </is>
      </c>
    </row>
    <row r="11">
      <c r="A11" s="12" t="inlineStr">
        <is>
          <t>CRWV</t>
        </is>
      </c>
      <c r="B11" s="14" t="n">
        <v>100</v>
      </c>
      <c r="C11" s="17" t="n">
        <v>102.43</v>
      </c>
      <c r="D11" s="17" t="n">
        <v>102.43</v>
      </c>
      <c r="E11" s="11">
        <f>IF($A11="","",IFERROR($B11*$C11,0))</f>
        <v/>
      </c>
      <c r="F11" s="11">
        <f>IF($A11="","",IFERROR($B11*$D11,0))</f>
        <v/>
      </c>
      <c r="G11" s="11">
        <f>IF($A11="","",$E11-$F11)</f>
        <v/>
      </c>
      <c r="H11" s="19">
        <f>IF($A11="","",IFERROR($E11/SUM($E$5:$E$154),0))</f>
        <v/>
      </c>
      <c r="I11" s="12">
        <f>IF($A11="","",SUMIFS('Trade Log'!$M$5:$M$1004,'Trade Log'!$G$5:$G$1004,$A11,'Trade Log'!$B$5:$B$1004,"Covered Call",'Trade Log'!$C$5:$C$1004,"Open"))</f>
        <v/>
      </c>
      <c r="J11" s="12">
        <f>IF($A11="","",SUMIFS('Trade Log'!$M$5:$M$1004,'Trade Log'!$G$5:$G$1004,$A11,'Trade Log'!$B$5:$B$1004,"Cash Secured Put",'Trade Log'!$C$5:$C$1004,"Open"))</f>
        <v/>
      </c>
      <c r="K11" s="11">
        <f>IF($A11="","",SUMIFS('Trade Log'!$T$5:$T$1004,'Trade Log'!$G$5:$G$1004,$A11,'Trade Log'!$B$5:$B$1004,"Cash Secured Put",'Trade Log'!$C$5:$C$1004,"Open"))</f>
        <v/>
      </c>
      <c r="L11" s="12">
        <f>IF($A11="","",$I11*100)</f>
        <v/>
      </c>
      <c r="M11" s="19">
        <f>IFERROR($L11/$B11,0)</f>
        <v/>
      </c>
      <c r="N11" s="14" t="inlineStr">
        <is>
          <t>Bought 50 shares at $103.07 and 50 shares at $101.79 on 2026-06-05; weighted average $102.43.</t>
        </is>
      </c>
    </row>
    <row r="12">
      <c r="A12" s="12" t="inlineStr">
        <is>
          <t>FIVN</t>
        </is>
      </c>
      <c r="B12" s="14" t="n">
        <v>100</v>
      </c>
      <c r="C12" s="17" t="n">
        <v>23</v>
      </c>
      <c r="D12" s="17" t="n">
        <v>23</v>
      </c>
      <c r="E12" s="11">
        <f>IF($A12="","",IFERROR($B12*$C12,0))</f>
        <v/>
      </c>
      <c r="F12" s="11">
        <f>IF($A12="","",IFERROR($B12*$D12,0))</f>
        <v/>
      </c>
      <c r="G12" s="11">
        <f>IF($A12="","",$E12-$F12)</f>
        <v/>
      </c>
      <c r="H12" s="19">
        <f>IF($A12="","",IFERROR($E12/SUM($E$5:$E$154),0))</f>
        <v/>
      </c>
      <c r="I12" s="12">
        <f>IF($A12="","",SUMIFS('Trade Log'!$M$5:$M$1004,'Trade Log'!$G$5:$G$1004,$A12,'Trade Log'!$B$5:$B$1004,"Covered Call",'Trade Log'!$C$5:$C$1004,"Open"))</f>
        <v/>
      </c>
      <c r="J12" s="12">
        <f>IF($A12="","",SUMIFS('Trade Log'!$M$5:$M$1004,'Trade Log'!$G$5:$G$1004,$A12,'Trade Log'!$B$5:$B$1004,"Cash Secured Put",'Trade Log'!$C$5:$C$1004,"Open"))</f>
        <v/>
      </c>
      <c r="K12" s="11">
        <f>IF($A12="","",SUMIFS('Trade Log'!$T$5:$T$1004,'Trade Log'!$G$5:$G$1004,$A12,'Trade Log'!$B$5:$B$1004,"Cash Secured Put",'Trade Log'!$C$5:$C$1004,"Open"))</f>
        <v/>
      </c>
      <c r="L12" s="12">
        <f>IF($A12="","",$I12*100)</f>
        <v/>
      </c>
      <c r="M12" s="19">
        <f>IFERROR($L12/$B12,0)</f>
        <v/>
      </c>
      <c r="N12" s="14" t="inlineStr">
        <is>
          <t>Bought 100 shares on 2026-06-09 per joint CSV. Current price set to fill pending live quote refresh.</t>
        </is>
      </c>
    </row>
    <row r="13">
      <c r="A13" s="12" t="inlineStr">
        <is>
          <t>HOOD</t>
        </is>
      </c>
      <c r="B13" s="14" t="n">
        <v>775</v>
      </c>
      <c r="C13" s="17" t="n">
        <v>84.84999999999999</v>
      </c>
      <c r="D13" s="17" t="n">
        <v>41.4806451613</v>
      </c>
      <c r="E13" s="11">
        <f>IF($A13="","",IFERROR($B13*$C13,0))</f>
        <v/>
      </c>
      <c r="F13" s="11">
        <f>IF($A13="","",IFERROR($B13*$D13,0))</f>
        <v/>
      </c>
      <c r="G13" s="11">
        <f>IF($A13="","",$E13-$F13)</f>
        <v/>
      </c>
      <c r="H13" s="19">
        <f>IF($A13="","",IFERROR($E13/SUM($E$5:$E$154),0))</f>
        <v/>
      </c>
      <c r="I13" s="12">
        <f>IF($A13="","",SUMIFS('Trade Log'!$M$5:$M$1004,'Trade Log'!$G$5:$G$1004,$A13,'Trade Log'!$B$5:$B$1004,"Covered Call",'Trade Log'!$C$5:$C$1004,"Open"))</f>
        <v/>
      </c>
      <c r="J13" s="12">
        <f>IF($A13="","",SUMIFS('Trade Log'!$M$5:$M$1004,'Trade Log'!$G$5:$G$1004,$A13,'Trade Log'!$B$5:$B$1004,"Cash Secured Put",'Trade Log'!$C$5:$C$1004,"Open"))</f>
        <v/>
      </c>
      <c r="K13" s="11">
        <f>IF($A13="","",SUMIFS('Trade Log'!$T$5:$T$1004,'Trade Log'!$G$5:$G$1004,$A13,'Trade Log'!$B$5:$B$1004,"Cash Secured Put",'Trade Log'!$C$5:$C$1004,"Open"))</f>
        <v/>
      </c>
      <c r="L13" s="12">
        <f>IF($A13="","",$I13*100)</f>
        <v/>
      </c>
      <c r="M13" s="19">
        <f>IFERROR($L13/$B13,0)</f>
        <v/>
      </c>
      <c r="N13" s="14" t="inlineStr">
        <is>
          <t>Combined across portfolios; internal transfer rows cancel in combined view. Price last refreshed 2026-05-28.</t>
        </is>
      </c>
    </row>
    <row r="14">
      <c r="A14" s="12" t="inlineStr">
        <is>
          <t>NEXT</t>
        </is>
      </c>
      <c r="B14" s="14" t="n">
        <v>500</v>
      </c>
      <c r="C14" s="17" t="n">
        <v>8.050000000000001</v>
      </c>
      <c r="D14" s="17" t="n">
        <v>7.72</v>
      </c>
      <c r="E14" s="11">
        <f>IF($A14="","",IFERROR($B14*$C14,0))</f>
        <v/>
      </c>
      <c r="F14" s="11">
        <f>IF($A14="","",IFERROR($B14*$D14,0))</f>
        <v/>
      </c>
      <c r="G14" s="11">
        <f>IF($A14="","",$E14-$F14)</f>
        <v/>
      </c>
      <c r="H14" s="19">
        <f>IF($A14="","",IFERROR($E14/SUM($E$5:$E$154),0))</f>
        <v/>
      </c>
      <c r="I14" s="12">
        <f>IF($A14="","",SUMIFS('Trade Log'!$M$5:$M$1004,'Trade Log'!$G$5:$G$1004,$A14,'Trade Log'!$B$5:$B$1004,"Covered Call",'Trade Log'!$C$5:$C$1004,"Open"))</f>
        <v/>
      </c>
      <c r="J14" s="12">
        <f>IF($A14="","",SUMIFS('Trade Log'!$M$5:$M$1004,'Trade Log'!$G$5:$G$1004,$A14,'Trade Log'!$B$5:$B$1004,"Cash Secured Put",'Trade Log'!$C$5:$C$1004,"Open"))</f>
        <v/>
      </c>
      <c r="K14" s="11">
        <f>IF($A14="","",SUMIFS('Trade Log'!$T$5:$T$1004,'Trade Log'!$G$5:$G$1004,$A14,'Trade Log'!$B$5:$B$1004,"Cash Secured Put",'Trade Log'!$C$5:$C$1004,"Open"))</f>
        <v/>
      </c>
      <c r="L14" s="12">
        <f>IF($A14="","",$I14*100)</f>
        <v/>
      </c>
      <c r="M14" s="19">
        <f>IFERROR($L14/$B14,0)</f>
        <v/>
      </c>
      <c r="N14" s="14" t="inlineStr">
        <is>
          <t>Combined holdings; internal transfer rows cancel in combined view. Price last refreshed 2026-05-28.</t>
        </is>
      </c>
    </row>
    <row r="15">
      <c r="A15" s="12" t="inlineStr">
        <is>
          <t>NTNX</t>
        </is>
      </c>
      <c r="B15" s="14" t="n">
        <v>100</v>
      </c>
      <c r="C15" s="17" t="n">
        <v>48.8</v>
      </c>
      <c r="D15" s="17" t="n">
        <v>45.35</v>
      </c>
      <c r="E15" s="11">
        <f>IF($A15="","",IFERROR($B15*$C15,0))</f>
        <v/>
      </c>
      <c r="F15" s="11">
        <f>IF($A15="","",IFERROR($B15*$D15,0))</f>
        <v/>
      </c>
      <c r="G15" s="11">
        <f>IF($A15="","",$E15-$F15)</f>
        <v/>
      </c>
      <c r="H15" s="19">
        <f>IF($A15="","",IFERROR($E15/SUM($E$5:$E$154),0))</f>
        <v/>
      </c>
      <c r="I15" s="12">
        <f>IF($A15="","",SUMIFS('Trade Log'!$M$5:$M$1004,'Trade Log'!$G$5:$G$1004,$A15,'Trade Log'!$B$5:$B$1004,"Covered Call",'Trade Log'!$C$5:$C$1004,"Open"))</f>
        <v/>
      </c>
      <c r="J15" s="12">
        <f>IF($A15="","",SUMIFS('Trade Log'!$M$5:$M$1004,'Trade Log'!$G$5:$G$1004,$A15,'Trade Log'!$B$5:$B$1004,"Cash Secured Put",'Trade Log'!$C$5:$C$1004,"Open"))</f>
        <v/>
      </c>
      <c r="K15" s="11">
        <f>IF($A15="","",SUMIFS('Trade Log'!$T$5:$T$1004,'Trade Log'!$G$5:$G$1004,$A15,'Trade Log'!$B$5:$B$1004,"Cash Secured Put",'Trade Log'!$C$5:$C$1004,"Open"))</f>
        <v/>
      </c>
      <c r="L15" s="12">
        <f>IF($A15="","",$I15*100)</f>
        <v/>
      </c>
      <c r="M15" s="19">
        <f>IFERROR($L15/$B15,0)</f>
        <v/>
      </c>
      <c r="N15" s="14" t="inlineStr">
        <is>
          <t>Bought 100 shares at $45.35 on 2026-05-21. Price last refreshed 2026-05-28.</t>
        </is>
      </c>
    </row>
    <row r="16">
      <c r="A16" s="12" t="inlineStr">
        <is>
          <t>PLTR</t>
        </is>
      </c>
      <c r="B16" s="14" t="n">
        <v>770</v>
      </c>
      <c r="C16" s="17" t="n">
        <v>143.35</v>
      </c>
      <c r="D16" s="17" t="n">
        <v>18.51</v>
      </c>
      <c r="E16" s="11">
        <f>IF($A16="","",IFERROR($B16*$C16,0))</f>
        <v/>
      </c>
      <c r="F16" s="11">
        <f>IF($A16="","",IFERROR($B16*$D16,0))</f>
        <v/>
      </c>
      <c r="G16" s="11">
        <f>IF($A16="","",$E16-$F16)</f>
        <v/>
      </c>
      <c r="H16" s="19">
        <f>IF($A16="","",IFERROR($E16/SUM($E$5:$E$154),0))</f>
        <v/>
      </c>
      <c r="I16" s="12">
        <f>IF($A16="","",SUMIFS('Trade Log'!$M$5:$M$1004,'Trade Log'!$G$5:$G$1004,$A16,'Trade Log'!$B$5:$B$1004,"Covered Call",'Trade Log'!$C$5:$C$1004,"Open"))</f>
        <v/>
      </c>
      <c r="J16" s="12">
        <f>IF($A16="","",SUMIFS('Trade Log'!$M$5:$M$1004,'Trade Log'!$G$5:$G$1004,$A16,'Trade Log'!$B$5:$B$1004,"Cash Secured Put",'Trade Log'!$C$5:$C$1004,"Open"))</f>
        <v/>
      </c>
      <c r="K16" s="11">
        <f>IF($A16="","",SUMIFS('Trade Log'!$T$5:$T$1004,'Trade Log'!$G$5:$G$1004,$A16,'Trade Log'!$B$5:$B$1004,"Cash Secured Put",'Trade Log'!$C$5:$C$1004,"Open"))</f>
        <v/>
      </c>
      <c r="L16" s="12">
        <f>IF($A16="","",$I16*100)</f>
        <v/>
      </c>
      <c r="M16" s="19">
        <f>IFERROR($L16/$B16,0)</f>
        <v/>
      </c>
      <c r="N16" s="14" t="inlineStr">
        <is>
          <t>Combined across portfolios; reduced by 10 shares sold 2026-06-03 at $144.40 per joint CSV. Price last refreshed 2026-05-28.</t>
        </is>
      </c>
    </row>
    <row r="17">
      <c r="A17" s="12" t="inlineStr">
        <is>
          <t>TSLA</t>
        </is>
      </c>
      <c r="B17" s="14" t="n">
        <v>29</v>
      </c>
      <c r="C17" s="17" t="n">
        <v>442.15</v>
      </c>
      <c r="D17" s="17" t="n">
        <v>172.94</v>
      </c>
      <c r="E17" s="11">
        <f>IF($A17="","",IFERROR($B17*$C17,0))</f>
        <v/>
      </c>
      <c r="F17" s="11">
        <f>IF($A17="","",IFERROR($B17*$D17,0))</f>
        <v/>
      </c>
      <c r="G17" s="11">
        <f>IF($A17="","",$E17-$F17)</f>
        <v/>
      </c>
      <c r="H17" s="19">
        <f>IF($A17="","",IFERROR($E17/SUM($E$5:$E$154),0))</f>
        <v/>
      </c>
      <c r="I17" s="12">
        <f>IF($A17="","",SUMIFS('Trade Log'!$M$5:$M$1004,'Trade Log'!$G$5:$G$1004,$A17,'Trade Log'!$B$5:$B$1004,"Covered Call",'Trade Log'!$C$5:$C$1004,"Open"))</f>
        <v/>
      </c>
      <c r="J17" s="12">
        <f>IF($A17="","",SUMIFS('Trade Log'!$M$5:$M$1004,'Trade Log'!$G$5:$G$1004,$A17,'Trade Log'!$B$5:$B$1004,"Cash Secured Put",'Trade Log'!$C$5:$C$1004,"Open"))</f>
        <v/>
      </c>
      <c r="K17" s="11">
        <f>IF($A17="","",SUMIFS('Trade Log'!$T$5:$T$1004,'Trade Log'!$G$5:$G$1004,$A17,'Trade Log'!$B$5:$B$1004,"Cash Secured Put",'Trade Log'!$C$5:$C$1004,"Open"))</f>
        <v/>
      </c>
      <c r="L17" s="12">
        <f>IF($A17="","",$I17*100)</f>
        <v/>
      </c>
      <c r="M17" s="19">
        <f>IFERROR($L17/$B17,0)</f>
        <v/>
      </c>
      <c r="N17" s="14" t="inlineStr">
        <is>
          <t>Existing pre-CSV position retained. Price last refreshed 2026-05-28.</t>
        </is>
      </c>
    </row>
    <row r="18">
      <c r="A18" s="12" t="n"/>
      <c r="B18" s="14" t="n"/>
      <c r="C18" s="17" t="n"/>
      <c r="D18" s="17" t="n"/>
      <c r="E18" s="11">
        <f>IF($A18="","",IFERROR($B18*$C18,0))</f>
        <v/>
      </c>
      <c r="F18" s="11">
        <f>IF($A18="","",IFERROR($B18*$D18,0))</f>
        <v/>
      </c>
      <c r="G18" s="11">
        <f>IF($A18="","",$E18-$F18)</f>
        <v/>
      </c>
      <c r="H18" s="19">
        <f>IF($A18="","",IFERROR($E18/SUM($E$5:$E$154),0))</f>
        <v/>
      </c>
      <c r="I18" s="12">
        <f>IF($A18="","",SUMIFS('Trade Log'!$M$5:$M$1004,'Trade Log'!$G$5:$G$1004,$A18,'Trade Log'!$B$5:$B$1004,"Covered Call",'Trade Log'!$C$5:$C$1004,"Open"))</f>
        <v/>
      </c>
      <c r="J18" s="12">
        <f>IF($A18="","",SUMIFS('Trade Log'!$M$5:$M$1004,'Trade Log'!$G$5:$G$1004,$A18,'Trade Log'!$B$5:$B$1004,"Cash Secured Put",'Trade Log'!$C$5:$C$1004,"Open"))</f>
        <v/>
      </c>
      <c r="K18" s="11">
        <f>IF($A18="","",SUMIFS('Trade Log'!$T$5:$T$1004,'Trade Log'!$G$5:$G$1004,$A18,'Trade Log'!$B$5:$B$1004,"Cash Secured Put",'Trade Log'!$C$5:$C$1004,"Open"))</f>
        <v/>
      </c>
      <c r="L18" s="12">
        <f>IF($A18="","",$I18*100)</f>
        <v/>
      </c>
      <c r="M18" s="19">
        <f>IFERROR($L18/$B18,0)</f>
        <v/>
      </c>
      <c r="N18" s="14" t="n"/>
    </row>
    <row r="19">
      <c r="A19" s="12" t="n"/>
      <c r="B19" s="14" t="n"/>
      <c r="C19" s="17" t="n"/>
      <c r="D19" s="17" t="n"/>
      <c r="E19" s="11">
        <f>IF($A19="","",IFERROR($B19*$C19,0))</f>
        <v/>
      </c>
      <c r="F19" s="11">
        <f>IF($A19="","",IFERROR($B19*$D19,0))</f>
        <v/>
      </c>
      <c r="G19" s="11">
        <f>IF($A19="","",$E19-$F19)</f>
        <v/>
      </c>
      <c r="H19" s="19">
        <f>IF($A19="","",IFERROR($E19/SUM($E$5:$E$154),0))</f>
        <v/>
      </c>
      <c r="I19" s="12">
        <f>IF($A19="","",SUMIFS('Trade Log'!$M$5:$M$1004,'Trade Log'!$G$5:$G$1004,$A19,'Trade Log'!$B$5:$B$1004,"Covered Call",'Trade Log'!$C$5:$C$1004,"Open"))</f>
        <v/>
      </c>
      <c r="J19" s="12">
        <f>IF($A19="","",SUMIFS('Trade Log'!$M$5:$M$1004,'Trade Log'!$G$5:$G$1004,$A19,'Trade Log'!$B$5:$B$1004,"Cash Secured Put",'Trade Log'!$C$5:$C$1004,"Open"))</f>
        <v/>
      </c>
      <c r="K19" s="11">
        <f>IF($A19="","",SUMIFS('Trade Log'!$T$5:$T$1004,'Trade Log'!$G$5:$G$1004,$A19,'Trade Log'!$B$5:$B$1004,"Cash Secured Put",'Trade Log'!$C$5:$C$1004,"Open"))</f>
        <v/>
      </c>
      <c r="L19" s="12">
        <f>IF($A19="","",$I19*100)</f>
        <v/>
      </c>
      <c r="M19" s="19">
        <f>IFERROR($L19/$B19,0)</f>
        <v/>
      </c>
      <c r="N19" s="14" t="n"/>
    </row>
    <row r="20">
      <c r="A20" s="12" t="n"/>
      <c r="B20" s="14" t="n"/>
      <c r="C20" s="17" t="n"/>
      <c r="D20" s="17" t="n"/>
      <c r="E20" s="11">
        <f>IF($A20="","",IFERROR($B20*$C20,0))</f>
        <v/>
      </c>
      <c r="F20" s="11">
        <f>IF($A20="","",IFERROR($B20*$D20,0))</f>
        <v/>
      </c>
      <c r="G20" s="11">
        <f>IF($A20="","",$E20-$F20)</f>
        <v/>
      </c>
      <c r="H20" s="19">
        <f>IF($A20="","",IFERROR($E20/SUM($E$5:$E$154),0))</f>
        <v/>
      </c>
      <c r="I20" s="12">
        <f>IF($A20="","",SUMIFS('Trade Log'!$M$5:$M$1004,'Trade Log'!$G$5:$G$1004,$A20,'Trade Log'!$B$5:$B$1004,"Covered Call",'Trade Log'!$C$5:$C$1004,"Open"))</f>
        <v/>
      </c>
      <c r="J20" s="12">
        <f>IF($A20="","",SUMIFS('Trade Log'!$M$5:$M$1004,'Trade Log'!$G$5:$G$1004,$A20,'Trade Log'!$B$5:$B$1004,"Cash Secured Put",'Trade Log'!$C$5:$C$1004,"Open"))</f>
        <v/>
      </c>
      <c r="K20" s="11">
        <f>IF($A20="","",SUMIFS('Trade Log'!$T$5:$T$1004,'Trade Log'!$G$5:$G$1004,$A20,'Trade Log'!$B$5:$B$1004,"Cash Secured Put",'Trade Log'!$C$5:$C$1004,"Open"))</f>
        <v/>
      </c>
      <c r="L20" s="12">
        <f>IF($A20="","",$I20*100)</f>
        <v/>
      </c>
      <c r="M20" s="19">
        <f>IFERROR($L20/$B20,0)</f>
        <v/>
      </c>
      <c r="N20" s="14" t="n"/>
    </row>
    <row r="21">
      <c r="A21" s="12" t="n"/>
      <c r="B21" s="14" t="n"/>
      <c r="C21" s="17" t="n"/>
      <c r="D21" s="17" t="n"/>
      <c r="E21" s="11">
        <f>IF($A21="","",IFERROR($B21*$C21,0))</f>
        <v/>
      </c>
      <c r="F21" s="11">
        <f>IF($A21="","",IFERROR($B21*$D21,0))</f>
        <v/>
      </c>
      <c r="G21" s="11">
        <f>IF($A21="","",$E21-$F21)</f>
        <v/>
      </c>
      <c r="H21" s="19">
        <f>IF($A21="","",IFERROR($E21/SUM($E$5:$E$154),0))</f>
        <v/>
      </c>
      <c r="I21" s="12">
        <f>IF($A21="","",SUMIFS('Trade Log'!$M$5:$M$1004,'Trade Log'!$G$5:$G$1004,$A21,'Trade Log'!$B$5:$B$1004,"Covered Call",'Trade Log'!$C$5:$C$1004,"Open"))</f>
        <v/>
      </c>
      <c r="J21" s="12">
        <f>IF($A21="","",SUMIFS('Trade Log'!$M$5:$M$1004,'Trade Log'!$G$5:$G$1004,$A21,'Trade Log'!$B$5:$B$1004,"Cash Secured Put",'Trade Log'!$C$5:$C$1004,"Open"))</f>
        <v/>
      </c>
      <c r="K21" s="11">
        <f>IF($A21="","",SUMIFS('Trade Log'!$T$5:$T$1004,'Trade Log'!$G$5:$G$1004,$A21,'Trade Log'!$B$5:$B$1004,"Cash Secured Put",'Trade Log'!$C$5:$C$1004,"Open"))</f>
        <v/>
      </c>
      <c r="L21" s="12">
        <f>IF($A21="","",$I21*100)</f>
        <v/>
      </c>
      <c r="M21" s="19">
        <f>IFERROR($L21/$B21,0)</f>
        <v/>
      </c>
      <c r="N21" s="14" t="n"/>
    </row>
    <row r="22">
      <c r="A22" s="12" t="n"/>
      <c r="B22" s="14" t="n"/>
      <c r="C22" s="17" t="n"/>
      <c r="D22" s="17" t="n"/>
      <c r="E22" s="11">
        <f>IF($A22="","",IFERROR($B22*$C22,0))</f>
        <v/>
      </c>
      <c r="F22" s="11">
        <f>IF($A22="","",IFERROR($B22*$D22,0))</f>
        <v/>
      </c>
      <c r="G22" s="11">
        <f>IF($A22="","",$E22-$F22)</f>
        <v/>
      </c>
      <c r="H22" s="19">
        <f>IF($A22="","",IFERROR($E22/SUM($E$5:$E$154),0))</f>
        <v/>
      </c>
      <c r="I22" s="12">
        <f>IF($A22="","",SUMIFS('Trade Log'!$M$5:$M$1004,'Trade Log'!$G$5:$G$1004,$A22,'Trade Log'!$B$5:$B$1004,"Covered Call",'Trade Log'!$C$5:$C$1004,"Open"))</f>
        <v/>
      </c>
      <c r="J22" s="12">
        <f>IF($A22="","",SUMIFS('Trade Log'!$M$5:$M$1004,'Trade Log'!$G$5:$G$1004,$A22,'Trade Log'!$B$5:$B$1004,"Cash Secured Put",'Trade Log'!$C$5:$C$1004,"Open"))</f>
        <v/>
      </c>
      <c r="K22" s="11">
        <f>IF($A22="","",SUMIFS('Trade Log'!$T$5:$T$1004,'Trade Log'!$G$5:$G$1004,$A22,'Trade Log'!$B$5:$B$1004,"Cash Secured Put",'Trade Log'!$C$5:$C$1004,"Open"))</f>
        <v/>
      </c>
      <c r="L22" s="12">
        <f>IF($A22="","",$I22*100)</f>
        <v/>
      </c>
      <c r="M22" s="19">
        <f>IFERROR($L22/$B22,0)</f>
        <v/>
      </c>
      <c r="N22" s="14" t="n"/>
    </row>
    <row r="23">
      <c r="A23" s="12" t="n"/>
      <c r="B23" s="14" t="n"/>
      <c r="C23" s="17" t="n"/>
      <c r="D23" s="17" t="n"/>
      <c r="E23" s="11">
        <f>IF($A23="","",IFERROR($B23*$C23,0))</f>
        <v/>
      </c>
      <c r="F23" s="11">
        <f>IF($A23="","",IFERROR($B23*$D23,0))</f>
        <v/>
      </c>
      <c r="G23" s="11">
        <f>IF($A23="","",$E23-$F23)</f>
        <v/>
      </c>
      <c r="H23" s="19">
        <f>IF($A23="","",IFERROR($E23/SUM($E$5:$E$154),0))</f>
        <v/>
      </c>
      <c r="I23" s="12">
        <f>IF($A23="","",SUMIFS('Trade Log'!$M$5:$M$1004,'Trade Log'!$G$5:$G$1004,$A23,'Trade Log'!$B$5:$B$1004,"Covered Call",'Trade Log'!$C$5:$C$1004,"Open"))</f>
        <v/>
      </c>
      <c r="J23" s="12">
        <f>IF($A23="","",SUMIFS('Trade Log'!$M$5:$M$1004,'Trade Log'!$G$5:$G$1004,$A23,'Trade Log'!$B$5:$B$1004,"Cash Secured Put",'Trade Log'!$C$5:$C$1004,"Open"))</f>
        <v/>
      </c>
      <c r="K23" s="11">
        <f>IF($A23="","",SUMIFS('Trade Log'!$T$5:$T$1004,'Trade Log'!$G$5:$G$1004,$A23,'Trade Log'!$B$5:$B$1004,"Cash Secured Put",'Trade Log'!$C$5:$C$1004,"Open"))</f>
        <v/>
      </c>
      <c r="L23" s="12">
        <f>IF($A23="","",$I23*100)</f>
        <v/>
      </c>
      <c r="M23" s="19">
        <f>IFERROR($L23/$B23,0)</f>
        <v/>
      </c>
      <c r="N23" s="14" t="n"/>
    </row>
    <row r="24">
      <c r="A24" s="12" t="n"/>
      <c r="B24" s="14" t="n"/>
      <c r="C24" s="17" t="n"/>
      <c r="D24" s="17" t="n"/>
      <c r="E24" s="11">
        <f>IF($A24="","",IFERROR($B24*$C24,0))</f>
        <v/>
      </c>
      <c r="F24" s="11">
        <f>IF($A24="","",IFERROR($B24*$D24,0))</f>
        <v/>
      </c>
      <c r="G24" s="11">
        <f>IF($A24="","",$E24-$F24)</f>
        <v/>
      </c>
      <c r="H24" s="19">
        <f>IF($A24="","",IFERROR($E24/SUM($E$5:$E$154),0))</f>
        <v/>
      </c>
      <c r="I24" s="12">
        <f>IF($A24="","",SUMIFS('Trade Log'!$M$5:$M$1004,'Trade Log'!$G$5:$G$1004,$A24,'Trade Log'!$B$5:$B$1004,"Covered Call",'Trade Log'!$C$5:$C$1004,"Open"))</f>
        <v/>
      </c>
      <c r="J24" s="12">
        <f>IF($A24="","",SUMIFS('Trade Log'!$M$5:$M$1004,'Trade Log'!$G$5:$G$1004,$A24,'Trade Log'!$B$5:$B$1004,"Cash Secured Put",'Trade Log'!$C$5:$C$1004,"Open"))</f>
        <v/>
      </c>
      <c r="K24" s="11">
        <f>IF($A24="","",SUMIFS('Trade Log'!$T$5:$T$1004,'Trade Log'!$G$5:$G$1004,$A24,'Trade Log'!$B$5:$B$1004,"Cash Secured Put",'Trade Log'!$C$5:$C$1004,"Open"))</f>
        <v/>
      </c>
      <c r="L24" s="12">
        <f>IF($A24="","",$I24*100)</f>
        <v/>
      </c>
      <c r="M24" s="19">
        <f>IFERROR($L24/$B24,0)</f>
        <v/>
      </c>
      <c r="N24" s="14" t="n"/>
    </row>
    <row r="25">
      <c r="A25" s="12" t="n"/>
      <c r="B25" s="14" t="n"/>
      <c r="C25" s="17" t="n"/>
      <c r="D25" s="17" t="n"/>
      <c r="E25" s="11">
        <f>IF($A25="","",IFERROR($B25*$C25,0))</f>
        <v/>
      </c>
      <c r="F25" s="11">
        <f>IF($A25="","",IFERROR($B25*$D25,0))</f>
        <v/>
      </c>
      <c r="G25" s="11">
        <f>IF($A25="","",$E25-$F25)</f>
        <v/>
      </c>
      <c r="H25" s="19">
        <f>IF($A25="","",IFERROR($E25/SUM($E$5:$E$154),0))</f>
        <v/>
      </c>
      <c r="I25" s="12">
        <f>IF($A25="","",SUMIFS('Trade Log'!$M$5:$M$1004,'Trade Log'!$G$5:$G$1004,$A25,'Trade Log'!$B$5:$B$1004,"Covered Call",'Trade Log'!$C$5:$C$1004,"Open"))</f>
        <v/>
      </c>
      <c r="J25" s="12">
        <f>IF($A25="","",SUMIFS('Trade Log'!$M$5:$M$1004,'Trade Log'!$G$5:$G$1004,$A25,'Trade Log'!$B$5:$B$1004,"Cash Secured Put",'Trade Log'!$C$5:$C$1004,"Open"))</f>
        <v/>
      </c>
      <c r="K25" s="11">
        <f>IF($A25="","",SUMIFS('Trade Log'!$T$5:$T$1004,'Trade Log'!$G$5:$G$1004,$A25,'Trade Log'!$B$5:$B$1004,"Cash Secured Put",'Trade Log'!$C$5:$C$1004,"Open"))</f>
        <v/>
      </c>
      <c r="L25" s="12">
        <f>IF($A25="","",$I25*100)</f>
        <v/>
      </c>
      <c r="M25" s="19">
        <f>IFERROR($L25/$B25,0)</f>
        <v/>
      </c>
      <c r="N25" s="14" t="n"/>
    </row>
    <row r="26">
      <c r="A26" s="12" t="n"/>
      <c r="B26" s="14" t="n"/>
      <c r="C26" s="17" t="n"/>
      <c r="D26" s="17" t="n"/>
      <c r="E26" s="11">
        <f>IF($A26="","",IFERROR($B26*$C26,0))</f>
        <v/>
      </c>
      <c r="F26" s="11">
        <f>IF($A26="","",IFERROR($B26*$D26,0))</f>
        <v/>
      </c>
      <c r="G26" s="11">
        <f>IF($A26="","",$E26-$F26)</f>
        <v/>
      </c>
      <c r="H26" s="19">
        <f>IF($A26="","",IFERROR($E26/SUM($E$5:$E$154),0))</f>
        <v/>
      </c>
      <c r="I26" s="12">
        <f>IF($A26="","",SUMIFS('Trade Log'!$M$5:$M$1004,'Trade Log'!$G$5:$G$1004,$A26,'Trade Log'!$B$5:$B$1004,"Covered Call",'Trade Log'!$C$5:$C$1004,"Open"))</f>
        <v/>
      </c>
      <c r="J26" s="12">
        <f>IF($A26="","",SUMIFS('Trade Log'!$M$5:$M$1004,'Trade Log'!$G$5:$G$1004,$A26,'Trade Log'!$B$5:$B$1004,"Cash Secured Put",'Trade Log'!$C$5:$C$1004,"Open"))</f>
        <v/>
      </c>
      <c r="K26" s="11">
        <f>IF($A26="","",SUMIFS('Trade Log'!$T$5:$T$1004,'Trade Log'!$G$5:$G$1004,$A26,'Trade Log'!$B$5:$B$1004,"Cash Secured Put",'Trade Log'!$C$5:$C$1004,"Open"))</f>
        <v/>
      </c>
      <c r="L26" s="12">
        <f>IF($A26="","",$I26*100)</f>
        <v/>
      </c>
      <c r="M26" s="19">
        <f>IFERROR($L26/$B26,0)</f>
        <v/>
      </c>
      <c r="N26" s="14" t="n"/>
    </row>
    <row r="27">
      <c r="A27" s="12" t="n"/>
      <c r="B27" s="14" t="n"/>
      <c r="C27" s="17" t="n"/>
      <c r="D27" s="17" t="n"/>
      <c r="E27" s="11">
        <f>IF($A27="","",IFERROR($B27*$C27,0))</f>
        <v/>
      </c>
      <c r="F27" s="11">
        <f>IF($A27="","",IFERROR($B27*$D27,0))</f>
        <v/>
      </c>
      <c r="G27" s="11">
        <f>IF($A27="","",$E27-$F27)</f>
        <v/>
      </c>
      <c r="H27" s="19">
        <f>IF($A27="","",IFERROR($E27/SUM($E$5:$E$154),0))</f>
        <v/>
      </c>
      <c r="I27" s="12">
        <f>IF($A27="","",SUMIFS('Trade Log'!$M$5:$M$1004,'Trade Log'!$G$5:$G$1004,$A27,'Trade Log'!$B$5:$B$1004,"Covered Call",'Trade Log'!$C$5:$C$1004,"Open"))</f>
        <v/>
      </c>
      <c r="J27" s="12">
        <f>IF($A27="","",SUMIFS('Trade Log'!$M$5:$M$1004,'Trade Log'!$G$5:$G$1004,$A27,'Trade Log'!$B$5:$B$1004,"Cash Secured Put",'Trade Log'!$C$5:$C$1004,"Open"))</f>
        <v/>
      </c>
      <c r="K27" s="11">
        <f>IF($A27="","",SUMIFS('Trade Log'!$T$5:$T$1004,'Trade Log'!$G$5:$G$1004,$A27,'Trade Log'!$B$5:$B$1004,"Cash Secured Put",'Trade Log'!$C$5:$C$1004,"Open"))</f>
        <v/>
      </c>
      <c r="L27" s="12">
        <f>IF($A27="","",$I27*100)</f>
        <v/>
      </c>
      <c r="M27" s="19">
        <f>IFERROR($L27/$B27,0)</f>
        <v/>
      </c>
      <c r="N27" s="14" t="n"/>
    </row>
    <row r="28">
      <c r="A28" s="12" t="n"/>
      <c r="B28" s="14" t="n"/>
      <c r="C28" s="17" t="n"/>
      <c r="D28" s="17" t="n"/>
      <c r="E28" s="11">
        <f>IF($A28="","",IFERROR($B28*$C28,0))</f>
        <v/>
      </c>
      <c r="F28" s="11">
        <f>IF($A28="","",IFERROR($B28*$D28,0))</f>
        <v/>
      </c>
      <c r="G28" s="11">
        <f>IF($A28="","",$E28-$F28)</f>
        <v/>
      </c>
      <c r="H28" s="19">
        <f>IF($A28="","",IFERROR($E28/SUM($E$5:$E$154),0))</f>
        <v/>
      </c>
      <c r="I28" s="12">
        <f>IF($A28="","",SUMIFS('Trade Log'!$M$5:$M$1004,'Trade Log'!$G$5:$G$1004,$A28,'Trade Log'!$B$5:$B$1004,"Covered Call",'Trade Log'!$C$5:$C$1004,"Open"))</f>
        <v/>
      </c>
      <c r="J28" s="12">
        <f>IF($A28="","",SUMIFS('Trade Log'!$M$5:$M$1004,'Trade Log'!$G$5:$G$1004,$A28,'Trade Log'!$B$5:$B$1004,"Cash Secured Put",'Trade Log'!$C$5:$C$1004,"Open"))</f>
        <v/>
      </c>
      <c r="K28" s="11">
        <f>IF($A28="","",SUMIFS('Trade Log'!$T$5:$T$1004,'Trade Log'!$G$5:$G$1004,$A28,'Trade Log'!$B$5:$B$1004,"Cash Secured Put",'Trade Log'!$C$5:$C$1004,"Open"))</f>
        <v/>
      </c>
      <c r="L28" s="12">
        <f>IF($A28="","",$I28*100)</f>
        <v/>
      </c>
      <c r="M28" s="19">
        <f>IFERROR($L28/$B28,0)</f>
        <v/>
      </c>
      <c r="N28" s="14" t="n"/>
    </row>
    <row r="29">
      <c r="A29" s="12" t="n"/>
      <c r="B29" s="14" t="n"/>
      <c r="C29" s="17" t="n"/>
      <c r="D29" s="17" t="n"/>
      <c r="E29" s="11">
        <f>IF($A29="","",IFERROR($B29*$C29,0))</f>
        <v/>
      </c>
      <c r="F29" s="11">
        <f>IF($A29="","",IFERROR($B29*$D29,0))</f>
        <v/>
      </c>
      <c r="G29" s="11">
        <f>IF($A29="","",$E29-$F29)</f>
        <v/>
      </c>
      <c r="H29" s="19">
        <f>IF($A29="","",IFERROR($E29/SUM($E$5:$E$154),0))</f>
        <v/>
      </c>
      <c r="I29" s="12">
        <f>IF($A29="","",SUMIFS('Trade Log'!$M$5:$M$1004,'Trade Log'!$G$5:$G$1004,$A29,'Trade Log'!$B$5:$B$1004,"Covered Call",'Trade Log'!$C$5:$C$1004,"Open"))</f>
        <v/>
      </c>
      <c r="J29" s="12">
        <f>IF($A29="","",SUMIFS('Trade Log'!$M$5:$M$1004,'Trade Log'!$G$5:$G$1004,$A29,'Trade Log'!$B$5:$B$1004,"Cash Secured Put",'Trade Log'!$C$5:$C$1004,"Open"))</f>
        <v/>
      </c>
      <c r="K29" s="11">
        <f>IF($A29="","",SUMIFS('Trade Log'!$T$5:$T$1004,'Trade Log'!$G$5:$G$1004,$A29,'Trade Log'!$B$5:$B$1004,"Cash Secured Put",'Trade Log'!$C$5:$C$1004,"Open"))</f>
        <v/>
      </c>
      <c r="L29" s="12">
        <f>IF($A29="","",$I29*100)</f>
        <v/>
      </c>
      <c r="M29" s="19">
        <f>IFERROR($L29/$B29,0)</f>
        <v/>
      </c>
      <c r="N29" s="14" t="n"/>
    </row>
    <row r="30">
      <c r="A30" s="12" t="n"/>
      <c r="B30" s="14" t="n"/>
      <c r="C30" s="17" t="n"/>
      <c r="D30" s="17" t="n"/>
      <c r="E30" s="11">
        <f>IF($A30="","",IFERROR($B30*$C30,0))</f>
        <v/>
      </c>
      <c r="F30" s="11">
        <f>IF($A30="","",IFERROR($B30*$D30,0))</f>
        <v/>
      </c>
      <c r="G30" s="11">
        <f>IF($A30="","",$E30-$F30)</f>
        <v/>
      </c>
      <c r="H30" s="19">
        <f>IF($A30="","",IFERROR($E30/SUM($E$5:$E$154),0))</f>
        <v/>
      </c>
      <c r="I30" s="12">
        <f>IF($A30="","",SUMIFS('Trade Log'!$M$5:$M$1004,'Trade Log'!$G$5:$G$1004,$A30,'Trade Log'!$B$5:$B$1004,"Covered Call",'Trade Log'!$C$5:$C$1004,"Open"))</f>
        <v/>
      </c>
      <c r="J30" s="12">
        <f>IF($A30="","",SUMIFS('Trade Log'!$M$5:$M$1004,'Trade Log'!$G$5:$G$1004,$A30,'Trade Log'!$B$5:$B$1004,"Cash Secured Put",'Trade Log'!$C$5:$C$1004,"Open"))</f>
        <v/>
      </c>
      <c r="K30" s="11">
        <f>IF($A30="","",SUMIFS('Trade Log'!$T$5:$T$1004,'Trade Log'!$G$5:$G$1004,$A30,'Trade Log'!$B$5:$B$1004,"Cash Secured Put",'Trade Log'!$C$5:$C$1004,"Open"))</f>
        <v/>
      </c>
      <c r="L30" s="12">
        <f>IF($A30="","",$I30*100)</f>
        <v/>
      </c>
      <c r="M30" s="19">
        <f>IFERROR($L30/$B30,0)</f>
        <v/>
      </c>
      <c r="N30" s="14" t="n"/>
    </row>
    <row r="31">
      <c r="A31" s="12" t="n"/>
      <c r="B31" s="14" t="n"/>
      <c r="C31" s="17" t="n"/>
      <c r="D31" s="17" t="n"/>
      <c r="E31" s="11">
        <f>IF($A31="","",IFERROR($B31*$C31,0))</f>
        <v/>
      </c>
      <c r="F31" s="11">
        <f>IF($A31="","",IFERROR($B31*$D31,0))</f>
        <v/>
      </c>
      <c r="G31" s="11">
        <f>IF($A31="","",$E31-$F31)</f>
        <v/>
      </c>
      <c r="H31" s="19">
        <f>IF($A31="","",IFERROR($E31/SUM($E$5:$E$154),0))</f>
        <v/>
      </c>
      <c r="I31" s="12">
        <f>IF($A31="","",SUMIFS('Trade Log'!$M$5:$M$1004,'Trade Log'!$G$5:$G$1004,$A31,'Trade Log'!$B$5:$B$1004,"Covered Call",'Trade Log'!$C$5:$C$1004,"Open"))</f>
        <v/>
      </c>
      <c r="J31" s="12">
        <f>IF($A31="","",SUMIFS('Trade Log'!$M$5:$M$1004,'Trade Log'!$G$5:$G$1004,$A31,'Trade Log'!$B$5:$B$1004,"Cash Secured Put",'Trade Log'!$C$5:$C$1004,"Open"))</f>
        <v/>
      </c>
      <c r="K31" s="11">
        <f>IF($A31="","",SUMIFS('Trade Log'!$T$5:$T$1004,'Trade Log'!$G$5:$G$1004,$A31,'Trade Log'!$B$5:$B$1004,"Cash Secured Put",'Trade Log'!$C$5:$C$1004,"Open"))</f>
        <v/>
      </c>
      <c r="L31" s="12">
        <f>IF($A31="","",$I31*100)</f>
        <v/>
      </c>
      <c r="M31" s="19">
        <f>IFERROR($L31/$B31,0)</f>
        <v/>
      </c>
      <c r="N31" s="14" t="n"/>
    </row>
    <row r="32">
      <c r="A32" s="12" t="n"/>
      <c r="B32" s="14" t="n"/>
      <c r="C32" s="17" t="n"/>
      <c r="D32" s="17" t="n"/>
      <c r="E32" s="11">
        <f>IF($A32="","",IFERROR($B32*$C32,0))</f>
        <v/>
      </c>
      <c r="F32" s="11">
        <f>IF($A32="","",IFERROR($B32*$D32,0))</f>
        <v/>
      </c>
      <c r="G32" s="11">
        <f>IF($A32="","",$E32-$F32)</f>
        <v/>
      </c>
      <c r="H32" s="19">
        <f>IF($A32="","",IFERROR($E32/SUM($E$5:$E$154),0))</f>
        <v/>
      </c>
      <c r="I32" s="12">
        <f>IF($A32="","",SUMIFS('Trade Log'!$M$5:$M$1004,'Trade Log'!$G$5:$G$1004,$A32,'Trade Log'!$B$5:$B$1004,"Covered Call",'Trade Log'!$C$5:$C$1004,"Open"))</f>
        <v/>
      </c>
      <c r="J32" s="12">
        <f>IF($A32="","",SUMIFS('Trade Log'!$M$5:$M$1004,'Trade Log'!$G$5:$G$1004,$A32,'Trade Log'!$B$5:$B$1004,"Cash Secured Put",'Trade Log'!$C$5:$C$1004,"Open"))</f>
        <v/>
      </c>
      <c r="K32" s="11">
        <f>IF($A32="","",SUMIFS('Trade Log'!$T$5:$T$1004,'Trade Log'!$G$5:$G$1004,$A32,'Trade Log'!$B$5:$B$1004,"Cash Secured Put",'Trade Log'!$C$5:$C$1004,"Open"))</f>
        <v/>
      </c>
      <c r="L32" s="12">
        <f>IF($A32="","",$I32*100)</f>
        <v/>
      </c>
      <c r="M32" s="19">
        <f>IFERROR($L32/$B32,0)</f>
        <v/>
      </c>
      <c r="N32" s="14" t="n"/>
    </row>
    <row r="33">
      <c r="A33" s="12" t="n"/>
      <c r="B33" s="14" t="n"/>
      <c r="C33" s="17" t="n"/>
      <c r="D33" s="17" t="n"/>
      <c r="E33" s="11">
        <f>IF($A33="","",IFERROR($B33*$C33,0))</f>
        <v/>
      </c>
      <c r="F33" s="11">
        <f>IF($A33="","",IFERROR($B33*$D33,0))</f>
        <v/>
      </c>
      <c r="G33" s="11">
        <f>IF($A33="","",$E33-$F33)</f>
        <v/>
      </c>
      <c r="H33" s="19">
        <f>IF($A33="","",IFERROR($E33/SUM($E$5:$E$154),0))</f>
        <v/>
      </c>
      <c r="I33" s="12">
        <f>IF($A33="","",SUMIFS('Trade Log'!$M$5:$M$1004,'Trade Log'!$G$5:$G$1004,$A33,'Trade Log'!$B$5:$B$1004,"Covered Call",'Trade Log'!$C$5:$C$1004,"Open"))</f>
        <v/>
      </c>
      <c r="J33" s="12">
        <f>IF($A33="","",SUMIFS('Trade Log'!$M$5:$M$1004,'Trade Log'!$G$5:$G$1004,$A33,'Trade Log'!$B$5:$B$1004,"Cash Secured Put",'Trade Log'!$C$5:$C$1004,"Open"))</f>
        <v/>
      </c>
      <c r="K33" s="11">
        <f>IF($A33="","",SUMIFS('Trade Log'!$T$5:$T$1004,'Trade Log'!$G$5:$G$1004,$A33,'Trade Log'!$B$5:$B$1004,"Cash Secured Put",'Trade Log'!$C$5:$C$1004,"Open"))</f>
        <v/>
      </c>
      <c r="L33" s="12">
        <f>IF($A33="","",$I33*100)</f>
        <v/>
      </c>
      <c r="M33" s="19">
        <f>IFERROR($L33/$B33,0)</f>
        <v/>
      </c>
      <c r="N33" s="14" t="n"/>
    </row>
    <row r="34">
      <c r="A34" s="12" t="n"/>
      <c r="B34" s="14" t="n"/>
      <c r="C34" s="17" t="n"/>
      <c r="D34" s="17" t="n"/>
      <c r="E34" s="11">
        <f>IF($A34="","",IFERROR($B34*$C34,0))</f>
        <v/>
      </c>
      <c r="F34" s="11">
        <f>IF($A34="","",IFERROR($B34*$D34,0))</f>
        <v/>
      </c>
      <c r="G34" s="11">
        <f>IF($A34="","",$E34-$F34)</f>
        <v/>
      </c>
      <c r="H34" s="19">
        <f>IF($A34="","",IFERROR($E34/SUM($E$5:$E$154),0))</f>
        <v/>
      </c>
      <c r="I34" s="12">
        <f>IF($A34="","",SUMIFS('Trade Log'!$M$5:$M$1004,'Trade Log'!$G$5:$G$1004,$A34,'Trade Log'!$B$5:$B$1004,"Covered Call",'Trade Log'!$C$5:$C$1004,"Open"))</f>
        <v/>
      </c>
      <c r="J34" s="12">
        <f>IF($A34="","",SUMIFS('Trade Log'!$M$5:$M$1004,'Trade Log'!$G$5:$G$1004,$A34,'Trade Log'!$B$5:$B$1004,"Cash Secured Put",'Trade Log'!$C$5:$C$1004,"Open"))</f>
        <v/>
      </c>
      <c r="K34" s="11">
        <f>IF($A34="","",SUMIFS('Trade Log'!$T$5:$T$1004,'Trade Log'!$G$5:$G$1004,$A34,'Trade Log'!$B$5:$B$1004,"Cash Secured Put",'Trade Log'!$C$5:$C$1004,"Open"))</f>
        <v/>
      </c>
      <c r="L34" s="12">
        <f>IF($A34="","",$I34*100)</f>
        <v/>
      </c>
      <c r="M34" s="19">
        <f>IFERROR($L34/$B34,0)</f>
        <v/>
      </c>
      <c r="N34" s="14" t="n"/>
    </row>
    <row r="35">
      <c r="A35" s="12" t="n"/>
      <c r="B35" s="14" t="n"/>
      <c r="C35" s="17" t="n"/>
      <c r="D35" s="17" t="n"/>
      <c r="E35" s="11">
        <f>IF($A35="","",IFERROR($B35*$C35,0))</f>
        <v/>
      </c>
      <c r="F35" s="11">
        <f>IF($A35="","",IFERROR($B35*$D35,0))</f>
        <v/>
      </c>
      <c r="G35" s="11">
        <f>IF($A35="","",$E35-$F35)</f>
        <v/>
      </c>
      <c r="H35" s="19">
        <f>IF($A35="","",IFERROR($E35/SUM($E$5:$E$154),0))</f>
        <v/>
      </c>
      <c r="I35" s="12">
        <f>IF($A35="","",SUMIFS('Trade Log'!$M$5:$M$1004,'Trade Log'!$G$5:$G$1004,$A35,'Trade Log'!$B$5:$B$1004,"Covered Call",'Trade Log'!$C$5:$C$1004,"Open"))</f>
        <v/>
      </c>
      <c r="J35" s="12">
        <f>IF($A35="","",SUMIFS('Trade Log'!$M$5:$M$1004,'Trade Log'!$G$5:$G$1004,$A35,'Trade Log'!$B$5:$B$1004,"Cash Secured Put",'Trade Log'!$C$5:$C$1004,"Open"))</f>
        <v/>
      </c>
      <c r="K35" s="11">
        <f>IF($A35="","",SUMIFS('Trade Log'!$T$5:$T$1004,'Trade Log'!$G$5:$G$1004,$A35,'Trade Log'!$B$5:$B$1004,"Cash Secured Put",'Trade Log'!$C$5:$C$1004,"Open"))</f>
        <v/>
      </c>
      <c r="L35" s="12">
        <f>IF($A35="","",$I35*100)</f>
        <v/>
      </c>
      <c r="M35" s="19">
        <f>IFERROR($L35/$B35,0)</f>
        <v/>
      </c>
      <c r="N35" s="14" t="n"/>
    </row>
    <row r="36">
      <c r="A36" s="12" t="n"/>
      <c r="B36" s="14" t="n"/>
      <c r="C36" s="17" t="n"/>
      <c r="D36" s="17" t="n"/>
      <c r="E36" s="11">
        <f>IF($A36="","",IFERROR($B36*$C36,0))</f>
        <v/>
      </c>
      <c r="F36" s="11">
        <f>IF($A36="","",IFERROR($B36*$D36,0))</f>
        <v/>
      </c>
      <c r="G36" s="11">
        <f>IF($A36="","",$E36-$F36)</f>
        <v/>
      </c>
      <c r="H36" s="19">
        <f>IF($A36="","",IFERROR($E36/SUM($E$5:$E$154),0))</f>
        <v/>
      </c>
      <c r="I36" s="12">
        <f>IF($A36="","",SUMIFS('Trade Log'!$M$5:$M$1004,'Trade Log'!$G$5:$G$1004,$A36,'Trade Log'!$B$5:$B$1004,"Covered Call",'Trade Log'!$C$5:$C$1004,"Open"))</f>
        <v/>
      </c>
      <c r="J36" s="12">
        <f>IF($A36="","",SUMIFS('Trade Log'!$M$5:$M$1004,'Trade Log'!$G$5:$G$1004,$A36,'Trade Log'!$B$5:$B$1004,"Cash Secured Put",'Trade Log'!$C$5:$C$1004,"Open"))</f>
        <v/>
      </c>
      <c r="K36" s="11">
        <f>IF($A36="","",SUMIFS('Trade Log'!$T$5:$T$1004,'Trade Log'!$G$5:$G$1004,$A36,'Trade Log'!$B$5:$B$1004,"Cash Secured Put",'Trade Log'!$C$5:$C$1004,"Open"))</f>
        <v/>
      </c>
      <c r="L36" s="12">
        <f>IF($A36="","",$I36*100)</f>
        <v/>
      </c>
      <c r="M36" s="19">
        <f>IFERROR($L36/$B36,0)</f>
        <v/>
      </c>
      <c r="N36" s="14" t="n"/>
    </row>
    <row r="37">
      <c r="A37" s="12" t="n"/>
      <c r="B37" s="14" t="n"/>
      <c r="C37" s="17" t="n"/>
      <c r="D37" s="17" t="n"/>
      <c r="E37" s="11">
        <f>IF($A37="","",IFERROR($B37*$C37,0))</f>
        <v/>
      </c>
      <c r="F37" s="11">
        <f>IF($A37="","",IFERROR($B37*$D37,0))</f>
        <v/>
      </c>
      <c r="G37" s="11">
        <f>IF($A37="","",$E37-$F37)</f>
        <v/>
      </c>
      <c r="H37" s="19">
        <f>IF($A37="","",IFERROR($E37/SUM($E$5:$E$154),0))</f>
        <v/>
      </c>
      <c r="I37" s="12">
        <f>IF($A37="","",SUMIFS('Trade Log'!$M$5:$M$1004,'Trade Log'!$G$5:$G$1004,$A37,'Trade Log'!$B$5:$B$1004,"Covered Call",'Trade Log'!$C$5:$C$1004,"Open"))</f>
        <v/>
      </c>
      <c r="J37" s="12">
        <f>IF($A37="","",SUMIFS('Trade Log'!$M$5:$M$1004,'Trade Log'!$G$5:$G$1004,$A37,'Trade Log'!$B$5:$B$1004,"Cash Secured Put",'Trade Log'!$C$5:$C$1004,"Open"))</f>
        <v/>
      </c>
      <c r="K37" s="11">
        <f>IF($A37="","",SUMIFS('Trade Log'!$T$5:$T$1004,'Trade Log'!$G$5:$G$1004,$A37,'Trade Log'!$B$5:$B$1004,"Cash Secured Put",'Trade Log'!$C$5:$C$1004,"Open"))</f>
        <v/>
      </c>
      <c r="L37" s="12">
        <f>IF($A37="","",$I37*100)</f>
        <v/>
      </c>
      <c r="M37" s="19">
        <f>IFERROR($L37/$B37,0)</f>
        <v/>
      </c>
      <c r="N37" s="14" t="n"/>
    </row>
    <row r="38">
      <c r="A38" s="12" t="n"/>
      <c r="B38" s="14" t="n"/>
      <c r="C38" s="17" t="n"/>
      <c r="D38" s="17" t="n"/>
      <c r="E38" s="11">
        <f>IF($A38="","",IFERROR($B38*$C38,0))</f>
        <v/>
      </c>
      <c r="F38" s="11">
        <f>IF($A38="","",IFERROR($B38*$D38,0))</f>
        <v/>
      </c>
      <c r="G38" s="11">
        <f>IF($A38="","",$E38-$F38)</f>
        <v/>
      </c>
      <c r="H38" s="19">
        <f>IF($A38="","",IFERROR($E38/SUM($E$5:$E$154),0))</f>
        <v/>
      </c>
      <c r="I38" s="12">
        <f>IF($A38="","",SUMIFS('Trade Log'!$M$5:$M$1004,'Trade Log'!$G$5:$G$1004,$A38,'Trade Log'!$B$5:$B$1004,"Covered Call",'Trade Log'!$C$5:$C$1004,"Open"))</f>
        <v/>
      </c>
      <c r="J38" s="12">
        <f>IF($A38="","",SUMIFS('Trade Log'!$M$5:$M$1004,'Trade Log'!$G$5:$G$1004,$A38,'Trade Log'!$B$5:$B$1004,"Cash Secured Put",'Trade Log'!$C$5:$C$1004,"Open"))</f>
        <v/>
      </c>
      <c r="K38" s="11">
        <f>IF($A38="","",SUMIFS('Trade Log'!$T$5:$T$1004,'Trade Log'!$G$5:$G$1004,$A38,'Trade Log'!$B$5:$B$1004,"Cash Secured Put",'Trade Log'!$C$5:$C$1004,"Open"))</f>
        <v/>
      </c>
      <c r="L38" s="12">
        <f>IF($A38="","",$I38*100)</f>
        <v/>
      </c>
      <c r="M38" s="19">
        <f>IFERROR($L38/$B38,0)</f>
        <v/>
      </c>
      <c r="N38" s="14" t="n"/>
    </row>
    <row r="39">
      <c r="A39" s="12" t="n"/>
      <c r="B39" s="14" t="n"/>
      <c r="C39" s="17" t="n"/>
      <c r="D39" s="17" t="n"/>
      <c r="E39" s="11">
        <f>IF($A39="","",IFERROR($B39*$C39,0))</f>
        <v/>
      </c>
      <c r="F39" s="11">
        <f>IF($A39="","",IFERROR($B39*$D39,0))</f>
        <v/>
      </c>
      <c r="G39" s="11">
        <f>IF($A39="","",$E39-$F39)</f>
        <v/>
      </c>
      <c r="H39" s="19">
        <f>IF($A39="","",IFERROR($E39/SUM($E$5:$E$154),0))</f>
        <v/>
      </c>
      <c r="I39" s="12">
        <f>IF($A39="","",SUMIFS('Trade Log'!$M$5:$M$1004,'Trade Log'!$G$5:$G$1004,$A39,'Trade Log'!$B$5:$B$1004,"Covered Call",'Trade Log'!$C$5:$C$1004,"Open"))</f>
        <v/>
      </c>
      <c r="J39" s="12">
        <f>IF($A39="","",SUMIFS('Trade Log'!$M$5:$M$1004,'Trade Log'!$G$5:$G$1004,$A39,'Trade Log'!$B$5:$B$1004,"Cash Secured Put",'Trade Log'!$C$5:$C$1004,"Open"))</f>
        <v/>
      </c>
      <c r="K39" s="11">
        <f>IF($A39="","",SUMIFS('Trade Log'!$T$5:$T$1004,'Trade Log'!$G$5:$G$1004,$A39,'Trade Log'!$B$5:$B$1004,"Cash Secured Put",'Trade Log'!$C$5:$C$1004,"Open"))</f>
        <v/>
      </c>
      <c r="L39" s="12">
        <f>IF($A39="","",$I39*100)</f>
        <v/>
      </c>
      <c r="M39" s="19">
        <f>IFERROR($L39/$B39,0)</f>
        <v/>
      </c>
      <c r="N39" s="14" t="n"/>
    </row>
    <row r="40">
      <c r="A40" s="12" t="n"/>
      <c r="B40" s="14" t="n"/>
      <c r="C40" s="17" t="n"/>
      <c r="D40" s="17" t="n"/>
      <c r="E40" s="11">
        <f>IF($A40="","",IFERROR($B40*$C40,0))</f>
        <v/>
      </c>
      <c r="F40" s="11">
        <f>IF($A40="","",IFERROR($B40*$D40,0))</f>
        <v/>
      </c>
      <c r="G40" s="11">
        <f>IF($A40="","",$E40-$F40)</f>
        <v/>
      </c>
      <c r="H40" s="19">
        <f>IF($A40="","",IFERROR($E40/SUM($E$5:$E$154),0))</f>
        <v/>
      </c>
      <c r="I40" s="12">
        <f>IF($A40="","",SUMIFS('Trade Log'!$M$5:$M$1004,'Trade Log'!$G$5:$G$1004,$A40,'Trade Log'!$B$5:$B$1004,"Covered Call",'Trade Log'!$C$5:$C$1004,"Open"))</f>
        <v/>
      </c>
      <c r="J40" s="12">
        <f>IF($A40="","",SUMIFS('Trade Log'!$M$5:$M$1004,'Trade Log'!$G$5:$G$1004,$A40,'Trade Log'!$B$5:$B$1004,"Cash Secured Put",'Trade Log'!$C$5:$C$1004,"Open"))</f>
        <v/>
      </c>
      <c r="K40" s="11">
        <f>IF($A40="","",SUMIFS('Trade Log'!$T$5:$T$1004,'Trade Log'!$G$5:$G$1004,$A40,'Trade Log'!$B$5:$B$1004,"Cash Secured Put",'Trade Log'!$C$5:$C$1004,"Open"))</f>
        <v/>
      </c>
      <c r="L40" s="12">
        <f>IF($A40="","",$I40*100)</f>
        <v/>
      </c>
      <c r="M40" s="19">
        <f>IFERROR($L40/$B40,0)</f>
        <v/>
      </c>
      <c r="N40" s="14" t="n"/>
    </row>
    <row r="41">
      <c r="A41" s="12" t="n"/>
      <c r="B41" s="14" t="n"/>
      <c r="C41" s="17" t="n"/>
      <c r="D41" s="17" t="n"/>
      <c r="E41" s="11">
        <f>IF($A41="","",IFERROR($B41*$C41,0))</f>
        <v/>
      </c>
      <c r="F41" s="11">
        <f>IF($A41="","",IFERROR($B41*$D41,0))</f>
        <v/>
      </c>
      <c r="G41" s="11">
        <f>IF($A41="","",$E41-$F41)</f>
        <v/>
      </c>
      <c r="H41" s="19">
        <f>IF($A41="","",IFERROR($E41/SUM($E$5:$E$154),0))</f>
        <v/>
      </c>
      <c r="I41" s="12">
        <f>IF($A41="","",SUMIFS('Trade Log'!$M$5:$M$1004,'Trade Log'!$G$5:$G$1004,$A41,'Trade Log'!$B$5:$B$1004,"Covered Call",'Trade Log'!$C$5:$C$1004,"Open"))</f>
        <v/>
      </c>
      <c r="J41" s="12">
        <f>IF($A41="","",SUMIFS('Trade Log'!$M$5:$M$1004,'Trade Log'!$G$5:$G$1004,$A41,'Trade Log'!$B$5:$B$1004,"Cash Secured Put",'Trade Log'!$C$5:$C$1004,"Open"))</f>
        <v/>
      </c>
      <c r="K41" s="11">
        <f>IF($A41="","",SUMIFS('Trade Log'!$T$5:$T$1004,'Trade Log'!$G$5:$G$1004,$A41,'Trade Log'!$B$5:$B$1004,"Cash Secured Put",'Trade Log'!$C$5:$C$1004,"Open"))</f>
        <v/>
      </c>
      <c r="L41" s="12">
        <f>IF($A41="","",$I41*100)</f>
        <v/>
      </c>
      <c r="M41" s="19">
        <f>IFERROR($L41/$B41,0)</f>
        <v/>
      </c>
      <c r="N41" s="14" t="n"/>
    </row>
    <row r="42">
      <c r="A42" s="12" t="n"/>
      <c r="B42" s="14" t="n"/>
      <c r="C42" s="17" t="n"/>
      <c r="D42" s="17" t="n"/>
      <c r="E42" s="11">
        <f>IF($A42="","",IFERROR($B42*$C42,0))</f>
        <v/>
      </c>
      <c r="F42" s="11">
        <f>IF($A42="","",IFERROR($B42*$D42,0))</f>
        <v/>
      </c>
      <c r="G42" s="11">
        <f>IF($A42="","",$E42-$F42)</f>
        <v/>
      </c>
      <c r="H42" s="19">
        <f>IF($A42="","",IFERROR($E42/SUM($E$5:$E$154),0))</f>
        <v/>
      </c>
      <c r="I42" s="12">
        <f>IF($A42="","",SUMIFS('Trade Log'!$M$5:$M$1004,'Trade Log'!$G$5:$G$1004,$A42,'Trade Log'!$B$5:$B$1004,"Covered Call",'Trade Log'!$C$5:$C$1004,"Open"))</f>
        <v/>
      </c>
      <c r="J42" s="12">
        <f>IF($A42="","",SUMIFS('Trade Log'!$M$5:$M$1004,'Trade Log'!$G$5:$G$1004,$A42,'Trade Log'!$B$5:$B$1004,"Cash Secured Put",'Trade Log'!$C$5:$C$1004,"Open"))</f>
        <v/>
      </c>
      <c r="K42" s="11">
        <f>IF($A42="","",SUMIFS('Trade Log'!$T$5:$T$1004,'Trade Log'!$G$5:$G$1004,$A42,'Trade Log'!$B$5:$B$1004,"Cash Secured Put",'Trade Log'!$C$5:$C$1004,"Open"))</f>
        <v/>
      </c>
      <c r="L42" s="12">
        <f>IF($A42="","",$I42*100)</f>
        <v/>
      </c>
      <c r="M42" s="19">
        <f>IFERROR($L42/$B42,0)</f>
        <v/>
      </c>
      <c r="N42" s="14" t="n"/>
    </row>
    <row r="43">
      <c r="A43" s="12" t="n"/>
      <c r="B43" s="14" t="n"/>
      <c r="C43" s="17" t="n"/>
      <c r="D43" s="17" t="n"/>
      <c r="E43" s="11">
        <f>IF($A43="","",IFERROR($B43*$C43,0))</f>
        <v/>
      </c>
      <c r="F43" s="11">
        <f>IF($A43="","",IFERROR($B43*$D43,0))</f>
        <v/>
      </c>
      <c r="G43" s="11">
        <f>IF($A43="","",$E43-$F43)</f>
        <v/>
      </c>
      <c r="H43" s="19">
        <f>IF($A43="","",IFERROR($E43/SUM($E$5:$E$154),0))</f>
        <v/>
      </c>
      <c r="I43" s="12">
        <f>IF($A43="","",SUMIFS('Trade Log'!$M$5:$M$1004,'Trade Log'!$G$5:$G$1004,$A43,'Trade Log'!$B$5:$B$1004,"Covered Call",'Trade Log'!$C$5:$C$1004,"Open"))</f>
        <v/>
      </c>
      <c r="J43" s="12">
        <f>IF($A43="","",SUMIFS('Trade Log'!$M$5:$M$1004,'Trade Log'!$G$5:$G$1004,$A43,'Trade Log'!$B$5:$B$1004,"Cash Secured Put",'Trade Log'!$C$5:$C$1004,"Open"))</f>
        <v/>
      </c>
      <c r="K43" s="11">
        <f>IF($A43="","",SUMIFS('Trade Log'!$T$5:$T$1004,'Trade Log'!$G$5:$G$1004,$A43,'Trade Log'!$B$5:$B$1004,"Cash Secured Put",'Trade Log'!$C$5:$C$1004,"Open"))</f>
        <v/>
      </c>
      <c r="L43" s="12">
        <f>IF($A43="","",$I43*100)</f>
        <v/>
      </c>
      <c r="M43" s="19">
        <f>IFERROR($L43/$B43,0)</f>
        <v/>
      </c>
      <c r="N43" s="14" t="n"/>
    </row>
    <row r="44">
      <c r="A44" s="12" t="n"/>
      <c r="B44" s="14" t="n"/>
      <c r="C44" s="17" t="n"/>
      <c r="D44" s="17" t="n"/>
      <c r="E44" s="11">
        <f>IF($A44="","",IFERROR($B44*$C44,0))</f>
        <v/>
      </c>
      <c r="F44" s="11">
        <f>IF($A44="","",IFERROR($B44*$D44,0))</f>
        <v/>
      </c>
      <c r="G44" s="11">
        <f>IF($A44="","",$E44-$F44)</f>
        <v/>
      </c>
      <c r="H44" s="19">
        <f>IF($A44="","",IFERROR($E44/SUM($E$5:$E$154),0))</f>
        <v/>
      </c>
      <c r="I44" s="12">
        <f>IF($A44="","",SUMIFS('Trade Log'!$M$5:$M$1004,'Trade Log'!$G$5:$G$1004,$A44,'Trade Log'!$B$5:$B$1004,"Covered Call",'Trade Log'!$C$5:$C$1004,"Open"))</f>
        <v/>
      </c>
      <c r="J44" s="12">
        <f>IF($A44="","",SUMIFS('Trade Log'!$M$5:$M$1004,'Trade Log'!$G$5:$G$1004,$A44,'Trade Log'!$B$5:$B$1004,"Cash Secured Put",'Trade Log'!$C$5:$C$1004,"Open"))</f>
        <v/>
      </c>
      <c r="K44" s="11">
        <f>IF($A44="","",SUMIFS('Trade Log'!$T$5:$T$1004,'Trade Log'!$G$5:$G$1004,$A44,'Trade Log'!$B$5:$B$1004,"Cash Secured Put",'Trade Log'!$C$5:$C$1004,"Open"))</f>
        <v/>
      </c>
      <c r="L44" s="12">
        <f>IF($A44="","",$I44*100)</f>
        <v/>
      </c>
      <c r="M44" s="19">
        <f>IFERROR($L44/$B44,0)</f>
        <v/>
      </c>
      <c r="N44" s="14" t="n"/>
    </row>
    <row r="45">
      <c r="A45" s="12" t="n"/>
      <c r="B45" s="14" t="n"/>
      <c r="C45" s="17" t="n"/>
      <c r="D45" s="17" t="n"/>
      <c r="E45" s="11">
        <f>IF($A45="","",IFERROR($B45*$C45,0))</f>
        <v/>
      </c>
      <c r="F45" s="11">
        <f>IF($A45="","",IFERROR($B45*$D45,0))</f>
        <v/>
      </c>
      <c r="G45" s="11">
        <f>IF($A45="","",$E45-$F45)</f>
        <v/>
      </c>
      <c r="H45" s="19">
        <f>IF($A45="","",IFERROR($E45/SUM($E$5:$E$154),0))</f>
        <v/>
      </c>
      <c r="I45" s="12">
        <f>IF($A45="","",SUMIFS('Trade Log'!$M$5:$M$1004,'Trade Log'!$G$5:$G$1004,$A45,'Trade Log'!$B$5:$B$1004,"Covered Call",'Trade Log'!$C$5:$C$1004,"Open"))</f>
        <v/>
      </c>
      <c r="J45" s="12">
        <f>IF($A45="","",SUMIFS('Trade Log'!$M$5:$M$1004,'Trade Log'!$G$5:$G$1004,$A45,'Trade Log'!$B$5:$B$1004,"Cash Secured Put",'Trade Log'!$C$5:$C$1004,"Open"))</f>
        <v/>
      </c>
      <c r="K45" s="11">
        <f>IF($A45="","",SUMIFS('Trade Log'!$T$5:$T$1004,'Trade Log'!$G$5:$G$1004,$A45,'Trade Log'!$B$5:$B$1004,"Cash Secured Put",'Trade Log'!$C$5:$C$1004,"Open"))</f>
        <v/>
      </c>
      <c r="L45" s="12">
        <f>IF($A45="","",$I45*100)</f>
        <v/>
      </c>
      <c r="M45" s="19">
        <f>IFERROR($L45/$B45,0)</f>
        <v/>
      </c>
      <c r="N45" s="14" t="n"/>
    </row>
    <row r="46">
      <c r="A46" s="12" t="n"/>
      <c r="B46" s="14" t="n"/>
      <c r="C46" s="17" t="n"/>
      <c r="D46" s="17" t="n"/>
      <c r="E46" s="11">
        <f>IF($A46="","",IFERROR($B46*$C46,0))</f>
        <v/>
      </c>
      <c r="F46" s="11">
        <f>IF($A46="","",IFERROR($B46*$D46,0))</f>
        <v/>
      </c>
      <c r="G46" s="11">
        <f>IF($A46="","",$E46-$F46)</f>
        <v/>
      </c>
      <c r="H46" s="19">
        <f>IF($A46="","",IFERROR($E46/SUM($E$5:$E$154),0))</f>
        <v/>
      </c>
      <c r="I46" s="12">
        <f>IF($A46="","",SUMIFS('Trade Log'!$M$5:$M$1004,'Trade Log'!$G$5:$G$1004,$A46,'Trade Log'!$B$5:$B$1004,"Covered Call",'Trade Log'!$C$5:$C$1004,"Open"))</f>
        <v/>
      </c>
      <c r="J46" s="12">
        <f>IF($A46="","",SUMIFS('Trade Log'!$M$5:$M$1004,'Trade Log'!$G$5:$G$1004,$A46,'Trade Log'!$B$5:$B$1004,"Cash Secured Put",'Trade Log'!$C$5:$C$1004,"Open"))</f>
        <v/>
      </c>
      <c r="K46" s="11">
        <f>IF($A46="","",SUMIFS('Trade Log'!$T$5:$T$1004,'Trade Log'!$G$5:$G$1004,$A46,'Trade Log'!$B$5:$B$1004,"Cash Secured Put",'Trade Log'!$C$5:$C$1004,"Open"))</f>
        <v/>
      </c>
      <c r="L46" s="12">
        <f>IF($A46="","",$I46*100)</f>
        <v/>
      </c>
      <c r="M46" s="19">
        <f>IFERROR($L46/$B46,0)</f>
        <v/>
      </c>
      <c r="N46" s="14" t="n"/>
    </row>
    <row r="47">
      <c r="A47" s="12" t="n"/>
      <c r="B47" s="14" t="n"/>
      <c r="C47" s="17" t="n"/>
      <c r="D47" s="17" t="n"/>
      <c r="E47" s="11">
        <f>IF($A47="","",IFERROR($B47*$C47,0))</f>
        <v/>
      </c>
      <c r="F47" s="11">
        <f>IF($A47="","",IFERROR($B47*$D47,0))</f>
        <v/>
      </c>
      <c r="G47" s="11">
        <f>IF($A47="","",$E47-$F47)</f>
        <v/>
      </c>
      <c r="H47" s="19">
        <f>IF($A47="","",IFERROR($E47/SUM($E$5:$E$154),0))</f>
        <v/>
      </c>
      <c r="I47" s="12">
        <f>IF($A47="","",SUMIFS('Trade Log'!$M$5:$M$1004,'Trade Log'!$G$5:$G$1004,$A47,'Trade Log'!$B$5:$B$1004,"Covered Call",'Trade Log'!$C$5:$C$1004,"Open"))</f>
        <v/>
      </c>
      <c r="J47" s="12">
        <f>IF($A47="","",SUMIFS('Trade Log'!$M$5:$M$1004,'Trade Log'!$G$5:$G$1004,$A47,'Trade Log'!$B$5:$B$1004,"Cash Secured Put",'Trade Log'!$C$5:$C$1004,"Open"))</f>
        <v/>
      </c>
      <c r="K47" s="11">
        <f>IF($A47="","",SUMIFS('Trade Log'!$T$5:$T$1004,'Trade Log'!$G$5:$G$1004,$A47,'Trade Log'!$B$5:$B$1004,"Cash Secured Put",'Trade Log'!$C$5:$C$1004,"Open"))</f>
        <v/>
      </c>
      <c r="L47" s="12">
        <f>IF($A47="","",$I47*100)</f>
        <v/>
      </c>
      <c r="M47" s="19">
        <f>IFERROR($L47/$B47,0)</f>
        <v/>
      </c>
      <c r="N47" s="14" t="n"/>
    </row>
    <row r="48">
      <c r="A48" s="12" t="n"/>
      <c r="B48" s="14" t="n"/>
      <c r="C48" s="17" t="n"/>
      <c r="D48" s="17" t="n"/>
      <c r="E48" s="11">
        <f>IF($A48="","",IFERROR($B48*$C48,0))</f>
        <v/>
      </c>
      <c r="F48" s="11">
        <f>IF($A48="","",IFERROR($B48*$D48,0))</f>
        <v/>
      </c>
      <c r="G48" s="11">
        <f>IF($A48="","",$E48-$F48)</f>
        <v/>
      </c>
      <c r="H48" s="19">
        <f>IF($A48="","",IFERROR($E48/SUM($E$5:$E$154),0))</f>
        <v/>
      </c>
      <c r="I48" s="12">
        <f>IF($A48="","",SUMIFS('Trade Log'!$M$5:$M$1004,'Trade Log'!$G$5:$G$1004,$A48,'Trade Log'!$B$5:$B$1004,"Covered Call",'Trade Log'!$C$5:$C$1004,"Open"))</f>
        <v/>
      </c>
      <c r="J48" s="12">
        <f>IF($A48="","",SUMIFS('Trade Log'!$M$5:$M$1004,'Trade Log'!$G$5:$G$1004,$A48,'Trade Log'!$B$5:$B$1004,"Cash Secured Put",'Trade Log'!$C$5:$C$1004,"Open"))</f>
        <v/>
      </c>
      <c r="K48" s="11">
        <f>IF($A48="","",SUMIFS('Trade Log'!$T$5:$T$1004,'Trade Log'!$G$5:$G$1004,$A48,'Trade Log'!$B$5:$B$1004,"Cash Secured Put",'Trade Log'!$C$5:$C$1004,"Open"))</f>
        <v/>
      </c>
      <c r="L48" s="12">
        <f>IF($A48="","",$I48*100)</f>
        <v/>
      </c>
      <c r="M48" s="19">
        <f>IFERROR($L48/$B48,0)</f>
        <v/>
      </c>
      <c r="N48" s="14" t="n"/>
    </row>
    <row r="49">
      <c r="A49" s="12" t="n"/>
      <c r="B49" s="14" t="n"/>
      <c r="C49" s="17" t="n"/>
      <c r="D49" s="17" t="n"/>
      <c r="E49" s="11">
        <f>IF($A49="","",IFERROR($B49*$C49,0))</f>
        <v/>
      </c>
      <c r="F49" s="11">
        <f>IF($A49="","",IFERROR($B49*$D49,0))</f>
        <v/>
      </c>
      <c r="G49" s="11">
        <f>IF($A49="","",$E49-$F49)</f>
        <v/>
      </c>
      <c r="H49" s="19">
        <f>IF($A49="","",IFERROR($E49/SUM($E$5:$E$154),0))</f>
        <v/>
      </c>
      <c r="I49" s="12">
        <f>IF($A49="","",SUMIFS('Trade Log'!$M$5:$M$1004,'Trade Log'!$G$5:$G$1004,$A49,'Trade Log'!$B$5:$B$1004,"Covered Call",'Trade Log'!$C$5:$C$1004,"Open"))</f>
        <v/>
      </c>
      <c r="J49" s="12">
        <f>IF($A49="","",SUMIFS('Trade Log'!$M$5:$M$1004,'Trade Log'!$G$5:$G$1004,$A49,'Trade Log'!$B$5:$B$1004,"Cash Secured Put",'Trade Log'!$C$5:$C$1004,"Open"))</f>
        <v/>
      </c>
      <c r="K49" s="11">
        <f>IF($A49="","",SUMIFS('Trade Log'!$T$5:$T$1004,'Trade Log'!$G$5:$G$1004,$A49,'Trade Log'!$B$5:$B$1004,"Cash Secured Put",'Trade Log'!$C$5:$C$1004,"Open"))</f>
        <v/>
      </c>
      <c r="L49" s="12">
        <f>IF($A49="","",$I49*100)</f>
        <v/>
      </c>
      <c r="M49" s="19">
        <f>IFERROR($L49/$B49,0)</f>
        <v/>
      </c>
      <c r="N49" s="14" t="n"/>
    </row>
    <row r="50">
      <c r="A50" s="12" t="n"/>
      <c r="B50" s="14" t="n"/>
      <c r="C50" s="17" t="n"/>
      <c r="D50" s="17" t="n"/>
      <c r="E50" s="11">
        <f>IF($A50="","",IFERROR($B50*$C50,0))</f>
        <v/>
      </c>
      <c r="F50" s="11">
        <f>IF($A50="","",IFERROR($B50*$D50,0))</f>
        <v/>
      </c>
      <c r="G50" s="11">
        <f>IF($A50="","",$E50-$F50)</f>
        <v/>
      </c>
      <c r="H50" s="19">
        <f>IF($A50="","",IFERROR($E50/SUM($E$5:$E$154),0))</f>
        <v/>
      </c>
      <c r="I50" s="12">
        <f>IF($A50="","",SUMIFS('Trade Log'!$M$5:$M$1004,'Trade Log'!$G$5:$G$1004,$A50,'Trade Log'!$B$5:$B$1004,"Covered Call",'Trade Log'!$C$5:$C$1004,"Open"))</f>
        <v/>
      </c>
      <c r="J50" s="12">
        <f>IF($A50="","",SUMIFS('Trade Log'!$M$5:$M$1004,'Trade Log'!$G$5:$G$1004,$A50,'Trade Log'!$B$5:$B$1004,"Cash Secured Put",'Trade Log'!$C$5:$C$1004,"Open"))</f>
        <v/>
      </c>
      <c r="K50" s="11">
        <f>IF($A50="","",SUMIFS('Trade Log'!$T$5:$T$1004,'Trade Log'!$G$5:$G$1004,$A50,'Trade Log'!$B$5:$B$1004,"Cash Secured Put",'Trade Log'!$C$5:$C$1004,"Open"))</f>
        <v/>
      </c>
      <c r="L50" s="12">
        <f>IF($A50="","",$I50*100)</f>
        <v/>
      </c>
      <c r="M50" s="19">
        <f>IFERROR($L50/$B50,0)</f>
        <v/>
      </c>
      <c r="N50" s="14" t="n"/>
    </row>
    <row r="51">
      <c r="A51" s="12" t="n"/>
      <c r="B51" s="14" t="n"/>
      <c r="C51" s="17" t="n"/>
      <c r="D51" s="17" t="n"/>
      <c r="E51" s="11">
        <f>IF($A51="","",IFERROR($B51*$C51,0))</f>
        <v/>
      </c>
      <c r="F51" s="11">
        <f>IF($A51="","",IFERROR($B51*$D51,0))</f>
        <v/>
      </c>
      <c r="G51" s="11">
        <f>IF($A51="","",$E51-$F51)</f>
        <v/>
      </c>
      <c r="H51" s="19">
        <f>IF($A51="","",IFERROR($E51/SUM($E$5:$E$154),0))</f>
        <v/>
      </c>
      <c r="I51" s="12">
        <f>IF($A51="","",SUMIFS('Trade Log'!$M$5:$M$1004,'Trade Log'!$G$5:$G$1004,$A51,'Trade Log'!$B$5:$B$1004,"Covered Call",'Trade Log'!$C$5:$C$1004,"Open"))</f>
        <v/>
      </c>
      <c r="J51" s="12">
        <f>IF($A51="","",SUMIFS('Trade Log'!$M$5:$M$1004,'Trade Log'!$G$5:$G$1004,$A51,'Trade Log'!$B$5:$B$1004,"Cash Secured Put",'Trade Log'!$C$5:$C$1004,"Open"))</f>
        <v/>
      </c>
      <c r="K51" s="11">
        <f>IF($A51="","",SUMIFS('Trade Log'!$T$5:$T$1004,'Trade Log'!$G$5:$G$1004,$A51,'Trade Log'!$B$5:$B$1004,"Cash Secured Put",'Trade Log'!$C$5:$C$1004,"Open"))</f>
        <v/>
      </c>
      <c r="L51" s="12">
        <f>IF($A51="","",$I51*100)</f>
        <v/>
      </c>
      <c r="M51" s="19">
        <f>IFERROR($L51/$B51,0)</f>
        <v/>
      </c>
      <c r="N51" s="14" t="n"/>
    </row>
    <row r="52">
      <c r="A52" s="12" t="n"/>
      <c r="B52" s="14" t="n"/>
      <c r="C52" s="17" t="n"/>
      <c r="D52" s="17" t="n"/>
      <c r="E52" s="11">
        <f>IF($A52="","",IFERROR($B52*$C52,0))</f>
        <v/>
      </c>
      <c r="F52" s="11">
        <f>IF($A52="","",IFERROR($B52*$D52,0))</f>
        <v/>
      </c>
      <c r="G52" s="11">
        <f>IF($A52="","",$E52-$F52)</f>
        <v/>
      </c>
      <c r="H52" s="19">
        <f>IF($A52="","",IFERROR($E52/SUM($E$5:$E$154),0))</f>
        <v/>
      </c>
      <c r="I52" s="12">
        <f>IF($A52="","",SUMIFS('Trade Log'!$M$5:$M$1004,'Trade Log'!$G$5:$G$1004,$A52,'Trade Log'!$B$5:$B$1004,"Covered Call",'Trade Log'!$C$5:$C$1004,"Open"))</f>
        <v/>
      </c>
      <c r="J52" s="12">
        <f>IF($A52="","",SUMIFS('Trade Log'!$M$5:$M$1004,'Trade Log'!$G$5:$G$1004,$A52,'Trade Log'!$B$5:$B$1004,"Cash Secured Put",'Trade Log'!$C$5:$C$1004,"Open"))</f>
        <v/>
      </c>
      <c r="K52" s="11">
        <f>IF($A52="","",SUMIFS('Trade Log'!$T$5:$T$1004,'Trade Log'!$G$5:$G$1004,$A52,'Trade Log'!$B$5:$B$1004,"Cash Secured Put",'Trade Log'!$C$5:$C$1004,"Open"))</f>
        <v/>
      </c>
      <c r="L52" s="12">
        <f>IF($A52="","",$I52*100)</f>
        <v/>
      </c>
      <c r="M52" s="19">
        <f>IFERROR($L52/$B52,0)</f>
        <v/>
      </c>
      <c r="N52" s="14" t="n"/>
    </row>
    <row r="53">
      <c r="A53" s="12" t="n"/>
      <c r="B53" s="14" t="n"/>
      <c r="C53" s="17" t="n"/>
      <c r="D53" s="17" t="n"/>
      <c r="E53" s="11">
        <f>IF($A53="","",IFERROR($B53*$C53,0))</f>
        <v/>
      </c>
      <c r="F53" s="11">
        <f>IF($A53="","",IFERROR($B53*$D53,0))</f>
        <v/>
      </c>
      <c r="G53" s="11">
        <f>IF($A53="","",$E53-$F53)</f>
        <v/>
      </c>
      <c r="H53" s="19">
        <f>IF($A53="","",IFERROR($E53/SUM($E$5:$E$154),0))</f>
        <v/>
      </c>
      <c r="I53" s="12">
        <f>IF($A53="","",SUMIFS('Trade Log'!$M$5:$M$1004,'Trade Log'!$G$5:$G$1004,$A53,'Trade Log'!$B$5:$B$1004,"Covered Call",'Trade Log'!$C$5:$C$1004,"Open"))</f>
        <v/>
      </c>
      <c r="J53" s="12">
        <f>IF($A53="","",SUMIFS('Trade Log'!$M$5:$M$1004,'Trade Log'!$G$5:$G$1004,$A53,'Trade Log'!$B$5:$B$1004,"Cash Secured Put",'Trade Log'!$C$5:$C$1004,"Open"))</f>
        <v/>
      </c>
      <c r="K53" s="11">
        <f>IF($A53="","",SUMIFS('Trade Log'!$T$5:$T$1004,'Trade Log'!$G$5:$G$1004,$A53,'Trade Log'!$B$5:$B$1004,"Cash Secured Put",'Trade Log'!$C$5:$C$1004,"Open"))</f>
        <v/>
      </c>
      <c r="L53" s="12">
        <f>IF($A53="","",$I53*100)</f>
        <v/>
      </c>
      <c r="M53" s="19">
        <f>IFERROR($L53/$B53,0)</f>
        <v/>
      </c>
      <c r="N53" s="14" t="n"/>
    </row>
    <row r="54">
      <c r="A54" s="12" t="n"/>
      <c r="B54" s="14" t="n"/>
      <c r="C54" s="17" t="n"/>
      <c r="D54" s="17" t="n"/>
      <c r="E54" s="11">
        <f>IF($A54="","",IFERROR($B54*$C54,0))</f>
        <v/>
      </c>
      <c r="F54" s="11">
        <f>IF($A54="","",IFERROR($B54*$D54,0))</f>
        <v/>
      </c>
      <c r="G54" s="11">
        <f>IF($A54="","",$E54-$F54)</f>
        <v/>
      </c>
      <c r="H54" s="19">
        <f>IF($A54="","",IFERROR($E54/SUM($E$5:$E$154),0))</f>
        <v/>
      </c>
      <c r="I54" s="12">
        <f>IF($A54="","",SUMIFS('Trade Log'!$M$5:$M$1004,'Trade Log'!$G$5:$G$1004,$A54,'Trade Log'!$B$5:$B$1004,"Covered Call",'Trade Log'!$C$5:$C$1004,"Open"))</f>
        <v/>
      </c>
      <c r="J54" s="12">
        <f>IF($A54="","",SUMIFS('Trade Log'!$M$5:$M$1004,'Trade Log'!$G$5:$G$1004,$A54,'Trade Log'!$B$5:$B$1004,"Cash Secured Put",'Trade Log'!$C$5:$C$1004,"Open"))</f>
        <v/>
      </c>
      <c r="K54" s="11">
        <f>IF($A54="","",SUMIFS('Trade Log'!$T$5:$T$1004,'Trade Log'!$G$5:$G$1004,$A54,'Trade Log'!$B$5:$B$1004,"Cash Secured Put",'Trade Log'!$C$5:$C$1004,"Open"))</f>
        <v/>
      </c>
      <c r="L54" s="12">
        <f>IF($A54="","",$I54*100)</f>
        <v/>
      </c>
      <c r="M54" s="19">
        <f>IFERROR($L54/$B54,0)</f>
        <v/>
      </c>
      <c r="N54" s="14" t="n"/>
    </row>
    <row r="55">
      <c r="A55" s="12" t="n"/>
      <c r="B55" s="14" t="n"/>
      <c r="C55" s="17" t="n"/>
      <c r="D55" s="17" t="n"/>
      <c r="E55" s="11">
        <f>IF($A55="","",IFERROR($B55*$C55,0))</f>
        <v/>
      </c>
      <c r="F55" s="11">
        <f>IF($A55="","",IFERROR($B55*$D55,0))</f>
        <v/>
      </c>
      <c r="G55" s="11">
        <f>IF($A55="","",$E55-$F55)</f>
        <v/>
      </c>
      <c r="H55" s="19">
        <f>IF($A55="","",IFERROR($E55/SUM($E$5:$E$154),0))</f>
        <v/>
      </c>
      <c r="I55" s="12">
        <f>IF($A55="","",SUMIFS('Trade Log'!$M$5:$M$1004,'Trade Log'!$G$5:$G$1004,$A55,'Trade Log'!$B$5:$B$1004,"Covered Call",'Trade Log'!$C$5:$C$1004,"Open"))</f>
        <v/>
      </c>
      <c r="J55" s="12">
        <f>IF($A55="","",SUMIFS('Trade Log'!$M$5:$M$1004,'Trade Log'!$G$5:$G$1004,$A55,'Trade Log'!$B$5:$B$1004,"Cash Secured Put",'Trade Log'!$C$5:$C$1004,"Open"))</f>
        <v/>
      </c>
      <c r="K55" s="11">
        <f>IF($A55="","",SUMIFS('Trade Log'!$T$5:$T$1004,'Trade Log'!$G$5:$G$1004,$A55,'Trade Log'!$B$5:$B$1004,"Cash Secured Put",'Trade Log'!$C$5:$C$1004,"Open"))</f>
        <v/>
      </c>
      <c r="L55" s="12">
        <f>IF($A55="","",$I55*100)</f>
        <v/>
      </c>
      <c r="M55" s="19">
        <f>IFERROR($L55/$B55,0)</f>
        <v/>
      </c>
      <c r="N55" s="14" t="n"/>
    </row>
    <row r="56">
      <c r="A56" s="12" t="n"/>
      <c r="B56" s="14" t="n"/>
      <c r="C56" s="17" t="n"/>
      <c r="D56" s="17" t="n"/>
      <c r="E56" s="11">
        <f>IF($A56="","",IFERROR($B56*$C56,0))</f>
        <v/>
      </c>
      <c r="F56" s="11">
        <f>IF($A56="","",IFERROR($B56*$D56,0))</f>
        <v/>
      </c>
      <c r="G56" s="11">
        <f>IF($A56="","",$E56-$F56)</f>
        <v/>
      </c>
      <c r="H56" s="19">
        <f>IF($A56="","",IFERROR($E56/SUM($E$5:$E$154),0))</f>
        <v/>
      </c>
      <c r="I56" s="12">
        <f>IF($A56="","",SUMIFS('Trade Log'!$M$5:$M$1004,'Trade Log'!$G$5:$G$1004,$A56,'Trade Log'!$B$5:$B$1004,"Covered Call",'Trade Log'!$C$5:$C$1004,"Open"))</f>
        <v/>
      </c>
      <c r="J56" s="12">
        <f>IF($A56="","",SUMIFS('Trade Log'!$M$5:$M$1004,'Trade Log'!$G$5:$G$1004,$A56,'Trade Log'!$B$5:$B$1004,"Cash Secured Put",'Trade Log'!$C$5:$C$1004,"Open"))</f>
        <v/>
      </c>
      <c r="K56" s="11">
        <f>IF($A56="","",SUMIFS('Trade Log'!$T$5:$T$1004,'Trade Log'!$G$5:$G$1004,$A56,'Trade Log'!$B$5:$B$1004,"Cash Secured Put",'Trade Log'!$C$5:$C$1004,"Open"))</f>
        <v/>
      </c>
      <c r="L56" s="12">
        <f>IF($A56="","",$I56*100)</f>
        <v/>
      </c>
      <c r="M56" s="19">
        <f>IFERROR($L56/$B56,0)</f>
        <v/>
      </c>
      <c r="N56" s="14" t="n"/>
    </row>
    <row r="57">
      <c r="A57" s="12" t="n"/>
      <c r="B57" s="14" t="n"/>
      <c r="C57" s="17" t="n"/>
      <c r="D57" s="17" t="n"/>
      <c r="E57" s="11">
        <f>IF($A57="","",IFERROR($B57*$C57,0))</f>
        <v/>
      </c>
      <c r="F57" s="11">
        <f>IF($A57="","",IFERROR($B57*$D57,0))</f>
        <v/>
      </c>
      <c r="G57" s="11">
        <f>IF($A57="","",$E57-$F57)</f>
        <v/>
      </c>
      <c r="H57" s="19">
        <f>IF($A57="","",IFERROR($E57/SUM($E$5:$E$154),0))</f>
        <v/>
      </c>
      <c r="I57" s="12">
        <f>IF($A57="","",SUMIFS('Trade Log'!$M$5:$M$1004,'Trade Log'!$G$5:$G$1004,$A57,'Trade Log'!$B$5:$B$1004,"Covered Call",'Trade Log'!$C$5:$C$1004,"Open"))</f>
        <v/>
      </c>
      <c r="J57" s="12">
        <f>IF($A57="","",SUMIFS('Trade Log'!$M$5:$M$1004,'Trade Log'!$G$5:$G$1004,$A57,'Trade Log'!$B$5:$B$1004,"Cash Secured Put",'Trade Log'!$C$5:$C$1004,"Open"))</f>
        <v/>
      </c>
      <c r="K57" s="11">
        <f>IF($A57="","",SUMIFS('Trade Log'!$T$5:$T$1004,'Trade Log'!$G$5:$G$1004,$A57,'Trade Log'!$B$5:$B$1004,"Cash Secured Put",'Trade Log'!$C$5:$C$1004,"Open"))</f>
        <v/>
      </c>
      <c r="L57" s="12">
        <f>IF($A57="","",$I57*100)</f>
        <v/>
      </c>
      <c r="M57" s="19">
        <f>IFERROR($L57/$B57,0)</f>
        <v/>
      </c>
      <c r="N57" s="14" t="n"/>
    </row>
    <row r="58">
      <c r="A58" s="12" t="n"/>
      <c r="B58" s="14" t="n"/>
      <c r="C58" s="17" t="n"/>
      <c r="D58" s="17" t="n"/>
      <c r="E58" s="11">
        <f>IF($A58="","",IFERROR($B58*$C58,0))</f>
        <v/>
      </c>
      <c r="F58" s="11">
        <f>IF($A58="","",IFERROR($B58*$D58,0))</f>
        <v/>
      </c>
      <c r="G58" s="11">
        <f>IF($A58="","",$E58-$F58)</f>
        <v/>
      </c>
      <c r="H58" s="19">
        <f>IF($A58="","",IFERROR($E58/SUM($E$5:$E$154),0))</f>
        <v/>
      </c>
      <c r="I58" s="12">
        <f>IF($A58="","",SUMIFS('Trade Log'!$M$5:$M$1004,'Trade Log'!$G$5:$G$1004,$A58,'Trade Log'!$B$5:$B$1004,"Covered Call",'Trade Log'!$C$5:$C$1004,"Open"))</f>
        <v/>
      </c>
      <c r="J58" s="12">
        <f>IF($A58="","",SUMIFS('Trade Log'!$M$5:$M$1004,'Trade Log'!$G$5:$G$1004,$A58,'Trade Log'!$B$5:$B$1004,"Cash Secured Put",'Trade Log'!$C$5:$C$1004,"Open"))</f>
        <v/>
      </c>
      <c r="K58" s="11">
        <f>IF($A58="","",SUMIFS('Trade Log'!$T$5:$T$1004,'Trade Log'!$G$5:$G$1004,$A58,'Trade Log'!$B$5:$B$1004,"Cash Secured Put",'Trade Log'!$C$5:$C$1004,"Open"))</f>
        <v/>
      </c>
      <c r="L58" s="12">
        <f>IF($A58="","",$I58*100)</f>
        <v/>
      </c>
      <c r="M58" s="19">
        <f>IFERROR($L58/$B58,0)</f>
        <v/>
      </c>
      <c r="N58" s="14" t="n"/>
    </row>
    <row r="59">
      <c r="A59" s="12" t="n"/>
      <c r="B59" s="14" t="n"/>
      <c r="C59" s="17" t="n"/>
      <c r="D59" s="17" t="n"/>
      <c r="E59" s="11">
        <f>IF($A59="","",IFERROR($B59*$C59,0))</f>
        <v/>
      </c>
      <c r="F59" s="11">
        <f>IF($A59="","",IFERROR($B59*$D59,0))</f>
        <v/>
      </c>
      <c r="G59" s="11">
        <f>IF($A59="","",$E59-$F59)</f>
        <v/>
      </c>
      <c r="H59" s="19">
        <f>IF($A59="","",IFERROR($E59/SUM($E$5:$E$154),0))</f>
        <v/>
      </c>
      <c r="I59" s="12">
        <f>IF($A59="","",SUMIFS('Trade Log'!$M$5:$M$1004,'Trade Log'!$G$5:$G$1004,$A59,'Trade Log'!$B$5:$B$1004,"Covered Call",'Trade Log'!$C$5:$C$1004,"Open"))</f>
        <v/>
      </c>
      <c r="J59" s="12">
        <f>IF($A59="","",SUMIFS('Trade Log'!$M$5:$M$1004,'Trade Log'!$G$5:$G$1004,$A59,'Trade Log'!$B$5:$B$1004,"Cash Secured Put",'Trade Log'!$C$5:$C$1004,"Open"))</f>
        <v/>
      </c>
      <c r="K59" s="11">
        <f>IF($A59="","",SUMIFS('Trade Log'!$T$5:$T$1004,'Trade Log'!$G$5:$G$1004,$A59,'Trade Log'!$B$5:$B$1004,"Cash Secured Put",'Trade Log'!$C$5:$C$1004,"Open"))</f>
        <v/>
      </c>
      <c r="L59" s="12">
        <f>IF($A59="","",$I59*100)</f>
        <v/>
      </c>
      <c r="M59" s="19">
        <f>IFERROR($L59/$B59,0)</f>
        <v/>
      </c>
      <c r="N59" s="14" t="n"/>
    </row>
    <row r="60">
      <c r="A60" s="12" t="n"/>
      <c r="B60" s="14" t="n"/>
      <c r="C60" s="17" t="n"/>
      <c r="D60" s="17" t="n"/>
      <c r="E60" s="11">
        <f>IF($A60="","",IFERROR($B60*$C60,0))</f>
        <v/>
      </c>
      <c r="F60" s="11">
        <f>IF($A60="","",IFERROR($B60*$D60,0))</f>
        <v/>
      </c>
      <c r="G60" s="11">
        <f>IF($A60="","",$E60-$F60)</f>
        <v/>
      </c>
      <c r="H60" s="19">
        <f>IF($A60="","",IFERROR($E60/SUM($E$5:$E$154),0))</f>
        <v/>
      </c>
      <c r="I60" s="12">
        <f>IF($A60="","",SUMIFS('Trade Log'!$M$5:$M$1004,'Trade Log'!$G$5:$G$1004,$A60,'Trade Log'!$B$5:$B$1004,"Covered Call",'Trade Log'!$C$5:$C$1004,"Open"))</f>
        <v/>
      </c>
      <c r="J60" s="12">
        <f>IF($A60="","",SUMIFS('Trade Log'!$M$5:$M$1004,'Trade Log'!$G$5:$G$1004,$A60,'Trade Log'!$B$5:$B$1004,"Cash Secured Put",'Trade Log'!$C$5:$C$1004,"Open"))</f>
        <v/>
      </c>
      <c r="K60" s="11">
        <f>IF($A60="","",SUMIFS('Trade Log'!$T$5:$T$1004,'Trade Log'!$G$5:$G$1004,$A60,'Trade Log'!$B$5:$B$1004,"Cash Secured Put",'Trade Log'!$C$5:$C$1004,"Open"))</f>
        <v/>
      </c>
      <c r="L60" s="12">
        <f>IF($A60="","",$I60*100)</f>
        <v/>
      </c>
      <c r="M60" s="19">
        <f>IFERROR($L60/$B60,0)</f>
        <v/>
      </c>
      <c r="N60" s="14" t="n"/>
    </row>
    <row r="61">
      <c r="A61" s="12" t="n"/>
      <c r="B61" s="14" t="n"/>
      <c r="C61" s="17" t="n"/>
      <c r="D61" s="17" t="n"/>
      <c r="E61" s="11">
        <f>IF($A61="","",IFERROR($B61*$C61,0))</f>
        <v/>
      </c>
      <c r="F61" s="11">
        <f>IF($A61="","",IFERROR($B61*$D61,0))</f>
        <v/>
      </c>
      <c r="G61" s="11">
        <f>IF($A61="","",$E61-$F61)</f>
        <v/>
      </c>
      <c r="H61" s="19">
        <f>IF($A61="","",IFERROR($E61/SUM($E$5:$E$154),0))</f>
        <v/>
      </c>
      <c r="I61" s="12">
        <f>IF($A61="","",SUMIFS('Trade Log'!$M$5:$M$1004,'Trade Log'!$G$5:$G$1004,$A61,'Trade Log'!$B$5:$B$1004,"Covered Call",'Trade Log'!$C$5:$C$1004,"Open"))</f>
        <v/>
      </c>
      <c r="J61" s="12">
        <f>IF($A61="","",SUMIFS('Trade Log'!$M$5:$M$1004,'Trade Log'!$G$5:$G$1004,$A61,'Trade Log'!$B$5:$B$1004,"Cash Secured Put",'Trade Log'!$C$5:$C$1004,"Open"))</f>
        <v/>
      </c>
      <c r="K61" s="11">
        <f>IF($A61="","",SUMIFS('Trade Log'!$T$5:$T$1004,'Trade Log'!$G$5:$G$1004,$A61,'Trade Log'!$B$5:$B$1004,"Cash Secured Put",'Trade Log'!$C$5:$C$1004,"Open"))</f>
        <v/>
      </c>
      <c r="L61" s="12">
        <f>IF($A61="","",$I61*100)</f>
        <v/>
      </c>
      <c r="M61" s="19">
        <f>IFERROR($L61/$B61,0)</f>
        <v/>
      </c>
      <c r="N61" s="14" t="n"/>
    </row>
    <row r="62">
      <c r="A62" s="12" t="n"/>
      <c r="B62" s="14" t="n"/>
      <c r="C62" s="17" t="n"/>
      <c r="D62" s="17" t="n"/>
      <c r="E62" s="11">
        <f>IF($A62="","",IFERROR($B62*$C62,0))</f>
        <v/>
      </c>
      <c r="F62" s="11">
        <f>IF($A62="","",IFERROR($B62*$D62,0))</f>
        <v/>
      </c>
      <c r="G62" s="11">
        <f>IF($A62="","",$E62-$F62)</f>
        <v/>
      </c>
      <c r="H62" s="19">
        <f>IF($A62="","",IFERROR($E62/SUM($E$5:$E$154),0))</f>
        <v/>
      </c>
      <c r="I62" s="12">
        <f>IF($A62="","",SUMIFS('Trade Log'!$M$5:$M$1004,'Trade Log'!$G$5:$G$1004,$A62,'Trade Log'!$B$5:$B$1004,"Covered Call",'Trade Log'!$C$5:$C$1004,"Open"))</f>
        <v/>
      </c>
      <c r="J62" s="12">
        <f>IF($A62="","",SUMIFS('Trade Log'!$M$5:$M$1004,'Trade Log'!$G$5:$G$1004,$A62,'Trade Log'!$B$5:$B$1004,"Cash Secured Put",'Trade Log'!$C$5:$C$1004,"Open"))</f>
        <v/>
      </c>
      <c r="K62" s="11">
        <f>IF($A62="","",SUMIFS('Trade Log'!$T$5:$T$1004,'Trade Log'!$G$5:$G$1004,$A62,'Trade Log'!$B$5:$B$1004,"Cash Secured Put",'Trade Log'!$C$5:$C$1004,"Open"))</f>
        <v/>
      </c>
      <c r="L62" s="12">
        <f>IF($A62="","",$I62*100)</f>
        <v/>
      </c>
      <c r="M62" s="19">
        <f>IFERROR($L62/$B62,0)</f>
        <v/>
      </c>
      <c r="N62" s="14" t="n"/>
    </row>
    <row r="63">
      <c r="A63" s="12" t="n"/>
      <c r="B63" s="14" t="n"/>
      <c r="C63" s="17" t="n"/>
      <c r="D63" s="17" t="n"/>
      <c r="E63" s="11">
        <f>IF($A63="","",IFERROR($B63*$C63,0))</f>
        <v/>
      </c>
      <c r="F63" s="11">
        <f>IF($A63="","",IFERROR($B63*$D63,0))</f>
        <v/>
      </c>
      <c r="G63" s="11">
        <f>IF($A63="","",$E63-$F63)</f>
        <v/>
      </c>
      <c r="H63" s="19">
        <f>IF($A63="","",IFERROR($E63/SUM($E$5:$E$154),0))</f>
        <v/>
      </c>
      <c r="I63" s="12">
        <f>IF($A63="","",SUMIFS('Trade Log'!$M$5:$M$1004,'Trade Log'!$G$5:$G$1004,$A63,'Trade Log'!$B$5:$B$1004,"Covered Call",'Trade Log'!$C$5:$C$1004,"Open"))</f>
        <v/>
      </c>
      <c r="J63" s="12">
        <f>IF($A63="","",SUMIFS('Trade Log'!$M$5:$M$1004,'Trade Log'!$G$5:$G$1004,$A63,'Trade Log'!$B$5:$B$1004,"Cash Secured Put",'Trade Log'!$C$5:$C$1004,"Open"))</f>
        <v/>
      </c>
      <c r="K63" s="11">
        <f>IF($A63="","",SUMIFS('Trade Log'!$T$5:$T$1004,'Trade Log'!$G$5:$G$1004,$A63,'Trade Log'!$B$5:$B$1004,"Cash Secured Put",'Trade Log'!$C$5:$C$1004,"Open"))</f>
        <v/>
      </c>
      <c r="L63" s="12">
        <f>IF($A63="","",$I63*100)</f>
        <v/>
      </c>
      <c r="M63" s="19">
        <f>IFERROR($L63/$B63,0)</f>
        <v/>
      </c>
      <c r="N63" s="14" t="n"/>
    </row>
    <row r="64">
      <c r="A64" s="12" t="n"/>
      <c r="B64" s="14" t="n"/>
      <c r="C64" s="17" t="n"/>
      <c r="D64" s="17" t="n"/>
      <c r="E64" s="11">
        <f>IF($A64="","",IFERROR($B64*$C64,0))</f>
        <v/>
      </c>
      <c r="F64" s="11">
        <f>IF($A64="","",IFERROR($B64*$D64,0))</f>
        <v/>
      </c>
      <c r="G64" s="11">
        <f>IF($A64="","",$E64-$F64)</f>
        <v/>
      </c>
      <c r="H64" s="19">
        <f>IF($A64="","",IFERROR($E64/SUM($E$5:$E$154),0))</f>
        <v/>
      </c>
      <c r="I64" s="12">
        <f>IF($A64="","",SUMIFS('Trade Log'!$M$5:$M$1004,'Trade Log'!$G$5:$G$1004,$A64,'Trade Log'!$B$5:$B$1004,"Covered Call",'Trade Log'!$C$5:$C$1004,"Open"))</f>
        <v/>
      </c>
      <c r="J64" s="12">
        <f>IF($A64="","",SUMIFS('Trade Log'!$M$5:$M$1004,'Trade Log'!$G$5:$G$1004,$A64,'Trade Log'!$B$5:$B$1004,"Cash Secured Put",'Trade Log'!$C$5:$C$1004,"Open"))</f>
        <v/>
      </c>
      <c r="K64" s="11">
        <f>IF($A64="","",SUMIFS('Trade Log'!$T$5:$T$1004,'Trade Log'!$G$5:$G$1004,$A64,'Trade Log'!$B$5:$B$1004,"Cash Secured Put",'Trade Log'!$C$5:$C$1004,"Open"))</f>
        <v/>
      </c>
      <c r="L64" s="12">
        <f>IF($A64="","",$I64*100)</f>
        <v/>
      </c>
      <c r="M64" s="19">
        <f>IFERROR($L64/$B64,0)</f>
        <v/>
      </c>
      <c r="N64" s="14" t="n"/>
    </row>
    <row r="65">
      <c r="A65" s="12" t="n"/>
      <c r="B65" s="14" t="n"/>
      <c r="C65" s="17" t="n"/>
      <c r="D65" s="17" t="n"/>
      <c r="E65" s="11">
        <f>IF($A65="","",IFERROR($B65*$C65,0))</f>
        <v/>
      </c>
      <c r="F65" s="11">
        <f>IF($A65="","",IFERROR($B65*$D65,0))</f>
        <v/>
      </c>
      <c r="G65" s="11">
        <f>IF($A65="","",$E65-$F65)</f>
        <v/>
      </c>
      <c r="H65" s="19">
        <f>IF($A65="","",IFERROR($E65/SUM($E$5:$E$154),0))</f>
        <v/>
      </c>
      <c r="I65" s="12">
        <f>IF($A65="","",SUMIFS('Trade Log'!$M$5:$M$1004,'Trade Log'!$G$5:$G$1004,$A65,'Trade Log'!$B$5:$B$1004,"Covered Call",'Trade Log'!$C$5:$C$1004,"Open"))</f>
        <v/>
      </c>
      <c r="J65" s="12">
        <f>IF($A65="","",SUMIFS('Trade Log'!$M$5:$M$1004,'Trade Log'!$G$5:$G$1004,$A65,'Trade Log'!$B$5:$B$1004,"Cash Secured Put",'Trade Log'!$C$5:$C$1004,"Open"))</f>
        <v/>
      </c>
      <c r="K65" s="11">
        <f>IF($A65="","",SUMIFS('Trade Log'!$T$5:$T$1004,'Trade Log'!$G$5:$G$1004,$A65,'Trade Log'!$B$5:$B$1004,"Cash Secured Put",'Trade Log'!$C$5:$C$1004,"Open"))</f>
        <v/>
      </c>
      <c r="L65" s="12">
        <f>IF($A65="","",$I65*100)</f>
        <v/>
      </c>
      <c r="M65" s="19">
        <f>IFERROR($L65/$B65,0)</f>
        <v/>
      </c>
      <c r="N65" s="14" t="n"/>
    </row>
    <row r="66">
      <c r="A66" s="12" t="n"/>
      <c r="B66" s="14" t="n"/>
      <c r="C66" s="17" t="n"/>
      <c r="D66" s="17" t="n"/>
      <c r="E66" s="11">
        <f>IF($A66="","",IFERROR($B66*$C66,0))</f>
        <v/>
      </c>
      <c r="F66" s="11">
        <f>IF($A66="","",IFERROR($B66*$D66,0))</f>
        <v/>
      </c>
      <c r="G66" s="11">
        <f>IF($A66="","",$E66-$F66)</f>
        <v/>
      </c>
      <c r="H66" s="19">
        <f>IF($A66="","",IFERROR($E66/SUM($E$5:$E$154),0))</f>
        <v/>
      </c>
      <c r="I66" s="12">
        <f>IF($A66="","",SUMIFS('Trade Log'!$M$5:$M$1004,'Trade Log'!$G$5:$G$1004,$A66,'Trade Log'!$B$5:$B$1004,"Covered Call",'Trade Log'!$C$5:$C$1004,"Open"))</f>
        <v/>
      </c>
      <c r="J66" s="12">
        <f>IF($A66="","",SUMIFS('Trade Log'!$M$5:$M$1004,'Trade Log'!$G$5:$G$1004,$A66,'Trade Log'!$B$5:$B$1004,"Cash Secured Put",'Trade Log'!$C$5:$C$1004,"Open"))</f>
        <v/>
      </c>
      <c r="K66" s="11">
        <f>IF($A66="","",SUMIFS('Trade Log'!$T$5:$T$1004,'Trade Log'!$G$5:$G$1004,$A66,'Trade Log'!$B$5:$B$1004,"Cash Secured Put",'Trade Log'!$C$5:$C$1004,"Open"))</f>
        <v/>
      </c>
      <c r="L66" s="12">
        <f>IF($A66="","",$I66*100)</f>
        <v/>
      </c>
      <c r="M66" s="19">
        <f>IFERROR($L66/$B66,0)</f>
        <v/>
      </c>
      <c r="N66" s="14" t="n"/>
    </row>
    <row r="67">
      <c r="A67" s="12" t="n"/>
      <c r="B67" s="14" t="n"/>
      <c r="C67" s="17" t="n"/>
      <c r="D67" s="17" t="n"/>
      <c r="E67" s="11">
        <f>IF($A67="","",IFERROR($B67*$C67,0))</f>
        <v/>
      </c>
      <c r="F67" s="11">
        <f>IF($A67="","",IFERROR($B67*$D67,0))</f>
        <v/>
      </c>
      <c r="G67" s="11">
        <f>IF($A67="","",$E67-$F67)</f>
        <v/>
      </c>
      <c r="H67" s="19">
        <f>IF($A67="","",IFERROR($E67/SUM($E$5:$E$154),0))</f>
        <v/>
      </c>
      <c r="I67" s="12">
        <f>IF($A67="","",SUMIFS('Trade Log'!$M$5:$M$1004,'Trade Log'!$G$5:$G$1004,$A67,'Trade Log'!$B$5:$B$1004,"Covered Call",'Trade Log'!$C$5:$C$1004,"Open"))</f>
        <v/>
      </c>
      <c r="J67" s="12">
        <f>IF($A67="","",SUMIFS('Trade Log'!$M$5:$M$1004,'Trade Log'!$G$5:$G$1004,$A67,'Trade Log'!$B$5:$B$1004,"Cash Secured Put",'Trade Log'!$C$5:$C$1004,"Open"))</f>
        <v/>
      </c>
      <c r="K67" s="11">
        <f>IF($A67="","",SUMIFS('Trade Log'!$T$5:$T$1004,'Trade Log'!$G$5:$G$1004,$A67,'Trade Log'!$B$5:$B$1004,"Cash Secured Put",'Trade Log'!$C$5:$C$1004,"Open"))</f>
        <v/>
      </c>
      <c r="L67" s="12">
        <f>IF($A67="","",$I67*100)</f>
        <v/>
      </c>
      <c r="M67" s="19">
        <f>IFERROR($L67/$B67,0)</f>
        <v/>
      </c>
      <c r="N67" s="14" t="n"/>
    </row>
    <row r="68">
      <c r="A68" s="12" t="n"/>
      <c r="B68" s="14" t="n"/>
      <c r="C68" s="17" t="n"/>
      <c r="D68" s="17" t="n"/>
      <c r="E68" s="11">
        <f>IF($A68="","",IFERROR($B68*$C68,0))</f>
        <v/>
      </c>
      <c r="F68" s="11">
        <f>IF($A68="","",IFERROR($B68*$D68,0))</f>
        <v/>
      </c>
      <c r="G68" s="11">
        <f>IF($A68="","",$E68-$F68)</f>
        <v/>
      </c>
      <c r="H68" s="19">
        <f>IF($A68="","",IFERROR($E68/SUM($E$5:$E$154),0))</f>
        <v/>
      </c>
      <c r="I68" s="12">
        <f>IF($A68="","",SUMIFS('Trade Log'!$M$5:$M$1004,'Trade Log'!$G$5:$G$1004,$A68,'Trade Log'!$B$5:$B$1004,"Covered Call",'Trade Log'!$C$5:$C$1004,"Open"))</f>
        <v/>
      </c>
      <c r="J68" s="12">
        <f>IF($A68="","",SUMIFS('Trade Log'!$M$5:$M$1004,'Trade Log'!$G$5:$G$1004,$A68,'Trade Log'!$B$5:$B$1004,"Cash Secured Put",'Trade Log'!$C$5:$C$1004,"Open"))</f>
        <v/>
      </c>
      <c r="K68" s="11">
        <f>IF($A68="","",SUMIFS('Trade Log'!$T$5:$T$1004,'Trade Log'!$G$5:$G$1004,$A68,'Trade Log'!$B$5:$B$1004,"Cash Secured Put",'Trade Log'!$C$5:$C$1004,"Open"))</f>
        <v/>
      </c>
      <c r="L68" s="12">
        <f>IF($A68="","",$I68*100)</f>
        <v/>
      </c>
      <c r="M68" s="19">
        <f>IFERROR($L68/$B68,0)</f>
        <v/>
      </c>
      <c r="N68" s="14" t="n"/>
    </row>
    <row r="69">
      <c r="A69" s="12" t="n"/>
      <c r="B69" s="14" t="n"/>
      <c r="C69" s="17" t="n"/>
      <c r="D69" s="17" t="n"/>
      <c r="E69" s="11">
        <f>IF($A69="","",IFERROR($B69*$C69,0))</f>
        <v/>
      </c>
      <c r="F69" s="11">
        <f>IF($A69="","",IFERROR($B69*$D69,0))</f>
        <v/>
      </c>
      <c r="G69" s="11">
        <f>IF($A69="","",$E69-$F69)</f>
        <v/>
      </c>
      <c r="H69" s="19">
        <f>IF($A69="","",IFERROR($E69/SUM($E$5:$E$154),0))</f>
        <v/>
      </c>
      <c r="I69" s="12">
        <f>IF($A69="","",SUMIFS('Trade Log'!$M$5:$M$1004,'Trade Log'!$G$5:$G$1004,$A69,'Trade Log'!$B$5:$B$1004,"Covered Call",'Trade Log'!$C$5:$C$1004,"Open"))</f>
        <v/>
      </c>
      <c r="J69" s="12">
        <f>IF($A69="","",SUMIFS('Trade Log'!$M$5:$M$1004,'Trade Log'!$G$5:$G$1004,$A69,'Trade Log'!$B$5:$B$1004,"Cash Secured Put",'Trade Log'!$C$5:$C$1004,"Open"))</f>
        <v/>
      </c>
      <c r="K69" s="11">
        <f>IF($A69="","",SUMIFS('Trade Log'!$T$5:$T$1004,'Trade Log'!$G$5:$G$1004,$A69,'Trade Log'!$B$5:$B$1004,"Cash Secured Put",'Trade Log'!$C$5:$C$1004,"Open"))</f>
        <v/>
      </c>
      <c r="L69" s="12">
        <f>IF($A69="","",$I69*100)</f>
        <v/>
      </c>
      <c r="M69" s="19">
        <f>IFERROR($L69/$B69,0)</f>
        <v/>
      </c>
      <c r="N69" s="14" t="n"/>
    </row>
    <row r="70">
      <c r="A70" s="12" t="n"/>
      <c r="B70" s="14" t="n"/>
      <c r="C70" s="17" t="n"/>
      <c r="D70" s="17" t="n"/>
      <c r="E70" s="11">
        <f>IF($A70="","",IFERROR($B70*$C70,0))</f>
        <v/>
      </c>
      <c r="F70" s="11">
        <f>IF($A70="","",IFERROR($B70*$D70,0))</f>
        <v/>
      </c>
      <c r="G70" s="11">
        <f>IF($A70="","",$E70-$F70)</f>
        <v/>
      </c>
      <c r="H70" s="19">
        <f>IF($A70="","",IFERROR($E70/SUM($E$5:$E$154),0))</f>
        <v/>
      </c>
      <c r="I70" s="12">
        <f>IF($A70="","",SUMIFS('Trade Log'!$M$5:$M$1004,'Trade Log'!$G$5:$G$1004,$A70,'Trade Log'!$B$5:$B$1004,"Covered Call",'Trade Log'!$C$5:$C$1004,"Open"))</f>
        <v/>
      </c>
      <c r="J70" s="12">
        <f>IF($A70="","",SUMIFS('Trade Log'!$M$5:$M$1004,'Trade Log'!$G$5:$G$1004,$A70,'Trade Log'!$B$5:$B$1004,"Cash Secured Put",'Trade Log'!$C$5:$C$1004,"Open"))</f>
        <v/>
      </c>
      <c r="K70" s="11">
        <f>IF($A70="","",SUMIFS('Trade Log'!$T$5:$T$1004,'Trade Log'!$G$5:$G$1004,$A70,'Trade Log'!$B$5:$B$1004,"Cash Secured Put",'Trade Log'!$C$5:$C$1004,"Open"))</f>
        <v/>
      </c>
      <c r="L70" s="12">
        <f>IF($A70="","",$I70*100)</f>
        <v/>
      </c>
      <c r="M70" s="19">
        <f>IFERROR($L70/$B70,0)</f>
        <v/>
      </c>
      <c r="N70" s="14" t="n"/>
    </row>
    <row r="71">
      <c r="A71" s="12" t="n"/>
      <c r="B71" s="14" t="n"/>
      <c r="C71" s="17" t="n"/>
      <c r="D71" s="17" t="n"/>
      <c r="E71" s="11">
        <f>IF($A71="","",IFERROR($B71*$C71,0))</f>
        <v/>
      </c>
      <c r="F71" s="11">
        <f>IF($A71="","",IFERROR($B71*$D71,0))</f>
        <v/>
      </c>
      <c r="G71" s="11">
        <f>IF($A71="","",$E71-$F71)</f>
        <v/>
      </c>
      <c r="H71" s="19">
        <f>IF($A71="","",IFERROR($E71/SUM($E$5:$E$154),0))</f>
        <v/>
      </c>
      <c r="I71" s="12">
        <f>IF($A71="","",SUMIFS('Trade Log'!$M$5:$M$1004,'Trade Log'!$G$5:$G$1004,$A71,'Trade Log'!$B$5:$B$1004,"Covered Call",'Trade Log'!$C$5:$C$1004,"Open"))</f>
        <v/>
      </c>
      <c r="J71" s="12">
        <f>IF($A71="","",SUMIFS('Trade Log'!$M$5:$M$1004,'Trade Log'!$G$5:$G$1004,$A71,'Trade Log'!$B$5:$B$1004,"Cash Secured Put",'Trade Log'!$C$5:$C$1004,"Open"))</f>
        <v/>
      </c>
      <c r="K71" s="11">
        <f>IF($A71="","",SUMIFS('Trade Log'!$T$5:$T$1004,'Trade Log'!$G$5:$G$1004,$A71,'Trade Log'!$B$5:$B$1004,"Cash Secured Put",'Trade Log'!$C$5:$C$1004,"Open"))</f>
        <v/>
      </c>
      <c r="L71" s="12">
        <f>IF($A71="","",$I71*100)</f>
        <v/>
      </c>
      <c r="M71" s="19">
        <f>IFERROR($L71/$B71,0)</f>
        <v/>
      </c>
      <c r="N71" s="14" t="n"/>
    </row>
    <row r="72">
      <c r="A72" s="12" t="n"/>
      <c r="B72" s="14" t="n"/>
      <c r="C72" s="17" t="n"/>
      <c r="D72" s="17" t="n"/>
      <c r="E72" s="11">
        <f>IF($A72="","",IFERROR($B72*$C72,0))</f>
        <v/>
      </c>
      <c r="F72" s="11">
        <f>IF($A72="","",IFERROR($B72*$D72,0))</f>
        <v/>
      </c>
      <c r="G72" s="11">
        <f>IF($A72="","",$E72-$F72)</f>
        <v/>
      </c>
      <c r="H72" s="19">
        <f>IF($A72="","",IFERROR($E72/SUM($E$5:$E$154),0))</f>
        <v/>
      </c>
      <c r="I72" s="12">
        <f>IF($A72="","",SUMIFS('Trade Log'!$M$5:$M$1004,'Trade Log'!$G$5:$G$1004,$A72,'Trade Log'!$B$5:$B$1004,"Covered Call",'Trade Log'!$C$5:$C$1004,"Open"))</f>
        <v/>
      </c>
      <c r="J72" s="12">
        <f>IF($A72="","",SUMIFS('Trade Log'!$M$5:$M$1004,'Trade Log'!$G$5:$G$1004,$A72,'Trade Log'!$B$5:$B$1004,"Cash Secured Put",'Trade Log'!$C$5:$C$1004,"Open"))</f>
        <v/>
      </c>
      <c r="K72" s="11">
        <f>IF($A72="","",SUMIFS('Trade Log'!$T$5:$T$1004,'Trade Log'!$G$5:$G$1004,$A72,'Trade Log'!$B$5:$B$1004,"Cash Secured Put",'Trade Log'!$C$5:$C$1004,"Open"))</f>
        <v/>
      </c>
      <c r="L72" s="12">
        <f>IF($A72="","",$I72*100)</f>
        <v/>
      </c>
      <c r="M72" s="19">
        <f>IFERROR($L72/$B72,0)</f>
        <v/>
      </c>
      <c r="N72" s="14" t="n"/>
    </row>
    <row r="73">
      <c r="A73" s="12" t="n"/>
      <c r="B73" s="14" t="n"/>
      <c r="C73" s="17" t="n"/>
      <c r="D73" s="17" t="n"/>
      <c r="E73" s="11">
        <f>IF($A73="","",IFERROR($B73*$C73,0))</f>
        <v/>
      </c>
      <c r="F73" s="11">
        <f>IF($A73="","",IFERROR($B73*$D73,0))</f>
        <v/>
      </c>
      <c r="G73" s="11">
        <f>IF($A73="","",$E73-$F73)</f>
        <v/>
      </c>
      <c r="H73" s="19">
        <f>IF($A73="","",IFERROR($E73/SUM($E$5:$E$154),0))</f>
        <v/>
      </c>
      <c r="I73" s="12">
        <f>IF($A73="","",SUMIFS('Trade Log'!$M$5:$M$1004,'Trade Log'!$G$5:$G$1004,$A73,'Trade Log'!$B$5:$B$1004,"Covered Call",'Trade Log'!$C$5:$C$1004,"Open"))</f>
        <v/>
      </c>
      <c r="J73" s="12">
        <f>IF($A73="","",SUMIFS('Trade Log'!$M$5:$M$1004,'Trade Log'!$G$5:$G$1004,$A73,'Trade Log'!$B$5:$B$1004,"Cash Secured Put",'Trade Log'!$C$5:$C$1004,"Open"))</f>
        <v/>
      </c>
      <c r="K73" s="11">
        <f>IF($A73="","",SUMIFS('Trade Log'!$T$5:$T$1004,'Trade Log'!$G$5:$G$1004,$A73,'Trade Log'!$B$5:$B$1004,"Cash Secured Put",'Trade Log'!$C$5:$C$1004,"Open"))</f>
        <v/>
      </c>
      <c r="L73" s="12">
        <f>IF($A73="","",$I73*100)</f>
        <v/>
      </c>
      <c r="M73" s="19">
        <f>IFERROR($L73/$B73,0)</f>
        <v/>
      </c>
      <c r="N73" s="14" t="n"/>
    </row>
    <row r="74">
      <c r="A74" s="12" t="n"/>
      <c r="B74" s="14" t="n"/>
      <c r="C74" s="17" t="n"/>
      <c r="D74" s="17" t="n"/>
      <c r="E74" s="11">
        <f>IF($A74="","",IFERROR($B74*$C74,0))</f>
        <v/>
      </c>
      <c r="F74" s="11">
        <f>IF($A74="","",IFERROR($B74*$D74,0))</f>
        <v/>
      </c>
      <c r="G74" s="11">
        <f>IF($A74="","",$E74-$F74)</f>
        <v/>
      </c>
      <c r="H74" s="19">
        <f>IF($A74="","",IFERROR($E74/SUM($E$5:$E$154),0))</f>
        <v/>
      </c>
      <c r="I74" s="12">
        <f>IF($A74="","",SUMIFS('Trade Log'!$M$5:$M$1004,'Trade Log'!$G$5:$G$1004,$A74,'Trade Log'!$B$5:$B$1004,"Covered Call",'Trade Log'!$C$5:$C$1004,"Open"))</f>
        <v/>
      </c>
      <c r="J74" s="12">
        <f>IF($A74="","",SUMIFS('Trade Log'!$M$5:$M$1004,'Trade Log'!$G$5:$G$1004,$A74,'Trade Log'!$B$5:$B$1004,"Cash Secured Put",'Trade Log'!$C$5:$C$1004,"Open"))</f>
        <v/>
      </c>
      <c r="K74" s="11">
        <f>IF($A74="","",SUMIFS('Trade Log'!$T$5:$T$1004,'Trade Log'!$G$5:$G$1004,$A74,'Trade Log'!$B$5:$B$1004,"Cash Secured Put",'Trade Log'!$C$5:$C$1004,"Open"))</f>
        <v/>
      </c>
      <c r="L74" s="12">
        <f>IF($A74="","",$I74*100)</f>
        <v/>
      </c>
      <c r="M74" s="19">
        <f>IFERROR($L74/$B74,0)</f>
        <v/>
      </c>
      <c r="N74" s="14" t="n"/>
    </row>
    <row r="75">
      <c r="A75" s="12" t="n"/>
      <c r="B75" s="14" t="n"/>
      <c r="C75" s="17" t="n"/>
      <c r="D75" s="17" t="n"/>
      <c r="E75" s="11">
        <f>IF($A75="","",IFERROR($B75*$C75,0))</f>
        <v/>
      </c>
      <c r="F75" s="11">
        <f>IF($A75="","",IFERROR($B75*$D75,0))</f>
        <v/>
      </c>
      <c r="G75" s="11">
        <f>IF($A75="","",$E75-$F75)</f>
        <v/>
      </c>
      <c r="H75" s="19">
        <f>IF($A75="","",IFERROR($E75/SUM($E$5:$E$154),0))</f>
        <v/>
      </c>
      <c r="I75" s="12">
        <f>IF($A75="","",SUMIFS('Trade Log'!$M$5:$M$1004,'Trade Log'!$G$5:$G$1004,$A75,'Trade Log'!$B$5:$B$1004,"Covered Call",'Trade Log'!$C$5:$C$1004,"Open"))</f>
        <v/>
      </c>
      <c r="J75" s="12">
        <f>IF($A75="","",SUMIFS('Trade Log'!$M$5:$M$1004,'Trade Log'!$G$5:$G$1004,$A75,'Trade Log'!$B$5:$B$1004,"Cash Secured Put",'Trade Log'!$C$5:$C$1004,"Open"))</f>
        <v/>
      </c>
      <c r="K75" s="11">
        <f>IF($A75="","",SUMIFS('Trade Log'!$T$5:$T$1004,'Trade Log'!$G$5:$G$1004,$A75,'Trade Log'!$B$5:$B$1004,"Cash Secured Put",'Trade Log'!$C$5:$C$1004,"Open"))</f>
        <v/>
      </c>
      <c r="L75" s="12">
        <f>IF($A75="","",$I75*100)</f>
        <v/>
      </c>
      <c r="M75" s="19">
        <f>IFERROR($L75/$B75,0)</f>
        <v/>
      </c>
      <c r="N75" s="14" t="n"/>
    </row>
    <row r="76">
      <c r="A76" s="12" t="n"/>
      <c r="B76" s="14" t="n"/>
      <c r="C76" s="17" t="n"/>
      <c r="D76" s="17" t="n"/>
      <c r="E76" s="11">
        <f>IF($A76="","",IFERROR($B76*$C76,0))</f>
        <v/>
      </c>
      <c r="F76" s="11">
        <f>IF($A76="","",IFERROR($B76*$D76,0))</f>
        <v/>
      </c>
      <c r="G76" s="11">
        <f>IF($A76="","",$E76-$F76)</f>
        <v/>
      </c>
      <c r="H76" s="19">
        <f>IF($A76="","",IFERROR($E76/SUM($E$5:$E$154),0))</f>
        <v/>
      </c>
      <c r="I76" s="12">
        <f>IF($A76="","",SUMIFS('Trade Log'!$M$5:$M$1004,'Trade Log'!$G$5:$G$1004,$A76,'Trade Log'!$B$5:$B$1004,"Covered Call",'Trade Log'!$C$5:$C$1004,"Open"))</f>
        <v/>
      </c>
      <c r="J76" s="12">
        <f>IF($A76="","",SUMIFS('Trade Log'!$M$5:$M$1004,'Trade Log'!$G$5:$G$1004,$A76,'Trade Log'!$B$5:$B$1004,"Cash Secured Put",'Trade Log'!$C$5:$C$1004,"Open"))</f>
        <v/>
      </c>
      <c r="K76" s="11">
        <f>IF($A76="","",SUMIFS('Trade Log'!$T$5:$T$1004,'Trade Log'!$G$5:$G$1004,$A76,'Trade Log'!$B$5:$B$1004,"Cash Secured Put",'Trade Log'!$C$5:$C$1004,"Open"))</f>
        <v/>
      </c>
      <c r="L76" s="12">
        <f>IF($A76="","",$I76*100)</f>
        <v/>
      </c>
      <c r="M76" s="19">
        <f>IFERROR($L76/$B76,0)</f>
        <v/>
      </c>
      <c r="N76" s="14" t="n"/>
    </row>
    <row r="77">
      <c r="A77" s="12" t="n"/>
      <c r="B77" s="14" t="n"/>
      <c r="C77" s="17" t="n"/>
      <c r="D77" s="17" t="n"/>
      <c r="E77" s="11">
        <f>IF($A77="","",IFERROR($B77*$C77,0))</f>
        <v/>
      </c>
      <c r="F77" s="11">
        <f>IF($A77="","",IFERROR($B77*$D77,0))</f>
        <v/>
      </c>
      <c r="G77" s="11">
        <f>IF($A77="","",$E77-$F77)</f>
        <v/>
      </c>
      <c r="H77" s="19">
        <f>IF($A77="","",IFERROR($E77/SUM($E$5:$E$154),0))</f>
        <v/>
      </c>
      <c r="I77" s="12">
        <f>IF($A77="","",SUMIFS('Trade Log'!$M$5:$M$1004,'Trade Log'!$G$5:$G$1004,$A77,'Trade Log'!$B$5:$B$1004,"Covered Call",'Trade Log'!$C$5:$C$1004,"Open"))</f>
        <v/>
      </c>
      <c r="J77" s="12">
        <f>IF($A77="","",SUMIFS('Trade Log'!$M$5:$M$1004,'Trade Log'!$G$5:$G$1004,$A77,'Trade Log'!$B$5:$B$1004,"Cash Secured Put",'Trade Log'!$C$5:$C$1004,"Open"))</f>
        <v/>
      </c>
      <c r="K77" s="11">
        <f>IF($A77="","",SUMIFS('Trade Log'!$T$5:$T$1004,'Trade Log'!$G$5:$G$1004,$A77,'Trade Log'!$B$5:$B$1004,"Cash Secured Put",'Trade Log'!$C$5:$C$1004,"Open"))</f>
        <v/>
      </c>
      <c r="L77" s="12">
        <f>IF($A77="","",$I77*100)</f>
        <v/>
      </c>
      <c r="M77" s="19">
        <f>IFERROR($L77/$B77,0)</f>
        <v/>
      </c>
      <c r="N77" s="14" t="n"/>
    </row>
    <row r="78">
      <c r="A78" s="12" t="n"/>
      <c r="B78" s="14" t="n"/>
      <c r="C78" s="17" t="n"/>
      <c r="D78" s="17" t="n"/>
      <c r="E78" s="11">
        <f>IF($A78="","",IFERROR($B78*$C78,0))</f>
        <v/>
      </c>
      <c r="F78" s="11">
        <f>IF($A78="","",IFERROR($B78*$D78,0))</f>
        <v/>
      </c>
      <c r="G78" s="11">
        <f>IF($A78="","",$E78-$F78)</f>
        <v/>
      </c>
      <c r="H78" s="19">
        <f>IF($A78="","",IFERROR($E78/SUM($E$5:$E$154),0))</f>
        <v/>
      </c>
      <c r="I78" s="12">
        <f>IF($A78="","",SUMIFS('Trade Log'!$M$5:$M$1004,'Trade Log'!$G$5:$G$1004,$A78,'Trade Log'!$B$5:$B$1004,"Covered Call",'Trade Log'!$C$5:$C$1004,"Open"))</f>
        <v/>
      </c>
      <c r="J78" s="12">
        <f>IF($A78="","",SUMIFS('Trade Log'!$M$5:$M$1004,'Trade Log'!$G$5:$G$1004,$A78,'Trade Log'!$B$5:$B$1004,"Cash Secured Put",'Trade Log'!$C$5:$C$1004,"Open"))</f>
        <v/>
      </c>
      <c r="K78" s="11">
        <f>IF($A78="","",SUMIFS('Trade Log'!$T$5:$T$1004,'Trade Log'!$G$5:$G$1004,$A78,'Trade Log'!$B$5:$B$1004,"Cash Secured Put",'Trade Log'!$C$5:$C$1004,"Open"))</f>
        <v/>
      </c>
      <c r="L78" s="12">
        <f>IF($A78="","",$I78*100)</f>
        <v/>
      </c>
      <c r="M78" s="19">
        <f>IFERROR($L78/$B78,0)</f>
        <v/>
      </c>
      <c r="N78" s="14" t="n"/>
    </row>
    <row r="79">
      <c r="A79" s="12" t="n"/>
      <c r="B79" s="14" t="n"/>
      <c r="C79" s="17" t="n"/>
      <c r="D79" s="17" t="n"/>
      <c r="E79" s="11">
        <f>IF($A79="","",IFERROR($B79*$C79,0))</f>
        <v/>
      </c>
      <c r="F79" s="11">
        <f>IF($A79="","",IFERROR($B79*$D79,0))</f>
        <v/>
      </c>
      <c r="G79" s="11">
        <f>IF($A79="","",$E79-$F79)</f>
        <v/>
      </c>
      <c r="H79" s="19">
        <f>IF($A79="","",IFERROR($E79/SUM($E$5:$E$154),0))</f>
        <v/>
      </c>
      <c r="I79" s="12">
        <f>IF($A79="","",SUMIFS('Trade Log'!$M$5:$M$1004,'Trade Log'!$G$5:$G$1004,$A79,'Trade Log'!$B$5:$B$1004,"Covered Call",'Trade Log'!$C$5:$C$1004,"Open"))</f>
        <v/>
      </c>
      <c r="J79" s="12">
        <f>IF($A79="","",SUMIFS('Trade Log'!$M$5:$M$1004,'Trade Log'!$G$5:$G$1004,$A79,'Trade Log'!$B$5:$B$1004,"Cash Secured Put",'Trade Log'!$C$5:$C$1004,"Open"))</f>
        <v/>
      </c>
      <c r="K79" s="11">
        <f>IF($A79="","",SUMIFS('Trade Log'!$T$5:$T$1004,'Trade Log'!$G$5:$G$1004,$A79,'Trade Log'!$B$5:$B$1004,"Cash Secured Put",'Trade Log'!$C$5:$C$1004,"Open"))</f>
        <v/>
      </c>
      <c r="L79" s="12">
        <f>IF($A79="","",$I79*100)</f>
        <v/>
      </c>
      <c r="M79" s="19">
        <f>IFERROR($L79/$B79,0)</f>
        <v/>
      </c>
      <c r="N79" s="14" t="n"/>
    </row>
    <row r="80">
      <c r="A80" s="12" t="n"/>
      <c r="B80" s="14" t="n"/>
      <c r="C80" s="17" t="n"/>
      <c r="D80" s="17" t="n"/>
      <c r="E80" s="11">
        <f>IF($A80="","",IFERROR($B80*$C80,0))</f>
        <v/>
      </c>
      <c r="F80" s="11">
        <f>IF($A80="","",IFERROR($B80*$D80,0))</f>
        <v/>
      </c>
      <c r="G80" s="11">
        <f>IF($A80="","",$E80-$F80)</f>
        <v/>
      </c>
      <c r="H80" s="19">
        <f>IF($A80="","",IFERROR($E80/SUM($E$5:$E$154),0))</f>
        <v/>
      </c>
      <c r="I80" s="12">
        <f>IF($A80="","",SUMIFS('Trade Log'!$M$5:$M$1004,'Trade Log'!$G$5:$G$1004,$A80,'Trade Log'!$B$5:$B$1004,"Covered Call",'Trade Log'!$C$5:$C$1004,"Open"))</f>
        <v/>
      </c>
      <c r="J80" s="12">
        <f>IF($A80="","",SUMIFS('Trade Log'!$M$5:$M$1004,'Trade Log'!$G$5:$G$1004,$A80,'Trade Log'!$B$5:$B$1004,"Cash Secured Put",'Trade Log'!$C$5:$C$1004,"Open"))</f>
        <v/>
      </c>
      <c r="K80" s="11">
        <f>IF($A80="","",SUMIFS('Trade Log'!$T$5:$T$1004,'Trade Log'!$G$5:$G$1004,$A80,'Trade Log'!$B$5:$B$1004,"Cash Secured Put",'Trade Log'!$C$5:$C$1004,"Open"))</f>
        <v/>
      </c>
      <c r="L80" s="12">
        <f>IF($A80="","",$I80*100)</f>
        <v/>
      </c>
      <c r="M80" s="19">
        <f>IFERROR($L80/$B80,0)</f>
        <v/>
      </c>
      <c r="N80" s="14" t="n"/>
    </row>
    <row r="81">
      <c r="A81" s="12" t="n"/>
      <c r="B81" s="14" t="n"/>
      <c r="C81" s="17" t="n"/>
      <c r="D81" s="17" t="n"/>
      <c r="E81" s="11">
        <f>IF($A81="","",IFERROR($B81*$C81,0))</f>
        <v/>
      </c>
      <c r="F81" s="11">
        <f>IF($A81="","",IFERROR($B81*$D81,0))</f>
        <v/>
      </c>
      <c r="G81" s="11">
        <f>IF($A81="","",$E81-$F81)</f>
        <v/>
      </c>
      <c r="H81" s="19">
        <f>IF($A81="","",IFERROR($E81/SUM($E$5:$E$154),0))</f>
        <v/>
      </c>
      <c r="I81" s="12">
        <f>IF($A81="","",SUMIFS('Trade Log'!$M$5:$M$1004,'Trade Log'!$G$5:$G$1004,$A81,'Trade Log'!$B$5:$B$1004,"Covered Call",'Trade Log'!$C$5:$C$1004,"Open"))</f>
        <v/>
      </c>
      <c r="J81" s="12">
        <f>IF($A81="","",SUMIFS('Trade Log'!$M$5:$M$1004,'Trade Log'!$G$5:$G$1004,$A81,'Trade Log'!$B$5:$B$1004,"Cash Secured Put",'Trade Log'!$C$5:$C$1004,"Open"))</f>
        <v/>
      </c>
      <c r="K81" s="11">
        <f>IF($A81="","",SUMIFS('Trade Log'!$T$5:$T$1004,'Trade Log'!$G$5:$G$1004,$A81,'Trade Log'!$B$5:$B$1004,"Cash Secured Put",'Trade Log'!$C$5:$C$1004,"Open"))</f>
        <v/>
      </c>
      <c r="L81" s="12">
        <f>IF($A81="","",$I81*100)</f>
        <v/>
      </c>
      <c r="M81" s="19">
        <f>IFERROR($L81/$B81,0)</f>
        <v/>
      </c>
      <c r="N81" s="14" t="n"/>
    </row>
    <row r="82">
      <c r="A82" s="12" t="n"/>
      <c r="B82" s="14" t="n"/>
      <c r="C82" s="17" t="n"/>
      <c r="D82" s="17" t="n"/>
      <c r="E82" s="11">
        <f>IF($A82="","",IFERROR($B82*$C82,0))</f>
        <v/>
      </c>
      <c r="F82" s="11">
        <f>IF($A82="","",IFERROR($B82*$D82,0))</f>
        <v/>
      </c>
      <c r="G82" s="11">
        <f>IF($A82="","",$E82-$F82)</f>
        <v/>
      </c>
      <c r="H82" s="19">
        <f>IF($A82="","",IFERROR($E82/SUM($E$5:$E$154),0))</f>
        <v/>
      </c>
      <c r="I82" s="12">
        <f>IF($A82="","",SUMIFS('Trade Log'!$M$5:$M$1004,'Trade Log'!$G$5:$G$1004,$A82,'Trade Log'!$B$5:$B$1004,"Covered Call",'Trade Log'!$C$5:$C$1004,"Open"))</f>
        <v/>
      </c>
      <c r="J82" s="12">
        <f>IF($A82="","",SUMIFS('Trade Log'!$M$5:$M$1004,'Trade Log'!$G$5:$G$1004,$A82,'Trade Log'!$B$5:$B$1004,"Cash Secured Put",'Trade Log'!$C$5:$C$1004,"Open"))</f>
        <v/>
      </c>
      <c r="K82" s="11">
        <f>IF($A82="","",SUMIFS('Trade Log'!$T$5:$T$1004,'Trade Log'!$G$5:$G$1004,$A82,'Trade Log'!$B$5:$B$1004,"Cash Secured Put",'Trade Log'!$C$5:$C$1004,"Open"))</f>
        <v/>
      </c>
      <c r="L82" s="12">
        <f>IF($A82="","",$I82*100)</f>
        <v/>
      </c>
      <c r="M82" s="19">
        <f>IFERROR($L82/$B82,0)</f>
        <v/>
      </c>
      <c r="N82" s="14" t="n"/>
    </row>
    <row r="83">
      <c r="A83" s="12" t="n"/>
      <c r="B83" s="14" t="n"/>
      <c r="C83" s="17" t="n"/>
      <c r="D83" s="17" t="n"/>
      <c r="E83" s="11">
        <f>IF($A83="","",IFERROR($B83*$C83,0))</f>
        <v/>
      </c>
      <c r="F83" s="11">
        <f>IF($A83="","",IFERROR($B83*$D83,0))</f>
        <v/>
      </c>
      <c r="G83" s="11">
        <f>IF($A83="","",$E83-$F83)</f>
        <v/>
      </c>
      <c r="H83" s="19">
        <f>IF($A83="","",IFERROR($E83/SUM($E$5:$E$154),0))</f>
        <v/>
      </c>
      <c r="I83" s="12">
        <f>IF($A83="","",SUMIFS('Trade Log'!$M$5:$M$1004,'Trade Log'!$G$5:$G$1004,$A83,'Trade Log'!$B$5:$B$1004,"Covered Call",'Trade Log'!$C$5:$C$1004,"Open"))</f>
        <v/>
      </c>
      <c r="J83" s="12">
        <f>IF($A83="","",SUMIFS('Trade Log'!$M$5:$M$1004,'Trade Log'!$G$5:$G$1004,$A83,'Trade Log'!$B$5:$B$1004,"Cash Secured Put",'Trade Log'!$C$5:$C$1004,"Open"))</f>
        <v/>
      </c>
      <c r="K83" s="11">
        <f>IF($A83="","",SUMIFS('Trade Log'!$T$5:$T$1004,'Trade Log'!$G$5:$G$1004,$A83,'Trade Log'!$B$5:$B$1004,"Cash Secured Put",'Trade Log'!$C$5:$C$1004,"Open"))</f>
        <v/>
      </c>
      <c r="L83" s="12">
        <f>IF($A83="","",$I83*100)</f>
        <v/>
      </c>
      <c r="M83" s="19">
        <f>IFERROR($L83/$B83,0)</f>
        <v/>
      </c>
      <c r="N83" s="14" t="n"/>
    </row>
    <row r="84">
      <c r="A84" s="12" t="n"/>
      <c r="B84" s="14" t="n"/>
      <c r="C84" s="17" t="n"/>
      <c r="D84" s="17" t="n"/>
      <c r="E84" s="11">
        <f>IF($A84="","",IFERROR($B84*$C84,0))</f>
        <v/>
      </c>
      <c r="F84" s="11">
        <f>IF($A84="","",IFERROR($B84*$D84,0))</f>
        <v/>
      </c>
      <c r="G84" s="11">
        <f>IF($A84="","",$E84-$F84)</f>
        <v/>
      </c>
      <c r="H84" s="19">
        <f>IF($A84="","",IFERROR($E84/SUM($E$5:$E$154),0))</f>
        <v/>
      </c>
      <c r="I84" s="12">
        <f>IF($A84="","",SUMIFS('Trade Log'!$M$5:$M$1004,'Trade Log'!$G$5:$G$1004,$A84,'Trade Log'!$B$5:$B$1004,"Covered Call",'Trade Log'!$C$5:$C$1004,"Open"))</f>
        <v/>
      </c>
      <c r="J84" s="12">
        <f>IF($A84="","",SUMIFS('Trade Log'!$M$5:$M$1004,'Trade Log'!$G$5:$G$1004,$A84,'Trade Log'!$B$5:$B$1004,"Cash Secured Put",'Trade Log'!$C$5:$C$1004,"Open"))</f>
        <v/>
      </c>
      <c r="K84" s="11">
        <f>IF($A84="","",SUMIFS('Trade Log'!$T$5:$T$1004,'Trade Log'!$G$5:$G$1004,$A84,'Trade Log'!$B$5:$B$1004,"Cash Secured Put",'Trade Log'!$C$5:$C$1004,"Open"))</f>
        <v/>
      </c>
      <c r="L84" s="12">
        <f>IF($A84="","",$I84*100)</f>
        <v/>
      </c>
      <c r="M84" s="19">
        <f>IFERROR($L84/$B84,0)</f>
        <v/>
      </c>
      <c r="N84" s="14" t="n"/>
    </row>
    <row r="85">
      <c r="A85" s="12" t="n"/>
      <c r="B85" s="14" t="n"/>
      <c r="C85" s="17" t="n"/>
      <c r="D85" s="17" t="n"/>
      <c r="E85" s="11">
        <f>IF($A85="","",IFERROR($B85*$C85,0))</f>
        <v/>
      </c>
      <c r="F85" s="11">
        <f>IF($A85="","",IFERROR($B85*$D85,0))</f>
        <v/>
      </c>
      <c r="G85" s="11">
        <f>IF($A85="","",$E85-$F85)</f>
        <v/>
      </c>
      <c r="H85" s="19">
        <f>IF($A85="","",IFERROR($E85/SUM($E$5:$E$154),0))</f>
        <v/>
      </c>
      <c r="I85" s="12">
        <f>IF($A85="","",SUMIFS('Trade Log'!$M$5:$M$1004,'Trade Log'!$G$5:$G$1004,$A85,'Trade Log'!$B$5:$B$1004,"Covered Call",'Trade Log'!$C$5:$C$1004,"Open"))</f>
        <v/>
      </c>
      <c r="J85" s="12">
        <f>IF($A85="","",SUMIFS('Trade Log'!$M$5:$M$1004,'Trade Log'!$G$5:$G$1004,$A85,'Trade Log'!$B$5:$B$1004,"Cash Secured Put",'Trade Log'!$C$5:$C$1004,"Open"))</f>
        <v/>
      </c>
      <c r="K85" s="11">
        <f>IF($A85="","",SUMIFS('Trade Log'!$T$5:$T$1004,'Trade Log'!$G$5:$G$1004,$A85,'Trade Log'!$B$5:$B$1004,"Cash Secured Put",'Trade Log'!$C$5:$C$1004,"Open"))</f>
        <v/>
      </c>
      <c r="L85" s="12">
        <f>IF($A85="","",$I85*100)</f>
        <v/>
      </c>
      <c r="M85" s="19">
        <f>IFERROR($L85/$B85,0)</f>
        <v/>
      </c>
      <c r="N85" s="14" t="n"/>
    </row>
    <row r="86">
      <c r="A86" s="12" t="n"/>
      <c r="B86" s="14" t="n"/>
      <c r="C86" s="17" t="n"/>
      <c r="D86" s="17" t="n"/>
      <c r="E86" s="11">
        <f>IF($A86="","",IFERROR($B86*$C86,0))</f>
        <v/>
      </c>
      <c r="F86" s="11">
        <f>IF($A86="","",IFERROR($B86*$D86,0))</f>
        <v/>
      </c>
      <c r="G86" s="11">
        <f>IF($A86="","",$E86-$F86)</f>
        <v/>
      </c>
      <c r="H86" s="19">
        <f>IF($A86="","",IFERROR($E86/SUM($E$5:$E$154),0))</f>
        <v/>
      </c>
      <c r="I86" s="12">
        <f>IF($A86="","",SUMIFS('Trade Log'!$M$5:$M$1004,'Trade Log'!$G$5:$G$1004,$A86,'Trade Log'!$B$5:$B$1004,"Covered Call",'Trade Log'!$C$5:$C$1004,"Open"))</f>
        <v/>
      </c>
      <c r="J86" s="12">
        <f>IF($A86="","",SUMIFS('Trade Log'!$M$5:$M$1004,'Trade Log'!$G$5:$G$1004,$A86,'Trade Log'!$B$5:$B$1004,"Cash Secured Put",'Trade Log'!$C$5:$C$1004,"Open"))</f>
        <v/>
      </c>
      <c r="K86" s="11">
        <f>IF($A86="","",SUMIFS('Trade Log'!$T$5:$T$1004,'Trade Log'!$G$5:$G$1004,$A86,'Trade Log'!$B$5:$B$1004,"Cash Secured Put",'Trade Log'!$C$5:$C$1004,"Open"))</f>
        <v/>
      </c>
      <c r="L86" s="12">
        <f>IF($A86="","",$I86*100)</f>
        <v/>
      </c>
      <c r="M86" s="19">
        <f>IFERROR($L86/$B86,0)</f>
        <v/>
      </c>
      <c r="N86" s="14" t="n"/>
    </row>
    <row r="87">
      <c r="A87" s="12" t="n"/>
      <c r="B87" s="14" t="n"/>
      <c r="C87" s="17" t="n"/>
      <c r="D87" s="17" t="n"/>
      <c r="E87" s="11">
        <f>IF($A87="","",IFERROR($B87*$C87,0))</f>
        <v/>
      </c>
      <c r="F87" s="11">
        <f>IF($A87="","",IFERROR($B87*$D87,0))</f>
        <v/>
      </c>
      <c r="G87" s="11">
        <f>IF($A87="","",$E87-$F87)</f>
        <v/>
      </c>
      <c r="H87" s="19">
        <f>IF($A87="","",IFERROR($E87/SUM($E$5:$E$154),0))</f>
        <v/>
      </c>
      <c r="I87" s="12">
        <f>IF($A87="","",SUMIFS('Trade Log'!$M$5:$M$1004,'Trade Log'!$G$5:$G$1004,$A87,'Trade Log'!$B$5:$B$1004,"Covered Call",'Trade Log'!$C$5:$C$1004,"Open"))</f>
        <v/>
      </c>
      <c r="J87" s="12">
        <f>IF($A87="","",SUMIFS('Trade Log'!$M$5:$M$1004,'Trade Log'!$G$5:$G$1004,$A87,'Trade Log'!$B$5:$B$1004,"Cash Secured Put",'Trade Log'!$C$5:$C$1004,"Open"))</f>
        <v/>
      </c>
      <c r="K87" s="11">
        <f>IF($A87="","",SUMIFS('Trade Log'!$T$5:$T$1004,'Trade Log'!$G$5:$G$1004,$A87,'Trade Log'!$B$5:$B$1004,"Cash Secured Put",'Trade Log'!$C$5:$C$1004,"Open"))</f>
        <v/>
      </c>
      <c r="L87" s="12">
        <f>IF($A87="","",$I87*100)</f>
        <v/>
      </c>
      <c r="M87" s="19">
        <f>IFERROR($L87/$B87,0)</f>
        <v/>
      </c>
      <c r="N87" s="14" t="n"/>
    </row>
    <row r="88">
      <c r="A88" s="12" t="n"/>
      <c r="B88" s="14" t="n"/>
      <c r="C88" s="17" t="n"/>
      <c r="D88" s="17" t="n"/>
      <c r="E88" s="11">
        <f>IF($A88="","",IFERROR($B88*$C88,0))</f>
        <v/>
      </c>
      <c r="F88" s="11">
        <f>IF($A88="","",IFERROR($B88*$D88,0))</f>
        <v/>
      </c>
      <c r="G88" s="11">
        <f>IF($A88="","",$E88-$F88)</f>
        <v/>
      </c>
      <c r="H88" s="19">
        <f>IF($A88="","",IFERROR($E88/SUM($E$5:$E$154),0))</f>
        <v/>
      </c>
      <c r="I88" s="12">
        <f>IF($A88="","",SUMIFS('Trade Log'!$M$5:$M$1004,'Trade Log'!$G$5:$G$1004,$A88,'Trade Log'!$B$5:$B$1004,"Covered Call",'Trade Log'!$C$5:$C$1004,"Open"))</f>
        <v/>
      </c>
      <c r="J88" s="12">
        <f>IF($A88="","",SUMIFS('Trade Log'!$M$5:$M$1004,'Trade Log'!$G$5:$G$1004,$A88,'Trade Log'!$B$5:$B$1004,"Cash Secured Put",'Trade Log'!$C$5:$C$1004,"Open"))</f>
        <v/>
      </c>
      <c r="K88" s="11">
        <f>IF($A88="","",SUMIFS('Trade Log'!$T$5:$T$1004,'Trade Log'!$G$5:$G$1004,$A88,'Trade Log'!$B$5:$B$1004,"Cash Secured Put",'Trade Log'!$C$5:$C$1004,"Open"))</f>
        <v/>
      </c>
      <c r="L88" s="12">
        <f>IF($A88="","",$I88*100)</f>
        <v/>
      </c>
      <c r="M88" s="19">
        <f>IFERROR($L88/$B88,0)</f>
        <v/>
      </c>
      <c r="N88" s="14" t="n"/>
    </row>
    <row r="89">
      <c r="A89" s="12" t="n"/>
      <c r="B89" s="14" t="n"/>
      <c r="C89" s="17" t="n"/>
      <c r="D89" s="17" t="n"/>
      <c r="E89" s="11">
        <f>IF($A89="","",IFERROR($B89*$C89,0))</f>
        <v/>
      </c>
      <c r="F89" s="11">
        <f>IF($A89="","",IFERROR($B89*$D89,0))</f>
        <v/>
      </c>
      <c r="G89" s="11">
        <f>IF($A89="","",$E89-$F89)</f>
        <v/>
      </c>
      <c r="H89" s="19">
        <f>IF($A89="","",IFERROR($E89/SUM($E$5:$E$154),0))</f>
        <v/>
      </c>
      <c r="I89" s="12">
        <f>IF($A89="","",SUMIFS('Trade Log'!$M$5:$M$1004,'Trade Log'!$G$5:$G$1004,$A89,'Trade Log'!$B$5:$B$1004,"Covered Call",'Trade Log'!$C$5:$C$1004,"Open"))</f>
        <v/>
      </c>
      <c r="J89" s="12">
        <f>IF($A89="","",SUMIFS('Trade Log'!$M$5:$M$1004,'Trade Log'!$G$5:$G$1004,$A89,'Trade Log'!$B$5:$B$1004,"Cash Secured Put",'Trade Log'!$C$5:$C$1004,"Open"))</f>
        <v/>
      </c>
      <c r="K89" s="11">
        <f>IF($A89="","",SUMIFS('Trade Log'!$T$5:$T$1004,'Trade Log'!$G$5:$G$1004,$A89,'Trade Log'!$B$5:$B$1004,"Cash Secured Put",'Trade Log'!$C$5:$C$1004,"Open"))</f>
        <v/>
      </c>
      <c r="L89" s="12">
        <f>IF($A89="","",$I89*100)</f>
        <v/>
      </c>
      <c r="M89" s="19">
        <f>IFERROR($L89/$B89,0)</f>
        <v/>
      </c>
      <c r="N89" s="14" t="n"/>
    </row>
    <row r="90">
      <c r="A90" s="12" t="n"/>
      <c r="B90" s="14" t="n"/>
      <c r="C90" s="17" t="n"/>
      <c r="D90" s="17" t="n"/>
      <c r="E90" s="11">
        <f>IF($A90="","",IFERROR($B90*$C90,0))</f>
        <v/>
      </c>
      <c r="F90" s="11">
        <f>IF($A90="","",IFERROR($B90*$D90,0))</f>
        <v/>
      </c>
      <c r="G90" s="11">
        <f>IF($A90="","",$E90-$F90)</f>
        <v/>
      </c>
      <c r="H90" s="19">
        <f>IF($A90="","",IFERROR($E90/SUM($E$5:$E$154),0))</f>
        <v/>
      </c>
      <c r="I90" s="12">
        <f>IF($A90="","",SUMIFS('Trade Log'!$M$5:$M$1004,'Trade Log'!$G$5:$G$1004,$A90,'Trade Log'!$B$5:$B$1004,"Covered Call",'Trade Log'!$C$5:$C$1004,"Open"))</f>
        <v/>
      </c>
      <c r="J90" s="12">
        <f>IF($A90="","",SUMIFS('Trade Log'!$M$5:$M$1004,'Trade Log'!$G$5:$G$1004,$A90,'Trade Log'!$B$5:$B$1004,"Cash Secured Put",'Trade Log'!$C$5:$C$1004,"Open"))</f>
        <v/>
      </c>
      <c r="K90" s="11">
        <f>IF($A90="","",SUMIFS('Trade Log'!$T$5:$T$1004,'Trade Log'!$G$5:$G$1004,$A90,'Trade Log'!$B$5:$B$1004,"Cash Secured Put",'Trade Log'!$C$5:$C$1004,"Open"))</f>
        <v/>
      </c>
      <c r="L90" s="12">
        <f>IF($A90="","",$I90*100)</f>
        <v/>
      </c>
      <c r="M90" s="19">
        <f>IFERROR($L90/$B90,0)</f>
        <v/>
      </c>
      <c r="N90" s="14" t="n"/>
    </row>
    <row r="91">
      <c r="A91" s="12" t="n"/>
      <c r="B91" s="14" t="n"/>
      <c r="C91" s="17" t="n"/>
      <c r="D91" s="17" t="n"/>
      <c r="E91" s="11">
        <f>IF($A91="","",IFERROR($B91*$C91,0))</f>
        <v/>
      </c>
      <c r="F91" s="11">
        <f>IF($A91="","",IFERROR($B91*$D91,0))</f>
        <v/>
      </c>
      <c r="G91" s="11">
        <f>IF($A91="","",$E91-$F91)</f>
        <v/>
      </c>
      <c r="H91" s="19">
        <f>IF($A91="","",IFERROR($E91/SUM($E$5:$E$154),0))</f>
        <v/>
      </c>
      <c r="I91" s="12">
        <f>IF($A91="","",SUMIFS('Trade Log'!$M$5:$M$1004,'Trade Log'!$G$5:$G$1004,$A91,'Trade Log'!$B$5:$B$1004,"Covered Call",'Trade Log'!$C$5:$C$1004,"Open"))</f>
        <v/>
      </c>
      <c r="J91" s="12">
        <f>IF($A91="","",SUMIFS('Trade Log'!$M$5:$M$1004,'Trade Log'!$G$5:$G$1004,$A91,'Trade Log'!$B$5:$B$1004,"Cash Secured Put",'Trade Log'!$C$5:$C$1004,"Open"))</f>
        <v/>
      </c>
      <c r="K91" s="11">
        <f>IF($A91="","",SUMIFS('Trade Log'!$T$5:$T$1004,'Trade Log'!$G$5:$G$1004,$A91,'Trade Log'!$B$5:$B$1004,"Cash Secured Put",'Trade Log'!$C$5:$C$1004,"Open"))</f>
        <v/>
      </c>
      <c r="L91" s="12">
        <f>IF($A91="","",$I91*100)</f>
        <v/>
      </c>
      <c r="M91" s="19">
        <f>IFERROR($L91/$B91,0)</f>
        <v/>
      </c>
      <c r="N91" s="14" t="n"/>
    </row>
    <row r="92">
      <c r="A92" s="12" t="n"/>
      <c r="B92" s="14" t="n"/>
      <c r="C92" s="17" t="n"/>
      <c r="D92" s="17" t="n"/>
      <c r="E92" s="11">
        <f>IF($A92="","",IFERROR($B92*$C92,0))</f>
        <v/>
      </c>
      <c r="F92" s="11">
        <f>IF($A92="","",IFERROR($B92*$D92,0))</f>
        <v/>
      </c>
      <c r="G92" s="11">
        <f>IF($A92="","",$E92-$F92)</f>
        <v/>
      </c>
      <c r="H92" s="19">
        <f>IF($A92="","",IFERROR($E92/SUM($E$5:$E$154),0))</f>
        <v/>
      </c>
      <c r="I92" s="12">
        <f>IF($A92="","",SUMIFS('Trade Log'!$M$5:$M$1004,'Trade Log'!$G$5:$G$1004,$A92,'Trade Log'!$B$5:$B$1004,"Covered Call",'Trade Log'!$C$5:$C$1004,"Open"))</f>
        <v/>
      </c>
      <c r="J92" s="12">
        <f>IF($A92="","",SUMIFS('Trade Log'!$M$5:$M$1004,'Trade Log'!$G$5:$G$1004,$A92,'Trade Log'!$B$5:$B$1004,"Cash Secured Put",'Trade Log'!$C$5:$C$1004,"Open"))</f>
        <v/>
      </c>
      <c r="K92" s="11">
        <f>IF($A92="","",SUMIFS('Trade Log'!$T$5:$T$1004,'Trade Log'!$G$5:$G$1004,$A92,'Trade Log'!$B$5:$B$1004,"Cash Secured Put",'Trade Log'!$C$5:$C$1004,"Open"))</f>
        <v/>
      </c>
      <c r="L92" s="12">
        <f>IF($A92="","",$I92*100)</f>
        <v/>
      </c>
      <c r="M92" s="19">
        <f>IFERROR($L92/$B92,0)</f>
        <v/>
      </c>
      <c r="N92" s="14" t="n"/>
    </row>
    <row r="93">
      <c r="A93" s="12" t="n"/>
      <c r="B93" s="14" t="n"/>
      <c r="C93" s="17" t="n"/>
      <c r="D93" s="17" t="n"/>
      <c r="E93" s="11">
        <f>IF($A93="","",IFERROR($B93*$C93,0))</f>
        <v/>
      </c>
      <c r="F93" s="11">
        <f>IF($A93="","",IFERROR($B93*$D93,0))</f>
        <v/>
      </c>
      <c r="G93" s="11">
        <f>IF($A93="","",$E93-$F93)</f>
        <v/>
      </c>
      <c r="H93" s="19">
        <f>IF($A93="","",IFERROR($E93/SUM($E$5:$E$154),0))</f>
        <v/>
      </c>
      <c r="I93" s="12">
        <f>IF($A93="","",SUMIFS('Trade Log'!$M$5:$M$1004,'Trade Log'!$G$5:$G$1004,$A93,'Trade Log'!$B$5:$B$1004,"Covered Call",'Trade Log'!$C$5:$C$1004,"Open"))</f>
        <v/>
      </c>
      <c r="J93" s="12">
        <f>IF($A93="","",SUMIFS('Trade Log'!$M$5:$M$1004,'Trade Log'!$G$5:$G$1004,$A93,'Trade Log'!$B$5:$B$1004,"Cash Secured Put",'Trade Log'!$C$5:$C$1004,"Open"))</f>
        <v/>
      </c>
      <c r="K93" s="11">
        <f>IF($A93="","",SUMIFS('Trade Log'!$T$5:$T$1004,'Trade Log'!$G$5:$G$1004,$A93,'Trade Log'!$B$5:$B$1004,"Cash Secured Put",'Trade Log'!$C$5:$C$1004,"Open"))</f>
        <v/>
      </c>
      <c r="L93" s="12">
        <f>IF($A93="","",$I93*100)</f>
        <v/>
      </c>
      <c r="M93" s="19">
        <f>IFERROR($L93/$B93,0)</f>
        <v/>
      </c>
      <c r="N93" s="14" t="n"/>
    </row>
    <row r="94">
      <c r="A94" s="12" t="n"/>
      <c r="B94" s="14" t="n"/>
      <c r="C94" s="17" t="n"/>
      <c r="D94" s="17" t="n"/>
      <c r="E94" s="11">
        <f>IF($A94="","",IFERROR($B94*$C94,0))</f>
        <v/>
      </c>
      <c r="F94" s="11">
        <f>IF($A94="","",IFERROR($B94*$D94,0))</f>
        <v/>
      </c>
      <c r="G94" s="11">
        <f>IF($A94="","",$E94-$F94)</f>
        <v/>
      </c>
      <c r="H94" s="19">
        <f>IF($A94="","",IFERROR($E94/SUM($E$5:$E$154),0))</f>
        <v/>
      </c>
      <c r="I94" s="12">
        <f>IF($A94="","",SUMIFS('Trade Log'!$M$5:$M$1004,'Trade Log'!$G$5:$G$1004,$A94,'Trade Log'!$B$5:$B$1004,"Covered Call",'Trade Log'!$C$5:$C$1004,"Open"))</f>
        <v/>
      </c>
      <c r="J94" s="12">
        <f>IF($A94="","",SUMIFS('Trade Log'!$M$5:$M$1004,'Trade Log'!$G$5:$G$1004,$A94,'Trade Log'!$B$5:$B$1004,"Cash Secured Put",'Trade Log'!$C$5:$C$1004,"Open"))</f>
        <v/>
      </c>
      <c r="K94" s="11">
        <f>IF($A94="","",SUMIFS('Trade Log'!$T$5:$T$1004,'Trade Log'!$G$5:$G$1004,$A94,'Trade Log'!$B$5:$B$1004,"Cash Secured Put",'Trade Log'!$C$5:$C$1004,"Open"))</f>
        <v/>
      </c>
      <c r="L94" s="12">
        <f>IF($A94="","",$I94*100)</f>
        <v/>
      </c>
      <c r="M94" s="19">
        <f>IFERROR($L94/$B94,0)</f>
        <v/>
      </c>
      <c r="N94" s="14" t="n"/>
    </row>
    <row r="95">
      <c r="A95" s="12" t="n"/>
      <c r="B95" s="14" t="n"/>
      <c r="C95" s="17" t="n"/>
      <c r="D95" s="17" t="n"/>
      <c r="E95" s="11">
        <f>IF($A95="","",IFERROR($B95*$C95,0))</f>
        <v/>
      </c>
      <c r="F95" s="11">
        <f>IF($A95="","",IFERROR($B95*$D95,0))</f>
        <v/>
      </c>
      <c r="G95" s="11">
        <f>IF($A95="","",$E95-$F95)</f>
        <v/>
      </c>
      <c r="H95" s="19">
        <f>IF($A95="","",IFERROR($E95/SUM($E$5:$E$154),0))</f>
        <v/>
      </c>
      <c r="I95" s="12">
        <f>IF($A95="","",SUMIFS('Trade Log'!$M$5:$M$1004,'Trade Log'!$G$5:$G$1004,$A95,'Trade Log'!$B$5:$B$1004,"Covered Call",'Trade Log'!$C$5:$C$1004,"Open"))</f>
        <v/>
      </c>
      <c r="J95" s="12">
        <f>IF($A95="","",SUMIFS('Trade Log'!$M$5:$M$1004,'Trade Log'!$G$5:$G$1004,$A95,'Trade Log'!$B$5:$B$1004,"Cash Secured Put",'Trade Log'!$C$5:$C$1004,"Open"))</f>
        <v/>
      </c>
      <c r="K95" s="11">
        <f>IF($A95="","",SUMIFS('Trade Log'!$T$5:$T$1004,'Trade Log'!$G$5:$G$1004,$A95,'Trade Log'!$B$5:$B$1004,"Cash Secured Put",'Trade Log'!$C$5:$C$1004,"Open"))</f>
        <v/>
      </c>
      <c r="L95" s="12">
        <f>IF($A95="","",$I95*100)</f>
        <v/>
      </c>
      <c r="M95" s="19">
        <f>IFERROR($L95/$B95,0)</f>
        <v/>
      </c>
      <c r="N95" s="14" t="n"/>
    </row>
    <row r="96">
      <c r="A96" s="12" t="n"/>
      <c r="B96" s="14" t="n"/>
      <c r="C96" s="17" t="n"/>
      <c r="D96" s="17" t="n"/>
      <c r="E96" s="11">
        <f>IF($A96="","",IFERROR($B96*$C96,0))</f>
        <v/>
      </c>
      <c r="F96" s="11">
        <f>IF($A96="","",IFERROR($B96*$D96,0))</f>
        <v/>
      </c>
      <c r="G96" s="11">
        <f>IF($A96="","",$E96-$F96)</f>
        <v/>
      </c>
      <c r="H96" s="19">
        <f>IF($A96="","",IFERROR($E96/SUM($E$5:$E$154),0))</f>
        <v/>
      </c>
      <c r="I96" s="12">
        <f>IF($A96="","",SUMIFS('Trade Log'!$M$5:$M$1004,'Trade Log'!$G$5:$G$1004,$A96,'Trade Log'!$B$5:$B$1004,"Covered Call",'Trade Log'!$C$5:$C$1004,"Open"))</f>
        <v/>
      </c>
      <c r="J96" s="12">
        <f>IF($A96="","",SUMIFS('Trade Log'!$M$5:$M$1004,'Trade Log'!$G$5:$G$1004,$A96,'Trade Log'!$B$5:$B$1004,"Cash Secured Put",'Trade Log'!$C$5:$C$1004,"Open"))</f>
        <v/>
      </c>
      <c r="K96" s="11">
        <f>IF($A96="","",SUMIFS('Trade Log'!$T$5:$T$1004,'Trade Log'!$G$5:$G$1004,$A96,'Trade Log'!$B$5:$B$1004,"Cash Secured Put",'Trade Log'!$C$5:$C$1004,"Open"))</f>
        <v/>
      </c>
      <c r="L96" s="12">
        <f>IF($A96="","",$I96*100)</f>
        <v/>
      </c>
      <c r="M96" s="19">
        <f>IFERROR($L96/$B96,0)</f>
        <v/>
      </c>
      <c r="N96" s="14" t="n"/>
    </row>
    <row r="97">
      <c r="A97" s="12" t="n"/>
      <c r="B97" s="14" t="n"/>
      <c r="C97" s="17" t="n"/>
      <c r="D97" s="17" t="n"/>
      <c r="E97" s="11">
        <f>IF($A97="","",IFERROR($B97*$C97,0))</f>
        <v/>
      </c>
      <c r="F97" s="11">
        <f>IF($A97="","",IFERROR($B97*$D97,0))</f>
        <v/>
      </c>
      <c r="G97" s="11">
        <f>IF($A97="","",$E97-$F97)</f>
        <v/>
      </c>
      <c r="H97" s="19">
        <f>IF($A97="","",IFERROR($E97/SUM($E$5:$E$154),0))</f>
        <v/>
      </c>
      <c r="I97" s="12">
        <f>IF($A97="","",SUMIFS('Trade Log'!$M$5:$M$1004,'Trade Log'!$G$5:$G$1004,$A97,'Trade Log'!$B$5:$B$1004,"Covered Call",'Trade Log'!$C$5:$C$1004,"Open"))</f>
        <v/>
      </c>
      <c r="J97" s="12">
        <f>IF($A97="","",SUMIFS('Trade Log'!$M$5:$M$1004,'Trade Log'!$G$5:$G$1004,$A97,'Trade Log'!$B$5:$B$1004,"Cash Secured Put",'Trade Log'!$C$5:$C$1004,"Open"))</f>
        <v/>
      </c>
      <c r="K97" s="11">
        <f>IF($A97="","",SUMIFS('Trade Log'!$T$5:$T$1004,'Trade Log'!$G$5:$G$1004,$A97,'Trade Log'!$B$5:$B$1004,"Cash Secured Put",'Trade Log'!$C$5:$C$1004,"Open"))</f>
        <v/>
      </c>
      <c r="L97" s="12">
        <f>IF($A97="","",$I97*100)</f>
        <v/>
      </c>
      <c r="M97" s="19">
        <f>IFERROR($L97/$B97,0)</f>
        <v/>
      </c>
      <c r="N97" s="14" t="n"/>
    </row>
    <row r="98">
      <c r="A98" s="12" t="n"/>
      <c r="B98" s="14" t="n"/>
      <c r="C98" s="17" t="n"/>
      <c r="D98" s="17" t="n"/>
      <c r="E98" s="11">
        <f>IF($A98="","",IFERROR($B98*$C98,0))</f>
        <v/>
      </c>
      <c r="F98" s="11">
        <f>IF($A98="","",IFERROR($B98*$D98,0))</f>
        <v/>
      </c>
      <c r="G98" s="11">
        <f>IF($A98="","",$E98-$F98)</f>
        <v/>
      </c>
      <c r="H98" s="19">
        <f>IF($A98="","",IFERROR($E98/SUM($E$5:$E$154),0))</f>
        <v/>
      </c>
      <c r="I98" s="12">
        <f>IF($A98="","",SUMIFS('Trade Log'!$M$5:$M$1004,'Trade Log'!$G$5:$G$1004,$A98,'Trade Log'!$B$5:$B$1004,"Covered Call",'Trade Log'!$C$5:$C$1004,"Open"))</f>
        <v/>
      </c>
      <c r="J98" s="12">
        <f>IF($A98="","",SUMIFS('Trade Log'!$M$5:$M$1004,'Trade Log'!$G$5:$G$1004,$A98,'Trade Log'!$B$5:$B$1004,"Cash Secured Put",'Trade Log'!$C$5:$C$1004,"Open"))</f>
        <v/>
      </c>
      <c r="K98" s="11">
        <f>IF($A98="","",SUMIFS('Trade Log'!$T$5:$T$1004,'Trade Log'!$G$5:$G$1004,$A98,'Trade Log'!$B$5:$B$1004,"Cash Secured Put",'Trade Log'!$C$5:$C$1004,"Open"))</f>
        <v/>
      </c>
      <c r="L98" s="12">
        <f>IF($A98="","",$I98*100)</f>
        <v/>
      </c>
      <c r="M98" s="19">
        <f>IFERROR($L98/$B98,0)</f>
        <v/>
      </c>
      <c r="N98" s="14" t="n"/>
    </row>
    <row r="99">
      <c r="A99" s="12" t="n"/>
      <c r="B99" s="14" t="n"/>
      <c r="C99" s="17" t="n"/>
      <c r="D99" s="17" t="n"/>
      <c r="E99" s="11">
        <f>IF($A99="","",IFERROR($B99*$C99,0))</f>
        <v/>
      </c>
      <c r="F99" s="11">
        <f>IF($A99="","",IFERROR($B99*$D99,0))</f>
        <v/>
      </c>
      <c r="G99" s="11">
        <f>IF($A99="","",$E99-$F99)</f>
        <v/>
      </c>
      <c r="H99" s="19">
        <f>IF($A99="","",IFERROR($E99/SUM($E$5:$E$154),0))</f>
        <v/>
      </c>
      <c r="I99" s="12">
        <f>IF($A99="","",SUMIFS('Trade Log'!$M$5:$M$1004,'Trade Log'!$G$5:$G$1004,$A99,'Trade Log'!$B$5:$B$1004,"Covered Call",'Trade Log'!$C$5:$C$1004,"Open"))</f>
        <v/>
      </c>
      <c r="J99" s="12">
        <f>IF($A99="","",SUMIFS('Trade Log'!$M$5:$M$1004,'Trade Log'!$G$5:$G$1004,$A99,'Trade Log'!$B$5:$B$1004,"Cash Secured Put",'Trade Log'!$C$5:$C$1004,"Open"))</f>
        <v/>
      </c>
      <c r="K99" s="11">
        <f>IF($A99="","",SUMIFS('Trade Log'!$T$5:$T$1004,'Trade Log'!$G$5:$G$1004,$A99,'Trade Log'!$B$5:$B$1004,"Cash Secured Put",'Trade Log'!$C$5:$C$1004,"Open"))</f>
        <v/>
      </c>
      <c r="L99" s="12">
        <f>IF($A99="","",$I99*100)</f>
        <v/>
      </c>
      <c r="M99" s="19">
        <f>IFERROR($L99/$B99,0)</f>
        <v/>
      </c>
      <c r="N99" s="14" t="n"/>
    </row>
    <row r="100">
      <c r="A100" s="12" t="n"/>
      <c r="B100" s="14" t="n"/>
      <c r="C100" s="17" t="n"/>
      <c r="D100" s="17" t="n"/>
      <c r="E100" s="11">
        <f>IF($A100="","",IFERROR($B100*$C100,0))</f>
        <v/>
      </c>
      <c r="F100" s="11">
        <f>IF($A100="","",IFERROR($B100*$D100,0))</f>
        <v/>
      </c>
      <c r="G100" s="11">
        <f>IF($A100="","",$E100-$F100)</f>
        <v/>
      </c>
      <c r="H100" s="19">
        <f>IF($A100="","",IFERROR($E100/SUM($E$5:$E$154),0))</f>
        <v/>
      </c>
      <c r="I100" s="12">
        <f>IF($A100="","",SUMIFS('Trade Log'!$M$5:$M$1004,'Trade Log'!$G$5:$G$1004,$A100,'Trade Log'!$B$5:$B$1004,"Covered Call",'Trade Log'!$C$5:$C$1004,"Open"))</f>
        <v/>
      </c>
      <c r="J100" s="12">
        <f>IF($A100="","",SUMIFS('Trade Log'!$M$5:$M$1004,'Trade Log'!$G$5:$G$1004,$A100,'Trade Log'!$B$5:$B$1004,"Cash Secured Put",'Trade Log'!$C$5:$C$1004,"Open"))</f>
        <v/>
      </c>
      <c r="K100" s="11">
        <f>IF($A100="","",SUMIFS('Trade Log'!$T$5:$T$1004,'Trade Log'!$G$5:$G$1004,$A100,'Trade Log'!$B$5:$B$1004,"Cash Secured Put",'Trade Log'!$C$5:$C$1004,"Open"))</f>
        <v/>
      </c>
      <c r="L100" s="12">
        <f>IF($A100="","",$I100*100)</f>
        <v/>
      </c>
      <c r="M100" s="19">
        <f>IFERROR($L100/$B100,0)</f>
        <v/>
      </c>
      <c r="N100" s="14" t="n"/>
    </row>
    <row r="101">
      <c r="A101" s="12" t="n"/>
      <c r="B101" s="14" t="n"/>
      <c r="C101" s="17" t="n"/>
      <c r="D101" s="17" t="n"/>
      <c r="E101" s="11">
        <f>IF($A101="","",IFERROR($B101*$C101,0))</f>
        <v/>
      </c>
      <c r="F101" s="11">
        <f>IF($A101="","",IFERROR($B101*$D101,0))</f>
        <v/>
      </c>
      <c r="G101" s="11">
        <f>IF($A101="","",$E101-$F101)</f>
        <v/>
      </c>
      <c r="H101" s="19">
        <f>IF($A101="","",IFERROR($E101/SUM($E$5:$E$154),0))</f>
        <v/>
      </c>
      <c r="I101" s="12">
        <f>IF($A101="","",SUMIFS('Trade Log'!$M$5:$M$1004,'Trade Log'!$G$5:$G$1004,$A101,'Trade Log'!$B$5:$B$1004,"Covered Call",'Trade Log'!$C$5:$C$1004,"Open"))</f>
        <v/>
      </c>
      <c r="J101" s="12">
        <f>IF($A101="","",SUMIFS('Trade Log'!$M$5:$M$1004,'Trade Log'!$G$5:$G$1004,$A101,'Trade Log'!$B$5:$B$1004,"Cash Secured Put",'Trade Log'!$C$5:$C$1004,"Open"))</f>
        <v/>
      </c>
      <c r="K101" s="11">
        <f>IF($A101="","",SUMIFS('Trade Log'!$T$5:$T$1004,'Trade Log'!$G$5:$G$1004,$A101,'Trade Log'!$B$5:$B$1004,"Cash Secured Put",'Trade Log'!$C$5:$C$1004,"Open"))</f>
        <v/>
      </c>
      <c r="L101" s="12">
        <f>IF($A101="","",$I101*100)</f>
        <v/>
      </c>
      <c r="M101" s="19">
        <f>IFERROR($L101/$B101,0)</f>
        <v/>
      </c>
      <c r="N101" s="14" t="n"/>
    </row>
    <row r="102">
      <c r="A102" s="12" t="n"/>
      <c r="B102" s="14" t="n"/>
      <c r="C102" s="17" t="n"/>
      <c r="D102" s="17" t="n"/>
      <c r="E102" s="11">
        <f>IF($A102="","",IFERROR($B102*$C102,0))</f>
        <v/>
      </c>
      <c r="F102" s="11">
        <f>IF($A102="","",IFERROR($B102*$D102,0))</f>
        <v/>
      </c>
      <c r="G102" s="11">
        <f>IF($A102="","",$E102-$F102)</f>
        <v/>
      </c>
      <c r="H102" s="19">
        <f>IF($A102="","",IFERROR($E102/SUM($E$5:$E$154),0))</f>
        <v/>
      </c>
      <c r="I102" s="12">
        <f>IF($A102="","",SUMIFS('Trade Log'!$M$5:$M$1004,'Trade Log'!$G$5:$G$1004,$A102,'Trade Log'!$B$5:$B$1004,"Covered Call",'Trade Log'!$C$5:$C$1004,"Open"))</f>
        <v/>
      </c>
      <c r="J102" s="12">
        <f>IF($A102="","",SUMIFS('Trade Log'!$M$5:$M$1004,'Trade Log'!$G$5:$G$1004,$A102,'Trade Log'!$B$5:$B$1004,"Cash Secured Put",'Trade Log'!$C$5:$C$1004,"Open"))</f>
        <v/>
      </c>
      <c r="K102" s="11">
        <f>IF($A102="","",SUMIFS('Trade Log'!$T$5:$T$1004,'Trade Log'!$G$5:$G$1004,$A102,'Trade Log'!$B$5:$B$1004,"Cash Secured Put",'Trade Log'!$C$5:$C$1004,"Open"))</f>
        <v/>
      </c>
      <c r="L102" s="12">
        <f>IF($A102="","",$I102*100)</f>
        <v/>
      </c>
      <c r="M102" s="19">
        <f>IFERROR($L102/$B102,0)</f>
        <v/>
      </c>
      <c r="N102" s="14" t="n"/>
    </row>
    <row r="103">
      <c r="A103" s="12" t="n"/>
      <c r="B103" s="14" t="n"/>
      <c r="C103" s="17" t="n"/>
      <c r="D103" s="17" t="n"/>
      <c r="E103" s="11">
        <f>IF($A103="","",IFERROR($B103*$C103,0))</f>
        <v/>
      </c>
      <c r="F103" s="11">
        <f>IF($A103="","",IFERROR($B103*$D103,0))</f>
        <v/>
      </c>
      <c r="G103" s="11">
        <f>IF($A103="","",$E103-$F103)</f>
        <v/>
      </c>
      <c r="H103" s="19">
        <f>IF($A103="","",IFERROR($E103/SUM($E$5:$E$154),0))</f>
        <v/>
      </c>
      <c r="I103" s="12">
        <f>IF($A103="","",SUMIFS('Trade Log'!$M$5:$M$1004,'Trade Log'!$G$5:$G$1004,$A103,'Trade Log'!$B$5:$B$1004,"Covered Call",'Trade Log'!$C$5:$C$1004,"Open"))</f>
        <v/>
      </c>
      <c r="J103" s="12">
        <f>IF($A103="","",SUMIFS('Trade Log'!$M$5:$M$1004,'Trade Log'!$G$5:$G$1004,$A103,'Trade Log'!$B$5:$B$1004,"Cash Secured Put",'Trade Log'!$C$5:$C$1004,"Open"))</f>
        <v/>
      </c>
      <c r="K103" s="11">
        <f>IF($A103="","",SUMIFS('Trade Log'!$T$5:$T$1004,'Trade Log'!$G$5:$G$1004,$A103,'Trade Log'!$B$5:$B$1004,"Cash Secured Put",'Trade Log'!$C$5:$C$1004,"Open"))</f>
        <v/>
      </c>
      <c r="L103" s="12">
        <f>IF($A103="","",$I103*100)</f>
        <v/>
      </c>
      <c r="M103" s="19">
        <f>IFERROR($L103/$B103,0)</f>
        <v/>
      </c>
      <c r="N103" s="14" t="n"/>
    </row>
    <row r="104">
      <c r="A104" s="12" t="n"/>
      <c r="B104" s="14" t="n"/>
      <c r="C104" s="17" t="n"/>
      <c r="D104" s="17" t="n"/>
      <c r="E104" s="11">
        <f>IF($A104="","",IFERROR($B104*$C104,0))</f>
        <v/>
      </c>
      <c r="F104" s="11">
        <f>IF($A104="","",IFERROR($B104*$D104,0))</f>
        <v/>
      </c>
      <c r="G104" s="11">
        <f>IF($A104="","",$E104-$F104)</f>
        <v/>
      </c>
      <c r="H104" s="19">
        <f>IF($A104="","",IFERROR($E104/SUM($E$5:$E$154),0))</f>
        <v/>
      </c>
      <c r="I104" s="12">
        <f>IF($A104="","",SUMIFS('Trade Log'!$M$5:$M$1004,'Trade Log'!$G$5:$G$1004,$A104,'Trade Log'!$B$5:$B$1004,"Covered Call",'Trade Log'!$C$5:$C$1004,"Open"))</f>
        <v/>
      </c>
      <c r="J104" s="12">
        <f>IF($A104="","",SUMIFS('Trade Log'!$M$5:$M$1004,'Trade Log'!$G$5:$G$1004,$A104,'Trade Log'!$B$5:$B$1004,"Cash Secured Put",'Trade Log'!$C$5:$C$1004,"Open"))</f>
        <v/>
      </c>
      <c r="K104" s="11">
        <f>IF($A104="","",SUMIFS('Trade Log'!$T$5:$T$1004,'Trade Log'!$G$5:$G$1004,$A104,'Trade Log'!$B$5:$B$1004,"Cash Secured Put",'Trade Log'!$C$5:$C$1004,"Open"))</f>
        <v/>
      </c>
      <c r="L104" s="12">
        <f>IF($A104="","",$I104*100)</f>
        <v/>
      </c>
      <c r="M104" s="19">
        <f>IFERROR($L104/$B104,0)</f>
        <v/>
      </c>
      <c r="N104" s="14" t="n"/>
    </row>
    <row r="105">
      <c r="A105" s="12" t="n"/>
      <c r="B105" s="14" t="n"/>
      <c r="C105" s="17" t="n"/>
      <c r="D105" s="17" t="n"/>
      <c r="E105" s="11">
        <f>IF($A105="","",IFERROR($B105*$C105,0))</f>
        <v/>
      </c>
      <c r="F105" s="11">
        <f>IF($A105="","",IFERROR($B105*$D105,0))</f>
        <v/>
      </c>
      <c r="G105" s="11">
        <f>IF($A105="","",$E105-$F105)</f>
        <v/>
      </c>
      <c r="H105" s="19">
        <f>IF($A105="","",IFERROR($E105/SUM($E$5:$E$154),0))</f>
        <v/>
      </c>
      <c r="I105" s="12">
        <f>IF($A105="","",SUMIFS('Trade Log'!$M$5:$M$1004,'Trade Log'!$G$5:$G$1004,$A105,'Trade Log'!$B$5:$B$1004,"Covered Call",'Trade Log'!$C$5:$C$1004,"Open"))</f>
        <v/>
      </c>
      <c r="J105" s="12">
        <f>IF($A105="","",SUMIFS('Trade Log'!$M$5:$M$1004,'Trade Log'!$G$5:$G$1004,$A105,'Trade Log'!$B$5:$B$1004,"Cash Secured Put",'Trade Log'!$C$5:$C$1004,"Open"))</f>
        <v/>
      </c>
      <c r="K105" s="11">
        <f>IF($A105="","",SUMIFS('Trade Log'!$T$5:$T$1004,'Trade Log'!$G$5:$G$1004,$A105,'Trade Log'!$B$5:$B$1004,"Cash Secured Put",'Trade Log'!$C$5:$C$1004,"Open"))</f>
        <v/>
      </c>
      <c r="L105" s="12">
        <f>IF($A105="","",$I105*100)</f>
        <v/>
      </c>
      <c r="M105" s="19">
        <f>IFERROR($L105/$B105,0)</f>
        <v/>
      </c>
      <c r="N105" s="14" t="n"/>
    </row>
    <row r="106">
      <c r="A106" s="12" t="n"/>
      <c r="B106" s="14" t="n"/>
      <c r="C106" s="17" t="n"/>
      <c r="D106" s="17" t="n"/>
      <c r="E106" s="11">
        <f>IF($A106="","",IFERROR($B106*$C106,0))</f>
        <v/>
      </c>
      <c r="F106" s="11">
        <f>IF($A106="","",IFERROR($B106*$D106,0))</f>
        <v/>
      </c>
      <c r="G106" s="11">
        <f>IF($A106="","",$E106-$F106)</f>
        <v/>
      </c>
      <c r="H106" s="19">
        <f>IF($A106="","",IFERROR($E106/SUM($E$5:$E$154),0))</f>
        <v/>
      </c>
      <c r="I106" s="12">
        <f>IF($A106="","",SUMIFS('Trade Log'!$M$5:$M$1004,'Trade Log'!$G$5:$G$1004,$A106,'Trade Log'!$B$5:$B$1004,"Covered Call",'Trade Log'!$C$5:$C$1004,"Open"))</f>
        <v/>
      </c>
      <c r="J106" s="12">
        <f>IF($A106="","",SUMIFS('Trade Log'!$M$5:$M$1004,'Trade Log'!$G$5:$G$1004,$A106,'Trade Log'!$B$5:$B$1004,"Cash Secured Put",'Trade Log'!$C$5:$C$1004,"Open"))</f>
        <v/>
      </c>
      <c r="K106" s="11">
        <f>IF($A106="","",SUMIFS('Trade Log'!$T$5:$T$1004,'Trade Log'!$G$5:$G$1004,$A106,'Trade Log'!$B$5:$B$1004,"Cash Secured Put",'Trade Log'!$C$5:$C$1004,"Open"))</f>
        <v/>
      </c>
      <c r="L106" s="12">
        <f>IF($A106="","",$I106*100)</f>
        <v/>
      </c>
      <c r="M106" s="19">
        <f>IFERROR($L106/$B106,0)</f>
        <v/>
      </c>
      <c r="N106" s="14" t="n"/>
    </row>
    <row r="107">
      <c r="A107" s="12" t="n"/>
      <c r="B107" s="14" t="n"/>
      <c r="C107" s="17" t="n"/>
      <c r="D107" s="17" t="n"/>
      <c r="E107" s="11">
        <f>IF($A107="","",IFERROR($B107*$C107,0))</f>
        <v/>
      </c>
      <c r="F107" s="11">
        <f>IF($A107="","",IFERROR($B107*$D107,0))</f>
        <v/>
      </c>
      <c r="G107" s="11">
        <f>IF($A107="","",$E107-$F107)</f>
        <v/>
      </c>
      <c r="H107" s="19">
        <f>IF($A107="","",IFERROR($E107/SUM($E$5:$E$154),0))</f>
        <v/>
      </c>
      <c r="I107" s="12">
        <f>IF($A107="","",SUMIFS('Trade Log'!$M$5:$M$1004,'Trade Log'!$G$5:$G$1004,$A107,'Trade Log'!$B$5:$B$1004,"Covered Call",'Trade Log'!$C$5:$C$1004,"Open"))</f>
        <v/>
      </c>
      <c r="J107" s="12">
        <f>IF($A107="","",SUMIFS('Trade Log'!$M$5:$M$1004,'Trade Log'!$G$5:$G$1004,$A107,'Trade Log'!$B$5:$B$1004,"Cash Secured Put",'Trade Log'!$C$5:$C$1004,"Open"))</f>
        <v/>
      </c>
      <c r="K107" s="11">
        <f>IF($A107="","",SUMIFS('Trade Log'!$T$5:$T$1004,'Trade Log'!$G$5:$G$1004,$A107,'Trade Log'!$B$5:$B$1004,"Cash Secured Put",'Trade Log'!$C$5:$C$1004,"Open"))</f>
        <v/>
      </c>
      <c r="L107" s="12">
        <f>IF($A107="","",$I107*100)</f>
        <v/>
      </c>
      <c r="M107" s="19">
        <f>IFERROR($L107/$B107,0)</f>
        <v/>
      </c>
      <c r="N107" s="14" t="n"/>
    </row>
    <row r="108">
      <c r="A108" s="12" t="n"/>
      <c r="B108" s="14" t="n"/>
      <c r="C108" s="17" t="n"/>
      <c r="D108" s="17" t="n"/>
      <c r="E108" s="11">
        <f>IF($A108="","",IFERROR($B108*$C108,0))</f>
        <v/>
      </c>
      <c r="F108" s="11">
        <f>IF($A108="","",IFERROR($B108*$D108,0))</f>
        <v/>
      </c>
      <c r="G108" s="11">
        <f>IF($A108="","",$E108-$F108)</f>
        <v/>
      </c>
      <c r="H108" s="19">
        <f>IF($A108="","",IFERROR($E108/SUM($E$5:$E$154),0))</f>
        <v/>
      </c>
      <c r="I108" s="12">
        <f>IF($A108="","",SUMIFS('Trade Log'!$M$5:$M$1004,'Trade Log'!$G$5:$G$1004,$A108,'Trade Log'!$B$5:$B$1004,"Covered Call",'Trade Log'!$C$5:$C$1004,"Open"))</f>
        <v/>
      </c>
      <c r="J108" s="12">
        <f>IF($A108="","",SUMIFS('Trade Log'!$M$5:$M$1004,'Trade Log'!$G$5:$G$1004,$A108,'Trade Log'!$B$5:$B$1004,"Cash Secured Put",'Trade Log'!$C$5:$C$1004,"Open"))</f>
        <v/>
      </c>
      <c r="K108" s="11">
        <f>IF($A108="","",SUMIFS('Trade Log'!$T$5:$T$1004,'Trade Log'!$G$5:$G$1004,$A108,'Trade Log'!$B$5:$B$1004,"Cash Secured Put",'Trade Log'!$C$5:$C$1004,"Open"))</f>
        <v/>
      </c>
      <c r="L108" s="12">
        <f>IF($A108="","",$I108*100)</f>
        <v/>
      </c>
      <c r="M108" s="19">
        <f>IFERROR($L108/$B108,0)</f>
        <v/>
      </c>
      <c r="N108" s="14" t="n"/>
    </row>
    <row r="109">
      <c r="A109" s="12" t="n"/>
      <c r="B109" s="14" t="n"/>
      <c r="C109" s="17" t="n"/>
      <c r="D109" s="17" t="n"/>
      <c r="E109" s="11">
        <f>IF($A109="","",IFERROR($B109*$C109,0))</f>
        <v/>
      </c>
      <c r="F109" s="11">
        <f>IF($A109="","",IFERROR($B109*$D109,0))</f>
        <v/>
      </c>
      <c r="G109" s="11">
        <f>IF($A109="","",$E109-$F109)</f>
        <v/>
      </c>
      <c r="H109" s="19">
        <f>IF($A109="","",IFERROR($E109/SUM($E$5:$E$154),0))</f>
        <v/>
      </c>
      <c r="I109" s="12">
        <f>IF($A109="","",SUMIFS('Trade Log'!$M$5:$M$1004,'Trade Log'!$G$5:$G$1004,$A109,'Trade Log'!$B$5:$B$1004,"Covered Call",'Trade Log'!$C$5:$C$1004,"Open"))</f>
        <v/>
      </c>
      <c r="J109" s="12">
        <f>IF($A109="","",SUMIFS('Trade Log'!$M$5:$M$1004,'Trade Log'!$G$5:$G$1004,$A109,'Trade Log'!$B$5:$B$1004,"Cash Secured Put",'Trade Log'!$C$5:$C$1004,"Open"))</f>
        <v/>
      </c>
      <c r="K109" s="11">
        <f>IF($A109="","",SUMIFS('Trade Log'!$T$5:$T$1004,'Trade Log'!$G$5:$G$1004,$A109,'Trade Log'!$B$5:$B$1004,"Cash Secured Put",'Trade Log'!$C$5:$C$1004,"Open"))</f>
        <v/>
      </c>
      <c r="L109" s="12">
        <f>IF($A109="","",$I109*100)</f>
        <v/>
      </c>
      <c r="M109" s="19">
        <f>IFERROR($L109/$B109,0)</f>
        <v/>
      </c>
      <c r="N109" s="14" t="n"/>
    </row>
    <row r="110">
      <c r="A110" s="12" t="n"/>
      <c r="B110" s="14" t="n"/>
      <c r="C110" s="17" t="n"/>
      <c r="D110" s="17" t="n"/>
      <c r="E110" s="11">
        <f>IF($A110="","",IFERROR($B110*$C110,0))</f>
        <v/>
      </c>
      <c r="F110" s="11">
        <f>IF($A110="","",IFERROR($B110*$D110,0))</f>
        <v/>
      </c>
      <c r="G110" s="11">
        <f>IF($A110="","",$E110-$F110)</f>
        <v/>
      </c>
      <c r="H110" s="19">
        <f>IF($A110="","",IFERROR($E110/SUM($E$5:$E$154),0))</f>
        <v/>
      </c>
      <c r="I110" s="12">
        <f>IF($A110="","",SUMIFS('Trade Log'!$M$5:$M$1004,'Trade Log'!$G$5:$G$1004,$A110,'Trade Log'!$B$5:$B$1004,"Covered Call",'Trade Log'!$C$5:$C$1004,"Open"))</f>
        <v/>
      </c>
      <c r="J110" s="12">
        <f>IF($A110="","",SUMIFS('Trade Log'!$M$5:$M$1004,'Trade Log'!$G$5:$G$1004,$A110,'Trade Log'!$B$5:$B$1004,"Cash Secured Put",'Trade Log'!$C$5:$C$1004,"Open"))</f>
        <v/>
      </c>
      <c r="K110" s="11">
        <f>IF($A110="","",SUMIFS('Trade Log'!$T$5:$T$1004,'Trade Log'!$G$5:$G$1004,$A110,'Trade Log'!$B$5:$B$1004,"Cash Secured Put",'Trade Log'!$C$5:$C$1004,"Open"))</f>
        <v/>
      </c>
      <c r="L110" s="12">
        <f>IF($A110="","",$I110*100)</f>
        <v/>
      </c>
      <c r="M110" s="19">
        <f>IFERROR($L110/$B110,0)</f>
        <v/>
      </c>
      <c r="N110" s="14" t="n"/>
    </row>
    <row r="111">
      <c r="A111" s="12" t="n"/>
      <c r="B111" s="14" t="n"/>
      <c r="C111" s="17" t="n"/>
      <c r="D111" s="17" t="n"/>
      <c r="E111" s="11">
        <f>IF($A111="","",IFERROR($B111*$C111,0))</f>
        <v/>
      </c>
      <c r="F111" s="11">
        <f>IF($A111="","",IFERROR($B111*$D111,0))</f>
        <v/>
      </c>
      <c r="G111" s="11">
        <f>IF($A111="","",$E111-$F111)</f>
        <v/>
      </c>
      <c r="H111" s="19">
        <f>IF($A111="","",IFERROR($E111/SUM($E$5:$E$154),0))</f>
        <v/>
      </c>
      <c r="I111" s="12">
        <f>IF($A111="","",SUMIFS('Trade Log'!$M$5:$M$1004,'Trade Log'!$G$5:$G$1004,$A111,'Trade Log'!$B$5:$B$1004,"Covered Call",'Trade Log'!$C$5:$C$1004,"Open"))</f>
        <v/>
      </c>
      <c r="J111" s="12">
        <f>IF($A111="","",SUMIFS('Trade Log'!$M$5:$M$1004,'Trade Log'!$G$5:$G$1004,$A111,'Trade Log'!$B$5:$B$1004,"Cash Secured Put",'Trade Log'!$C$5:$C$1004,"Open"))</f>
        <v/>
      </c>
      <c r="K111" s="11">
        <f>IF($A111="","",SUMIFS('Trade Log'!$T$5:$T$1004,'Trade Log'!$G$5:$G$1004,$A111,'Trade Log'!$B$5:$B$1004,"Cash Secured Put",'Trade Log'!$C$5:$C$1004,"Open"))</f>
        <v/>
      </c>
      <c r="L111" s="12">
        <f>IF($A111="","",$I111*100)</f>
        <v/>
      </c>
      <c r="M111" s="19">
        <f>IFERROR($L111/$B111,0)</f>
        <v/>
      </c>
      <c r="N111" s="14" t="n"/>
    </row>
    <row r="112">
      <c r="A112" s="12" t="n"/>
      <c r="B112" s="14" t="n"/>
      <c r="C112" s="17" t="n"/>
      <c r="D112" s="17" t="n"/>
      <c r="E112" s="11">
        <f>IF($A112="","",IFERROR($B112*$C112,0))</f>
        <v/>
      </c>
      <c r="F112" s="11">
        <f>IF($A112="","",IFERROR($B112*$D112,0))</f>
        <v/>
      </c>
      <c r="G112" s="11">
        <f>IF($A112="","",$E112-$F112)</f>
        <v/>
      </c>
      <c r="H112" s="19">
        <f>IF($A112="","",IFERROR($E112/SUM($E$5:$E$154),0))</f>
        <v/>
      </c>
      <c r="I112" s="12">
        <f>IF($A112="","",SUMIFS('Trade Log'!$M$5:$M$1004,'Trade Log'!$G$5:$G$1004,$A112,'Trade Log'!$B$5:$B$1004,"Covered Call",'Trade Log'!$C$5:$C$1004,"Open"))</f>
        <v/>
      </c>
      <c r="J112" s="12">
        <f>IF($A112="","",SUMIFS('Trade Log'!$M$5:$M$1004,'Trade Log'!$G$5:$G$1004,$A112,'Trade Log'!$B$5:$B$1004,"Cash Secured Put",'Trade Log'!$C$5:$C$1004,"Open"))</f>
        <v/>
      </c>
      <c r="K112" s="11">
        <f>IF($A112="","",SUMIFS('Trade Log'!$T$5:$T$1004,'Trade Log'!$G$5:$G$1004,$A112,'Trade Log'!$B$5:$B$1004,"Cash Secured Put",'Trade Log'!$C$5:$C$1004,"Open"))</f>
        <v/>
      </c>
      <c r="L112" s="12">
        <f>IF($A112="","",$I112*100)</f>
        <v/>
      </c>
      <c r="M112" s="19">
        <f>IFERROR($L112/$B112,0)</f>
        <v/>
      </c>
      <c r="N112" s="14" t="n"/>
    </row>
    <row r="113">
      <c r="A113" s="12" t="n"/>
      <c r="B113" s="14" t="n"/>
      <c r="C113" s="17" t="n"/>
      <c r="D113" s="17" t="n"/>
      <c r="E113" s="11">
        <f>IF($A113="","",IFERROR($B113*$C113,0))</f>
        <v/>
      </c>
      <c r="F113" s="11">
        <f>IF($A113="","",IFERROR($B113*$D113,0))</f>
        <v/>
      </c>
      <c r="G113" s="11">
        <f>IF($A113="","",$E113-$F113)</f>
        <v/>
      </c>
      <c r="H113" s="19">
        <f>IF($A113="","",IFERROR($E113/SUM($E$5:$E$154),0))</f>
        <v/>
      </c>
      <c r="I113" s="12">
        <f>IF($A113="","",SUMIFS('Trade Log'!$M$5:$M$1004,'Trade Log'!$G$5:$G$1004,$A113,'Trade Log'!$B$5:$B$1004,"Covered Call",'Trade Log'!$C$5:$C$1004,"Open"))</f>
        <v/>
      </c>
      <c r="J113" s="12">
        <f>IF($A113="","",SUMIFS('Trade Log'!$M$5:$M$1004,'Trade Log'!$G$5:$G$1004,$A113,'Trade Log'!$B$5:$B$1004,"Cash Secured Put",'Trade Log'!$C$5:$C$1004,"Open"))</f>
        <v/>
      </c>
      <c r="K113" s="11">
        <f>IF($A113="","",SUMIFS('Trade Log'!$T$5:$T$1004,'Trade Log'!$G$5:$G$1004,$A113,'Trade Log'!$B$5:$B$1004,"Cash Secured Put",'Trade Log'!$C$5:$C$1004,"Open"))</f>
        <v/>
      </c>
      <c r="L113" s="12">
        <f>IF($A113="","",$I113*100)</f>
        <v/>
      </c>
      <c r="M113" s="19">
        <f>IFERROR($L113/$B113,0)</f>
        <v/>
      </c>
      <c r="N113" s="14" t="n"/>
    </row>
    <row r="114">
      <c r="A114" s="12" t="n"/>
      <c r="B114" s="14" t="n"/>
      <c r="C114" s="17" t="n"/>
      <c r="D114" s="17" t="n"/>
      <c r="E114" s="11">
        <f>IF($A114="","",IFERROR($B114*$C114,0))</f>
        <v/>
      </c>
      <c r="F114" s="11">
        <f>IF($A114="","",IFERROR($B114*$D114,0))</f>
        <v/>
      </c>
      <c r="G114" s="11">
        <f>IF($A114="","",$E114-$F114)</f>
        <v/>
      </c>
      <c r="H114" s="19">
        <f>IF($A114="","",IFERROR($E114/SUM($E$5:$E$154),0))</f>
        <v/>
      </c>
      <c r="I114" s="12">
        <f>IF($A114="","",SUMIFS('Trade Log'!$M$5:$M$1004,'Trade Log'!$G$5:$G$1004,$A114,'Trade Log'!$B$5:$B$1004,"Covered Call",'Trade Log'!$C$5:$C$1004,"Open"))</f>
        <v/>
      </c>
      <c r="J114" s="12">
        <f>IF($A114="","",SUMIFS('Trade Log'!$M$5:$M$1004,'Trade Log'!$G$5:$G$1004,$A114,'Trade Log'!$B$5:$B$1004,"Cash Secured Put",'Trade Log'!$C$5:$C$1004,"Open"))</f>
        <v/>
      </c>
      <c r="K114" s="11">
        <f>IF($A114="","",SUMIFS('Trade Log'!$T$5:$T$1004,'Trade Log'!$G$5:$G$1004,$A114,'Trade Log'!$B$5:$B$1004,"Cash Secured Put",'Trade Log'!$C$5:$C$1004,"Open"))</f>
        <v/>
      </c>
      <c r="L114" s="12">
        <f>IF($A114="","",$I114*100)</f>
        <v/>
      </c>
      <c r="M114" s="19">
        <f>IFERROR($L114/$B114,0)</f>
        <v/>
      </c>
      <c r="N114" s="14" t="n"/>
    </row>
    <row r="115">
      <c r="A115" s="12" t="n"/>
      <c r="B115" s="14" t="n"/>
      <c r="C115" s="17" t="n"/>
      <c r="D115" s="17" t="n"/>
      <c r="E115" s="11">
        <f>IF($A115="","",IFERROR($B115*$C115,0))</f>
        <v/>
      </c>
      <c r="F115" s="11">
        <f>IF($A115="","",IFERROR($B115*$D115,0))</f>
        <v/>
      </c>
      <c r="G115" s="11">
        <f>IF($A115="","",$E115-$F115)</f>
        <v/>
      </c>
      <c r="H115" s="19">
        <f>IF($A115="","",IFERROR($E115/SUM($E$5:$E$154),0))</f>
        <v/>
      </c>
      <c r="I115" s="12">
        <f>IF($A115="","",SUMIFS('Trade Log'!$M$5:$M$1004,'Trade Log'!$G$5:$G$1004,$A115,'Trade Log'!$B$5:$B$1004,"Covered Call",'Trade Log'!$C$5:$C$1004,"Open"))</f>
        <v/>
      </c>
      <c r="J115" s="12">
        <f>IF($A115="","",SUMIFS('Trade Log'!$M$5:$M$1004,'Trade Log'!$G$5:$G$1004,$A115,'Trade Log'!$B$5:$B$1004,"Cash Secured Put",'Trade Log'!$C$5:$C$1004,"Open"))</f>
        <v/>
      </c>
      <c r="K115" s="11">
        <f>IF($A115="","",SUMIFS('Trade Log'!$T$5:$T$1004,'Trade Log'!$G$5:$G$1004,$A115,'Trade Log'!$B$5:$B$1004,"Cash Secured Put",'Trade Log'!$C$5:$C$1004,"Open"))</f>
        <v/>
      </c>
      <c r="L115" s="12">
        <f>IF($A115="","",$I115*100)</f>
        <v/>
      </c>
      <c r="M115" s="19">
        <f>IFERROR($L115/$B115,0)</f>
        <v/>
      </c>
      <c r="N115" s="14" t="n"/>
    </row>
    <row r="116">
      <c r="A116" s="12" t="n"/>
      <c r="B116" s="14" t="n"/>
      <c r="C116" s="17" t="n"/>
      <c r="D116" s="17" t="n"/>
      <c r="E116" s="11">
        <f>IF($A116="","",IFERROR($B116*$C116,0))</f>
        <v/>
      </c>
      <c r="F116" s="11">
        <f>IF($A116="","",IFERROR($B116*$D116,0))</f>
        <v/>
      </c>
      <c r="G116" s="11">
        <f>IF($A116="","",$E116-$F116)</f>
        <v/>
      </c>
      <c r="H116" s="19">
        <f>IF($A116="","",IFERROR($E116/SUM($E$5:$E$154),0))</f>
        <v/>
      </c>
      <c r="I116" s="12">
        <f>IF($A116="","",SUMIFS('Trade Log'!$M$5:$M$1004,'Trade Log'!$G$5:$G$1004,$A116,'Trade Log'!$B$5:$B$1004,"Covered Call",'Trade Log'!$C$5:$C$1004,"Open"))</f>
        <v/>
      </c>
      <c r="J116" s="12">
        <f>IF($A116="","",SUMIFS('Trade Log'!$M$5:$M$1004,'Trade Log'!$G$5:$G$1004,$A116,'Trade Log'!$B$5:$B$1004,"Cash Secured Put",'Trade Log'!$C$5:$C$1004,"Open"))</f>
        <v/>
      </c>
      <c r="K116" s="11">
        <f>IF($A116="","",SUMIFS('Trade Log'!$T$5:$T$1004,'Trade Log'!$G$5:$G$1004,$A116,'Trade Log'!$B$5:$B$1004,"Cash Secured Put",'Trade Log'!$C$5:$C$1004,"Open"))</f>
        <v/>
      </c>
      <c r="L116" s="12">
        <f>IF($A116="","",$I116*100)</f>
        <v/>
      </c>
      <c r="M116" s="19">
        <f>IFERROR($L116/$B116,0)</f>
        <v/>
      </c>
      <c r="N116" s="14" t="n"/>
    </row>
    <row r="117">
      <c r="A117" s="12" t="n"/>
      <c r="B117" s="14" t="n"/>
      <c r="C117" s="17" t="n"/>
      <c r="D117" s="17" t="n"/>
      <c r="E117" s="11">
        <f>IF($A117="","",IFERROR($B117*$C117,0))</f>
        <v/>
      </c>
      <c r="F117" s="11">
        <f>IF($A117="","",IFERROR($B117*$D117,0))</f>
        <v/>
      </c>
      <c r="G117" s="11">
        <f>IF($A117="","",$E117-$F117)</f>
        <v/>
      </c>
      <c r="H117" s="19">
        <f>IF($A117="","",IFERROR($E117/SUM($E$5:$E$154),0))</f>
        <v/>
      </c>
      <c r="I117" s="12">
        <f>IF($A117="","",SUMIFS('Trade Log'!$M$5:$M$1004,'Trade Log'!$G$5:$G$1004,$A117,'Trade Log'!$B$5:$B$1004,"Covered Call",'Trade Log'!$C$5:$C$1004,"Open"))</f>
        <v/>
      </c>
      <c r="J117" s="12">
        <f>IF($A117="","",SUMIFS('Trade Log'!$M$5:$M$1004,'Trade Log'!$G$5:$G$1004,$A117,'Trade Log'!$B$5:$B$1004,"Cash Secured Put",'Trade Log'!$C$5:$C$1004,"Open"))</f>
        <v/>
      </c>
      <c r="K117" s="11">
        <f>IF($A117="","",SUMIFS('Trade Log'!$T$5:$T$1004,'Trade Log'!$G$5:$G$1004,$A117,'Trade Log'!$B$5:$B$1004,"Cash Secured Put",'Trade Log'!$C$5:$C$1004,"Open"))</f>
        <v/>
      </c>
      <c r="L117" s="12">
        <f>IF($A117="","",$I117*100)</f>
        <v/>
      </c>
      <c r="M117" s="19">
        <f>IFERROR($L117/$B117,0)</f>
        <v/>
      </c>
      <c r="N117" s="14" t="n"/>
    </row>
    <row r="118">
      <c r="A118" s="12" t="n"/>
      <c r="B118" s="14" t="n"/>
      <c r="C118" s="17" t="n"/>
      <c r="D118" s="17" t="n"/>
      <c r="E118" s="11">
        <f>IF($A118="","",IFERROR($B118*$C118,0))</f>
        <v/>
      </c>
      <c r="F118" s="11">
        <f>IF($A118="","",IFERROR($B118*$D118,0))</f>
        <v/>
      </c>
      <c r="G118" s="11">
        <f>IF($A118="","",$E118-$F118)</f>
        <v/>
      </c>
      <c r="H118" s="19">
        <f>IF($A118="","",IFERROR($E118/SUM($E$5:$E$154),0))</f>
        <v/>
      </c>
      <c r="I118" s="12">
        <f>IF($A118="","",SUMIFS('Trade Log'!$M$5:$M$1004,'Trade Log'!$G$5:$G$1004,$A118,'Trade Log'!$B$5:$B$1004,"Covered Call",'Trade Log'!$C$5:$C$1004,"Open"))</f>
        <v/>
      </c>
      <c r="J118" s="12">
        <f>IF($A118="","",SUMIFS('Trade Log'!$M$5:$M$1004,'Trade Log'!$G$5:$G$1004,$A118,'Trade Log'!$B$5:$B$1004,"Cash Secured Put",'Trade Log'!$C$5:$C$1004,"Open"))</f>
        <v/>
      </c>
      <c r="K118" s="11">
        <f>IF($A118="","",SUMIFS('Trade Log'!$T$5:$T$1004,'Trade Log'!$G$5:$G$1004,$A118,'Trade Log'!$B$5:$B$1004,"Cash Secured Put",'Trade Log'!$C$5:$C$1004,"Open"))</f>
        <v/>
      </c>
      <c r="L118" s="12">
        <f>IF($A118="","",$I118*100)</f>
        <v/>
      </c>
      <c r="M118" s="19">
        <f>IFERROR($L118/$B118,0)</f>
        <v/>
      </c>
      <c r="N118" s="14" t="n"/>
    </row>
    <row r="119">
      <c r="A119" s="12" t="n"/>
      <c r="B119" s="14" t="n"/>
      <c r="C119" s="17" t="n"/>
      <c r="D119" s="17" t="n"/>
      <c r="E119" s="11">
        <f>IF($A119="","",IFERROR($B119*$C119,0))</f>
        <v/>
      </c>
      <c r="F119" s="11">
        <f>IF($A119="","",IFERROR($B119*$D119,0))</f>
        <v/>
      </c>
      <c r="G119" s="11">
        <f>IF($A119="","",$E119-$F119)</f>
        <v/>
      </c>
      <c r="H119" s="19">
        <f>IF($A119="","",IFERROR($E119/SUM($E$5:$E$154),0))</f>
        <v/>
      </c>
      <c r="I119" s="12">
        <f>IF($A119="","",SUMIFS('Trade Log'!$M$5:$M$1004,'Trade Log'!$G$5:$G$1004,$A119,'Trade Log'!$B$5:$B$1004,"Covered Call",'Trade Log'!$C$5:$C$1004,"Open"))</f>
        <v/>
      </c>
      <c r="J119" s="12">
        <f>IF($A119="","",SUMIFS('Trade Log'!$M$5:$M$1004,'Trade Log'!$G$5:$G$1004,$A119,'Trade Log'!$B$5:$B$1004,"Cash Secured Put",'Trade Log'!$C$5:$C$1004,"Open"))</f>
        <v/>
      </c>
      <c r="K119" s="11">
        <f>IF($A119="","",SUMIFS('Trade Log'!$T$5:$T$1004,'Trade Log'!$G$5:$G$1004,$A119,'Trade Log'!$B$5:$B$1004,"Cash Secured Put",'Trade Log'!$C$5:$C$1004,"Open"))</f>
        <v/>
      </c>
      <c r="L119" s="12">
        <f>IF($A119="","",$I119*100)</f>
        <v/>
      </c>
      <c r="M119" s="19">
        <f>IFERROR($L119/$B119,0)</f>
        <v/>
      </c>
      <c r="N119" s="14" t="n"/>
    </row>
    <row r="120">
      <c r="A120" s="12" t="n"/>
      <c r="B120" s="14" t="n"/>
      <c r="C120" s="17" t="n"/>
      <c r="D120" s="17" t="n"/>
      <c r="E120" s="11">
        <f>IF($A120="","",IFERROR($B120*$C120,0))</f>
        <v/>
      </c>
      <c r="F120" s="11">
        <f>IF($A120="","",IFERROR($B120*$D120,0))</f>
        <v/>
      </c>
      <c r="G120" s="11">
        <f>IF($A120="","",$E120-$F120)</f>
        <v/>
      </c>
      <c r="H120" s="19">
        <f>IF($A120="","",IFERROR($E120/SUM($E$5:$E$154),0))</f>
        <v/>
      </c>
      <c r="I120" s="12">
        <f>IF($A120="","",SUMIFS('Trade Log'!$M$5:$M$1004,'Trade Log'!$G$5:$G$1004,$A120,'Trade Log'!$B$5:$B$1004,"Covered Call",'Trade Log'!$C$5:$C$1004,"Open"))</f>
        <v/>
      </c>
      <c r="J120" s="12">
        <f>IF($A120="","",SUMIFS('Trade Log'!$M$5:$M$1004,'Trade Log'!$G$5:$G$1004,$A120,'Trade Log'!$B$5:$B$1004,"Cash Secured Put",'Trade Log'!$C$5:$C$1004,"Open"))</f>
        <v/>
      </c>
      <c r="K120" s="11">
        <f>IF($A120="","",SUMIFS('Trade Log'!$T$5:$T$1004,'Trade Log'!$G$5:$G$1004,$A120,'Trade Log'!$B$5:$B$1004,"Cash Secured Put",'Trade Log'!$C$5:$C$1004,"Open"))</f>
        <v/>
      </c>
      <c r="L120" s="12">
        <f>IF($A120="","",$I120*100)</f>
        <v/>
      </c>
      <c r="M120" s="19">
        <f>IFERROR($L120/$B120,0)</f>
        <v/>
      </c>
      <c r="N120" s="14" t="n"/>
    </row>
    <row r="121">
      <c r="A121" s="12" t="n"/>
      <c r="B121" s="14" t="n"/>
      <c r="C121" s="17" t="n"/>
      <c r="D121" s="17" t="n"/>
      <c r="E121" s="11">
        <f>IF($A121="","",IFERROR($B121*$C121,0))</f>
        <v/>
      </c>
      <c r="F121" s="11">
        <f>IF($A121="","",IFERROR($B121*$D121,0))</f>
        <v/>
      </c>
      <c r="G121" s="11">
        <f>IF($A121="","",$E121-$F121)</f>
        <v/>
      </c>
      <c r="H121" s="19">
        <f>IF($A121="","",IFERROR($E121/SUM($E$5:$E$154),0))</f>
        <v/>
      </c>
      <c r="I121" s="12">
        <f>IF($A121="","",SUMIFS('Trade Log'!$M$5:$M$1004,'Trade Log'!$G$5:$G$1004,$A121,'Trade Log'!$B$5:$B$1004,"Covered Call",'Trade Log'!$C$5:$C$1004,"Open"))</f>
        <v/>
      </c>
      <c r="J121" s="12">
        <f>IF($A121="","",SUMIFS('Trade Log'!$M$5:$M$1004,'Trade Log'!$G$5:$G$1004,$A121,'Trade Log'!$B$5:$B$1004,"Cash Secured Put",'Trade Log'!$C$5:$C$1004,"Open"))</f>
        <v/>
      </c>
      <c r="K121" s="11">
        <f>IF($A121="","",SUMIFS('Trade Log'!$T$5:$T$1004,'Trade Log'!$G$5:$G$1004,$A121,'Trade Log'!$B$5:$B$1004,"Cash Secured Put",'Trade Log'!$C$5:$C$1004,"Open"))</f>
        <v/>
      </c>
      <c r="L121" s="12">
        <f>IF($A121="","",$I121*100)</f>
        <v/>
      </c>
      <c r="M121" s="19">
        <f>IFERROR($L121/$B121,0)</f>
        <v/>
      </c>
      <c r="N121" s="14" t="n"/>
    </row>
    <row r="122">
      <c r="A122" s="12" t="n"/>
      <c r="B122" s="14" t="n"/>
      <c r="C122" s="17" t="n"/>
      <c r="D122" s="17" t="n"/>
      <c r="E122" s="11">
        <f>IF($A122="","",IFERROR($B122*$C122,0))</f>
        <v/>
      </c>
      <c r="F122" s="11">
        <f>IF($A122="","",IFERROR($B122*$D122,0))</f>
        <v/>
      </c>
      <c r="G122" s="11">
        <f>IF($A122="","",$E122-$F122)</f>
        <v/>
      </c>
      <c r="H122" s="19">
        <f>IF($A122="","",IFERROR($E122/SUM($E$5:$E$154),0))</f>
        <v/>
      </c>
      <c r="I122" s="12">
        <f>IF($A122="","",SUMIFS('Trade Log'!$M$5:$M$1004,'Trade Log'!$G$5:$G$1004,$A122,'Trade Log'!$B$5:$B$1004,"Covered Call",'Trade Log'!$C$5:$C$1004,"Open"))</f>
        <v/>
      </c>
      <c r="J122" s="12">
        <f>IF($A122="","",SUMIFS('Trade Log'!$M$5:$M$1004,'Trade Log'!$G$5:$G$1004,$A122,'Trade Log'!$B$5:$B$1004,"Cash Secured Put",'Trade Log'!$C$5:$C$1004,"Open"))</f>
        <v/>
      </c>
      <c r="K122" s="11">
        <f>IF($A122="","",SUMIFS('Trade Log'!$T$5:$T$1004,'Trade Log'!$G$5:$G$1004,$A122,'Trade Log'!$B$5:$B$1004,"Cash Secured Put",'Trade Log'!$C$5:$C$1004,"Open"))</f>
        <v/>
      </c>
      <c r="L122" s="12">
        <f>IF($A122="","",$I122*100)</f>
        <v/>
      </c>
      <c r="M122" s="19">
        <f>IFERROR($L122/$B122,0)</f>
        <v/>
      </c>
      <c r="N122" s="14" t="n"/>
    </row>
    <row r="123">
      <c r="A123" s="12" t="n"/>
      <c r="B123" s="14" t="n"/>
      <c r="C123" s="17" t="n"/>
      <c r="D123" s="17" t="n"/>
      <c r="E123" s="11">
        <f>IF($A123="","",IFERROR($B123*$C123,0))</f>
        <v/>
      </c>
      <c r="F123" s="11">
        <f>IF($A123="","",IFERROR($B123*$D123,0))</f>
        <v/>
      </c>
      <c r="G123" s="11">
        <f>IF($A123="","",$E123-$F123)</f>
        <v/>
      </c>
      <c r="H123" s="19">
        <f>IF($A123="","",IFERROR($E123/SUM($E$5:$E$154),0))</f>
        <v/>
      </c>
      <c r="I123" s="12">
        <f>IF($A123="","",SUMIFS('Trade Log'!$M$5:$M$1004,'Trade Log'!$G$5:$G$1004,$A123,'Trade Log'!$B$5:$B$1004,"Covered Call",'Trade Log'!$C$5:$C$1004,"Open"))</f>
        <v/>
      </c>
      <c r="J123" s="12">
        <f>IF($A123="","",SUMIFS('Trade Log'!$M$5:$M$1004,'Trade Log'!$G$5:$G$1004,$A123,'Trade Log'!$B$5:$B$1004,"Cash Secured Put",'Trade Log'!$C$5:$C$1004,"Open"))</f>
        <v/>
      </c>
      <c r="K123" s="11">
        <f>IF($A123="","",SUMIFS('Trade Log'!$T$5:$T$1004,'Trade Log'!$G$5:$G$1004,$A123,'Trade Log'!$B$5:$B$1004,"Cash Secured Put",'Trade Log'!$C$5:$C$1004,"Open"))</f>
        <v/>
      </c>
      <c r="L123" s="12">
        <f>IF($A123="","",$I123*100)</f>
        <v/>
      </c>
      <c r="M123" s="19">
        <f>IFERROR($L123/$B123,0)</f>
        <v/>
      </c>
      <c r="N123" s="14" t="n"/>
    </row>
    <row r="124">
      <c r="A124" s="12" t="n"/>
      <c r="B124" s="14" t="n"/>
      <c r="C124" s="17" t="n"/>
      <c r="D124" s="17" t="n"/>
      <c r="E124" s="11">
        <f>IF($A124="","",IFERROR($B124*$C124,0))</f>
        <v/>
      </c>
      <c r="F124" s="11">
        <f>IF($A124="","",IFERROR($B124*$D124,0))</f>
        <v/>
      </c>
      <c r="G124" s="11">
        <f>IF($A124="","",$E124-$F124)</f>
        <v/>
      </c>
      <c r="H124" s="19">
        <f>IF($A124="","",IFERROR($E124/SUM($E$5:$E$154),0))</f>
        <v/>
      </c>
      <c r="I124" s="12">
        <f>IF($A124="","",SUMIFS('Trade Log'!$M$5:$M$1004,'Trade Log'!$G$5:$G$1004,$A124,'Trade Log'!$B$5:$B$1004,"Covered Call",'Trade Log'!$C$5:$C$1004,"Open"))</f>
        <v/>
      </c>
      <c r="J124" s="12">
        <f>IF($A124="","",SUMIFS('Trade Log'!$M$5:$M$1004,'Trade Log'!$G$5:$G$1004,$A124,'Trade Log'!$B$5:$B$1004,"Cash Secured Put",'Trade Log'!$C$5:$C$1004,"Open"))</f>
        <v/>
      </c>
      <c r="K124" s="11">
        <f>IF($A124="","",SUMIFS('Trade Log'!$T$5:$T$1004,'Trade Log'!$G$5:$G$1004,$A124,'Trade Log'!$B$5:$B$1004,"Cash Secured Put",'Trade Log'!$C$5:$C$1004,"Open"))</f>
        <v/>
      </c>
      <c r="L124" s="12">
        <f>IF($A124="","",$I124*100)</f>
        <v/>
      </c>
      <c r="M124" s="19">
        <f>IFERROR($L124/$B124,0)</f>
        <v/>
      </c>
      <c r="N124" s="14" t="n"/>
    </row>
    <row r="125">
      <c r="A125" s="12" t="n"/>
      <c r="B125" s="14" t="n"/>
      <c r="C125" s="17" t="n"/>
      <c r="D125" s="17" t="n"/>
      <c r="E125" s="11">
        <f>IF($A125="","",IFERROR($B125*$C125,0))</f>
        <v/>
      </c>
      <c r="F125" s="11">
        <f>IF($A125="","",IFERROR($B125*$D125,0))</f>
        <v/>
      </c>
      <c r="G125" s="11">
        <f>IF($A125="","",$E125-$F125)</f>
        <v/>
      </c>
      <c r="H125" s="19">
        <f>IF($A125="","",IFERROR($E125/SUM($E$5:$E$154),0))</f>
        <v/>
      </c>
      <c r="I125" s="12">
        <f>IF($A125="","",SUMIFS('Trade Log'!$M$5:$M$1004,'Trade Log'!$G$5:$G$1004,$A125,'Trade Log'!$B$5:$B$1004,"Covered Call",'Trade Log'!$C$5:$C$1004,"Open"))</f>
        <v/>
      </c>
      <c r="J125" s="12">
        <f>IF($A125="","",SUMIFS('Trade Log'!$M$5:$M$1004,'Trade Log'!$G$5:$G$1004,$A125,'Trade Log'!$B$5:$B$1004,"Cash Secured Put",'Trade Log'!$C$5:$C$1004,"Open"))</f>
        <v/>
      </c>
      <c r="K125" s="11">
        <f>IF($A125="","",SUMIFS('Trade Log'!$T$5:$T$1004,'Trade Log'!$G$5:$G$1004,$A125,'Trade Log'!$B$5:$B$1004,"Cash Secured Put",'Trade Log'!$C$5:$C$1004,"Open"))</f>
        <v/>
      </c>
      <c r="L125" s="12">
        <f>IF($A125="","",$I125*100)</f>
        <v/>
      </c>
      <c r="M125" s="19">
        <f>IFERROR($L125/$B125,0)</f>
        <v/>
      </c>
      <c r="N125" s="14" t="n"/>
    </row>
    <row r="126">
      <c r="A126" s="12" t="n"/>
      <c r="B126" s="14" t="n"/>
      <c r="C126" s="17" t="n"/>
      <c r="D126" s="17" t="n"/>
      <c r="E126" s="11">
        <f>IF($A126="","",IFERROR($B126*$C126,0))</f>
        <v/>
      </c>
      <c r="F126" s="11">
        <f>IF($A126="","",IFERROR($B126*$D126,0))</f>
        <v/>
      </c>
      <c r="G126" s="11">
        <f>IF($A126="","",$E126-$F126)</f>
        <v/>
      </c>
      <c r="H126" s="19">
        <f>IF($A126="","",IFERROR($E126/SUM($E$5:$E$154),0))</f>
        <v/>
      </c>
      <c r="I126" s="12">
        <f>IF($A126="","",SUMIFS('Trade Log'!$M$5:$M$1004,'Trade Log'!$G$5:$G$1004,$A126,'Trade Log'!$B$5:$B$1004,"Covered Call",'Trade Log'!$C$5:$C$1004,"Open"))</f>
        <v/>
      </c>
      <c r="J126" s="12">
        <f>IF($A126="","",SUMIFS('Trade Log'!$M$5:$M$1004,'Trade Log'!$G$5:$G$1004,$A126,'Trade Log'!$B$5:$B$1004,"Cash Secured Put",'Trade Log'!$C$5:$C$1004,"Open"))</f>
        <v/>
      </c>
      <c r="K126" s="11">
        <f>IF($A126="","",SUMIFS('Trade Log'!$T$5:$T$1004,'Trade Log'!$G$5:$G$1004,$A126,'Trade Log'!$B$5:$B$1004,"Cash Secured Put",'Trade Log'!$C$5:$C$1004,"Open"))</f>
        <v/>
      </c>
      <c r="L126" s="12">
        <f>IF($A126="","",$I126*100)</f>
        <v/>
      </c>
      <c r="M126" s="19">
        <f>IFERROR($L126/$B126,0)</f>
        <v/>
      </c>
      <c r="N126" s="14" t="n"/>
    </row>
    <row r="127">
      <c r="A127" s="12" t="n"/>
      <c r="B127" s="14" t="n"/>
      <c r="C127" s="17" t="n"/>
      <c r="D127" s="17" t="n"/>
      <c r="E127" s="11">
        <f>IF($A127="","",IFERROR($B127*$C127,0))</f>
        <v/>
      </c>
      <c r="F127" s="11">
        <f>IF($A127="","",IFERROR($B127*$D127,0))</f>
        <v/>
      </c>
      <c r="G127" s="11">
        <f>IF($A127="","",$E127-$F127)</f>
        <v/>
      </c>
      <c r="H127" s="19">
        <f>IF($A127="","",IFERROR($E127/SUM($E$5:$E$154),0))</f>
        <v/>
      </c>
      <c r="I127" s="12">
        <f>IF($A127="","",SUMIFS('Trade Log'!$M$5:$M$1004,'Trade Log'!$G$5:$G$1004,$A127,'Trade Log'!$B$5:$B$1004,"Covered Call",'Trade Log'!$C$5:$C$1004,"Open"))</f>
        <v/>
      </c>
      <c r="J127" s="12">
        <f>IF($A127="","",SUMIFS('Trade Log'!$M$5:$M$1004,'Trade Log'!$G$5:$G$1004,$A127,'Trade Log'!$B$5:$B$1004,"Cash Secured Put",'Trade Log'!$C$5:$C$1004,"Open"))</f>
        <v/>
      </c>
      <c r="K127" s="11">
        <f>IF($A127="","",SUMIFS('Trade Log'!$T$5:$T$1004,'Trade Log'!$G$5:$G$1004,$A127,'Trade Log'!$B$5:$B$1004,"Cash Secured Put",'Trade Log'!$C$5:$C$1004,"Open"))</f>
        <v/>
      </c>
      <c r="L127" s="12">
        <f>IF($A127="","",$I127*100)</f>
        <v/>
      </c>
      <c r="M127" s="19">
        <f>IFERROR($L127/$B127,0)</f>
        <v/>
      </c>
      <c r="N127" s="14" t="n"/>
    </row>
    <row r="128">
      <c r="A128" s="12" t="n"/>
      <c r="B128" s="14" t="n"/>
      <c r="C128" s="17" t="n"/>
      <c r="D128" s="17" t="n"/>
      <c r="E128" s="11">
        <f>IF($A128="","",IFERROR($B128*$C128,0))</f>
        <v/>
      </c>
      <c r="F128" s="11">
        <f>IF($A128="","",IFERROR($B128*$D128,0))</f>
        <v/>
      </c>
      <c r="G128" s="11">
        <f>IF($A128="","",$E128-$F128)</f>
        <v/>
      </c>
      <c r="H128" s="19">
        <f>IF($A128="","",IFERROR($E128/SUM($E$5:$E$154),0))</f>
        <v/>
      </c>
      <c r="I128" s="12">
        <f>IF($A128="","",SUMIFS('Trade Log'!$M$5:$M$1004,'Trade Log'!$G$5:$G$1004,$A128,'Trade Log'!$B$5:$B$1004,"Covered Call",'Trade Log'!$C$5:$C$1004,"Open"))</f>
        <v/>
      </c>
      <c r="J128" s="12">
        <f>IF($A128="","",SUMIFS('Trade Log'!$M$5:$M$1004,'Trade Log'!$G$5:$G$1004,$A128,'Trade Log'!$B$5:$B$1004,"Cash Secured Put",'Trade Log'!$C$5:$C$1004,"Open"))</f>
        <v/>
      </c>
      <c r="K128" s="11">
        <f>IF($A128="","",SUMIFS('Trade Log'!$T$5:$T$1004,'Trade Log'!$G$5:$G$1004,$A128,'Trade Log'!$B$5:$B$1004,"Cash Secured Put",'Trade Log'!$C$5:$C$1004,"Open"))</f>
        <v/>
      </c>
      <c r="L128" s="12">
        <f>IF($A128="","",$I128*100)</f>
        <v/>
      </c>
      <c r="M128" s="19">
        <f>IFERROR($L128/$B128,0)</f>
        <v/>
      </c>
      <c r="N128" s="14" t="n"/>
    </row>
    <row r="129">
      <c r="A129" s="12" t="n"/>
      <c r="B129" s="14" t="n"/>
      <c r="C129" s="17" t="n"/>
      <c r="D129" s="17" t="n"/>
      <c r="E129" s="11">
        <f>IF($A129="","",IFERROR($B129*$C129,0))</f>
        <v/>
      </c>
      <c r="F129" s="11">
        <f>IF($A129="","",IFERROR($B129*$D129,0))</f>
        <v/>
      </c>
      <c r="G129" s="11">
        <f>IF($A129="","",$E129-$F129)</f>
        <v/>
      </c>
      <c r="H129" s="19">
        <f>IF($A129="","",IFERROR($E129/SUM($E$5:$E$154),0))</f>
        <v/>
      </c>
      <c r="I129" s="12">
        <f>IF($A129="","",SUMIFS('Trade Log'!$M$5:$M$1004,'Trade Log'!$G$5:$G$1004,$A129,'Trade Log'!$B$5:$B$1004,"Covered Call",'Trade Log'!$C$5:$C$1004,"Open"))</f>
        <v/>
      </c>
      <c r="J129" s="12">
        <f>IF($A129="","",SUMIFS('Trade Log'!$M$5:$M$1004,'Trade Log'!$G$5:$G$1004,$A129,'Trade Log'!$B$5:$B$1004,"Cash Secured Put",'Trade Log'!$C$5:$C$1004,"Open"))</f>
        <v/>
      </c>
      <c r="K129" s="11">
        <f>IF($A129="","",SUMIFS('Trade Log'!$T$5:$T$1004,'Trade Log'!$G$5:$G$1004,$A129,'Trade Log'!$B$5:$B$1004,"Cash Secured Put",'Trade Log'!$C$5:$C$1004,"Open"))</f>
        <v/>
      </c>
      <c r="L129" s="12">
        <f>IF($A129="","",$I129*100)</f>
        <v/>
      </c>
      <c r="M129" s="19">
        <f>IFERROR($L129/$B129,0)</f>
        <v/>
      </c>
      <c r="N129" s="14" t="n"/>
    </row>
    <row r="130">
      <c r="A130" s="12" t="n"/>
      <c r="B130" s="14" t="n"/>
      <c r="C130" s="17" t="n"/>
      <c r="D130" s="17" t="n"/>
      <c r="E130" s="11">
        <f>IF($A130="","",IFERROR($B130*$C130,0))</f>
        <v/>
      </c>
      <c r="F130" s="11">
        <f>IF($A130="","",IFERROR($B130*$D130,0))</f>
        <v/>
      </c>
      <c r="G130" s="11">
        <f>IF($A130="","",$E130-$F130)</f>
        <v/>
      </c>
      <c r="H130" s="19">
        <f>IF($A130="","",IFERROR($E130/SUM($E$5:$E$154),0))</f>
        <v/>
      </c>
      <c r="I130" s="12">
        <f>IF($A130="","",SUMIFS('Trade Log'!$M$5:$M$1004,'Trade Log'!$G$5:$G$1004,$A130,'Trade Log'!$B$5:$B$1004,"Covered Call",'Trade Log'!$C$5:$C$1004,"Open"))</f>
        <v/>
      </c>
      <c r="J130" s="12">
        <f>IF($A130="","",SUMIFS('Trade Log'!$M$5:$M$1004,'Trade Log'!$G$5:$G$1004,$A130,'Trade Log'!$B$5:$B$1004,"Cash Secured Put",'Trade Log'!$C$5:$C$1004,"Open"))</f>
        <v/>
      </c>
      <c r="K130" s="11">
        <f>IF($A130="","",SUMIFS('Trade Log'!$T$5:$T$1004,'Trade Log'!$G$5:$G$1004,$A130,'Trade Log'!$B$5:$B$1004,"Cash Secured Put",'Trade Log'!$C$5:$C$1004,"Open"))</f>
        <v/>
      </c>
      <c r="L130" s="12">
        <f>IF($A130="","",$I130*100)</f>
        <v/>
      </c>
      <c r="M130" s="19">
        <f>IFERROR($L130/$B130,0)</f>
        <v/>
      </c>
      <c r="N130" s="14" t="n"/>
    </row>
    <row r="131">
      <c r="A131" s="12" t="n"/>
      <c r="B131" s="14" t="n"/>
      <c r="C131" s="17" t="n"/>
      <c r="D131" s="17" t="n"/>
      <c r="E131" s="11">
        <f>IF($A131="","",IFERROR($B131*$C131,0))</f>
        <v/>
      </c>
      <c r="F131" s="11">
        <f>IF($A131="","",IFERROR($B131*$D131,0))</f>
        <v/>
      </c>
      <c r="G131" s="11">
        <f>IF($A131="","",$E131-$F131)</f>
        <v/>
      </c>
      <c r="H131" s="19">
        <f>IF($A131="","",IFERROR($E131/SUM($E$5:$E$154),0))</f>
        <v/>
      </c>
      <c r="I131" s="12">
        <f>IF($A131="","",SUMIFS('Trade Log'!$M$5:$M$1004,'Trade Log'!$G$5:$G$1004,$A131,'Trade Log'!$B$5:$B$1004,"Covered Call",'Trade Log'!$C$5:$C$1004,"Open"))</f>
        <v/>
      </c>
      <c r="J131" s="12">
        <f>IF($A131="","",SUMIFS('Trade Log'!$M$5:$M$1004,'Trade Log'!$G$5:$G$1004,$A131,'Trade Log'!$B$5:$B$1004,"Cash Secured Put",'Trade Log'!$C$5:$C$1004,"Open"))</f>
        <v/>
      </c>
      <c r="K131" s="11">
        <f>IF($A131="","",SUMIFS('Trade Log'!$T$5:$T$1004,'Trade Log'!$G$5:$G$1004,$A131,'Trade Log'!$B$5:$B$1004,"Cash Secured Put",'Trade Log'!$C$5:$C$1004,"Open"))</f>
        <v/>
      </c>
      <c r="L131" s="12">
        <f>IF($A131="","",$I131*100)</f>
        <v/>
      </c>
      <c r="M131" s="19">
        <f>IFERROR($L131/$B131,0)</f>
        <v/>
      </c>
      <c r="N131" s="14" t="n"/>
    </row>
    <row r="132">
      <c r="A132" s="12" t="n"/>
      <c r="B132" s="14" t="n"/>
      <c r="C132" s="17" t="n"/>
      <c r="D132" s="17" t="n"/>
      <c r="E132" s="11">
        <f>IF($A132="","",IFERROR($B132*$C132,0))</f>
        <v/>
      </c>
      <c r="F132" s="11">
        <f>IF($A132="","",IFERROR($B132*$D132,0))</f>
        <v/>
      </c>
      <c r="G132" s="11">
        <f>IF($A132="","",$E132-$F132)</f>
        <v/>
      </c>
      <c r="H132" s="19">
        <f>IF($A132="","",IFERROR($E132/SUM($E$5:$E$154),0))</f>
        <v/>
      </c>
      <c r="I132" s="12">
        <f>IF($A132="","",SUMIFS('Trade Log'!$M$5:$M$1004,'Trade Log'!$G$5:$G$1004,$A132,'Trade Log'!$B$5:$B$1004,"Covered Call",'Trade Log'!$C$5:$C$1004,"Open"))</f>
        <v/>
      </c>
      <c r="J132" s="12">
        <f>IF($A132="","",SUMIFS('Trade Log'!$M$5:$M$1004,'Trade Log'!$G$5:$G$1004,$A132,'Trade Log'!$B$5:$B$1004,"Cash Secured Put",'Trade Log'!$C$5:$C$1004,"Open"))</f>
        <v/>
      </c>
      <c r="K132" s="11">
        <f>IF($A132="","",SUMIFS('Trade Log'!$T$5:$T$1004,'Trade Log'!$G$5:$G$1004,$A132,'Trade Log'!$B$5:$B$1004,"Cash Secured Put",'Trade Log'!$C$5:$C$1004,"Open"))</f>
        <v/>
      </c>
      <c r="L132" s="12">
        <f>IF($A132="","",$I132*100)</f>
        <v/>
      </c>
      <c r="M132" s="19">
        <f>IFERROR($L132/$B132,0)</f>
        <v/>
      </c>
      <c r="N132" s="14" t="n"/>
    </row>
    <row r="133">
      <c r="A133" s="12" t="n"/>
      <c r="B133" s="14" t="n"/>
      <c r="C133" s="17" t="n"/>
      <c r="D133" s="17" t="n"/>
      <c r="E133" s="11">
        <f>IF($A133="","",IFERROR($B133*$C133,0))</f>
        <v/>
      </c>
      <c r="F133" s="11">
        <f>IF($A133="","",IFERROR($B133*$D133,0))</f>
        <v/>
      </c>
      <c r="G133" s="11">
        <f>IF($A133="","",$E133-$F133)</f>
        <v/>
      </c>
      <c r="H133" s="19">
        <f>IF($A133="","",IFERROR($E133/SUM($E$5:$E$154),0))</f>
        <v/>
      </c>
      <c r="I133" s="12">
        <f>IF($A133="","",SUMIFS('Trade Log'!$M$5:$M$1004,'Trade Log'!$G$5:$G$1004,$A133,'Trade Log'!$B$5:$B$1004,"Covered Call",'Trade Log'!$C$5:$C$1004,"Open"))</f>
        <v/>
      </c>
      <c r="J133" s="12">
        <f>IF($A133="","",SUMIFS('Trade Log'!$M$5:$M$1004,'Trade Log'!$G$5:$G$1004,$A133,'Trade Log'!$B$5:$B$1004,"Cash Secured Put",'Trade Log'!$C$5:$C$1004,"Open"))</f>
        <v/>
      </c>
      <c r="K133" s="11">
        <f>IF($A133="","",SUMIFS('Trade Log'!$T$5:$T$1004,'Trade Log'!$G$5:$G$1004,$A133,'Trade Log'!$B$5:$B$1004,"Cash Secured Put",'Trade Log'!$C$5:$C$1004,"Open"))</f>
        <v/>
      </c>
      <c r="L133" s="12">
        <f>IF($A133="","",$I133*100)</f>
        <v/>
      </c>
      <c r="M133" s="19">
        <f>IFERROR($L133/$B133,0)</f>
        <v/>
      </c>
      <c r="N133" s="14" t="n"/>
    </row>
    <row r="134">
      <c r="A134" s="12" t="n"/>
      <c r="B134" s="14" t="n"/>
      <c r="C134" s="17" t="n"/>
      <c r="D134" s="17" t="n"/>
      <c r="E134" s="11">
        <f>IF($A134="","",IFERROR($B134*$C134,0))</f>
        <v/>
      </c>
      <c r="F134" s="11">
        <f>IF($A134="","",IFERROR($B134*$D134,0))</f>
        <v/>
      </c>
      <c r="G134" s="11">
        <f>IF($A134="","",$E134-$F134)</f>
        <v/>
      </c>
      <c r="H134" s="19">
        <f>IF($A134="","",IFERROR($E134/SUM($E$5:$E$154),0))</f>
        <v/>
      </c>
      <c r="I134" s="12">
        <f>IF($A134="","",SUMIFS('Trade Log'!$M$5:$M$1004,'Trade Log'!$G$5:$G$1004,$A134,'Trade Log'!$B$5:$B$1004,"Covered Call",'Trade Log'!$C$5:$C$1004,"Open"))</f>
        <v/>
      </c>
      <c r="J134" s="12">
        <f>IF($A134="","",SUMIFS('Trade Log'!$M$5:$M$1004,'Trade Log'!$G$5:$G$1004,$A134,'Trade Log'!$B$5:$B$1004,"Cash Secured Put",'Trade Log'!$C$5:$C$1004,"Open"))</f>
        <v/>
      </c>
      <c r="K134" s="11">
        <f>IF($A134="","",SUMIFS('Trade Log'!$T$5:$T$1004,'Trade Log'!$G$5:$G$1004,$A134,'Trade Log'!$B$5:$B$1004,"Cash Secured Put",'Trade Log'!$C$5:$C$1004,"Open"))</f>
        <v/>
      </c>
      <c r="L134" s="12">
        <f>IF($A134="","",$I134*100)</f>
        <v/>
      </c>
      <c r="M134" s="19">
        <f>IFERROR($L134/$B134,0)</f>
        <v/>
      </c>
      <c r="N134" s="14" t="n"/>
    </row>
    <row r="135">
      <c r="A135" s="12" t="n"/>
      <c r="B135" s="14" t="n"/>
      <c r="C135" s="17" t="n"/>
      <c r="D135" s="17" t="n"/>
      <c r="E135" s="11">
        <f>IF($A135="","",IFERROR($B135*$C135,0))</f>
        <v/>
      </c>
      <c r="F135" s="11">
        <f>IF($A135="","",IFERROR($B135*$D135,0))</f>
        <v/>
      </c>
      <c r="G135" s="11">
        <f>IF($A135="","",$E135-$F135)</f>
        <v/>
      </c>
      <c r="H135" s="19">
        <f>IF($A135="","",IFERROR($E135/SUM($E$5:$E$154),0))</f>
        <v/>
      </c>
      <c r="I135" s="12">
        <f>IF($A135="","",SUMIFS('Trade Log'!$M$5:$M$1004,'Trade Log'!$G$5:$G$1004,$A135,'Trade Log'!$B$5:$B$1004,"Covered Call",'Trade Log'!$C$5:$C$1004,"Open"))</f>
        <v/>
      </c>
      <c r="J135" s="12">
        <f>IF($A135="","",SUMIFS('Trade Log'!$M$5:$M$1004,'Trade Log'!$G$5:$G$1004,$A135,'Trade Log'!$B$5:$B$1004,"Cash Secured Put",'Trade Log'!$C$5:$C$1004,"Open"))</f>
        <v/>
      </c>
      <c r="K135" s="11">
        <f>IF($A135="","",SUMIFS('Trade Log'!$T$5:$T$1004,'Trade Log'!$G$5:$G$1004,$A135,'Trade Log'!$B$5:$B$1004,"Cash Secured Put",'Trade Log'!$C$5:$C$1004,"Open"))</f>
        <v/>
      </c>
      <c r="L135" s="12">
        <f>IF($A135="","",$I135*100)</f>
        <v/>
      </c>
      <c r="M135" s="19">
        <f>IFERROR($L135/$B135,0)</f>
        <v/>
      </c>
      <c r="N135" s="14" t="n"/>
    </row>
    <row r="136">
      <c r="A136" s="12" t="n"/>
      <c r="B136" s="14" t="n"/>
      <c r="C136" s="17" t="n"/>
      <c r="D136" s="17" t="n"/>
      <c r="E136" s="11">
        <f>IF($A136="","",IFERROR($B136*$C136,0))</f>
        <v/>
      </c>
      <c r="F136" s="11">
        <f>IF($A136="","",IFERROR($B136*$D136,0))</f>
        <v/>
      </c>
      <c r="G136" s="11">
        <f>IF($A136="","",$E136-$F136)</f>
        <v/>
      </c>
      <c r="H136" s="19">
        <f>IF($A136="","",IFERROR($E136/SUM($E$5:$E$154),0))</f>
        <v/>
      </c>
      <c r="I136" s="12">
        <f>IF($A136="","",SUMIFS('Trade Log'!$M$5:$M$1004,'Trade Log'!$G$5:$G$1004,$A136,'Trade Log'!$B$5:$B$1004,"Covered Call",'Trade Log'!$C$5:$C$1004,"Open"))</f>
        <v/>
      </c>
      <c r="J136" s="12">
        <f>IF($A136="","",SUMIFS('Trade Log'!$M$5:$M$1004,'Trade Log'!$G$5:$G$1004,$A136,'Trade Log'!$B$5:$B$1004,"Cash Secured Put",'Trade Log'!$C$5:$C$1004,"Open"))</f>
        <v/>
      </c>
      <c r="K136" s="11">
        <f>IF($A136="","",SUMIFS('Trade Log'!$T$5:$T$1004,'Trade Log'!$G$5:$G$1004,$A136,'Trade Log'!$B$5:$B$1004,"Cash Secured Put",'Trade Log'!$C$5:$C$1004,"Open"))</f>
        <v/>
      </c>
      <c r="L136" s="12">
        <f>IF($A136="","",$I136*100)</f>
        <v/>
      </c>
      <c r="M136" s="19">
        <f>IFERROR($L136/$B136,0)</f>
        <v/>
      </c>
      <c r="N136" s="14" t="n"/>
    </row>
    <row r="137">
      <c r="A137" s="12" t="n"/>
      <c r="B137" s="14" t="n"/>
      <c r="C137" s="17" t="n"/>
      <c r="D137" s="17" t="n"/>
      <c r="E137" s="11">
        <f>IF($A137="","",IFERROR($B137*$C137,0))</f>
        <v/>
      </c>
      <c r="F137" s="11">
        <f>IF($A137="","",IFERROR($B137*$D137,0))</f>
        <v/>
      </c>
      <c r="G137" s="11">
        <f>IF($A137="","",$E137-$F137)</f>
        <v/>
      </c>
      <c r="H137" s="19">
        <f>IF($A137="","",IFERROR($E137/SUM($E$5:$E$154),0))</f>
        <v/>
      </c>
      <c r="I137" s="12">
        <f>IF($A137="","",SUMIFS('Trade Log'!$M$5:$M$1004,'Trade Log'!$G$5:$G$1004,$A137,'Trade Log'!$B$5:$B$1004,"Covered Call",'Trade Log'!$C$5:$C$1004,"Open"))</f>
        <v/>
      </c>
      <c r="J137" s="12">
        <f>IF($A137="","",SUMIFS('Trade Log'!$M$5:$M$1004,'Trade Log'!$G$5:$G$1004,$A137,'Trade Log'!$B$5:$B$1004,"Cash Secured Put",'Trade Log'!$C$5:$C$1004,"Open"))</f>
        <v/>
      </c>
      <c r="K137" s="11">
        <f>IF($A137="","",SUMIFS('Trade Log'!$T$5:$T$1004,'Trade Log'!$G$5:$G$1004,$A137,'Trade Log'!$B$5:$B$1004,"Cash Secured Put",'Trade Log'!$C$5:$C$1004,"Open"))</f>
        <v/>
      </c>
      <c r="L137" s="12">
        <f>IF($A137="","",$I137*100)</f>
        <v/>
      </c>
      <c r="M137" s="19">
        <f>IFERROR($L137/$B137,0)</f>
        <v/>
      </c>
      <c r="N137" s="14" t="n"/>
    </row>
    <row r="138">
      <c r="A138" s="12" t="n"/>
      <c r="B138" s="14" t="n"/>
      <c r="C138" s="17" t="n"/>
      <c r="D138" s="17" t="n"/>
      <c r="E138" s="11">
        <f>IF($A138="","",IFERROR($B138*$C138,0))</f>
        <v/>
      </c>
      <c r="F138" s="11">
        <f>IF($A138="","",IFERROR($B138*$D138,0))</f>
        <v/>
      </c>
      <c r="G138" s="11">
        <f>IF($A138="","",$E138-$F138)</f>
        <v/>
      </c>
      <c r="H138" s="19">
        <f>IF($A138="","",IFERROR($E138/SUM($E$5:$E$154),0))</f>
        <v/>
      </c>
      <c r="I138" s="12">
        <f>IF($A138="","",SUMIFS('Trade Log'!$M$5:$M$1004,'Trade Log'!$G$5:$G$1004,$A138,'Trade Log'!$B$5:$B$1004,"Covered Call",'Trade Log'!$C$5:$C$1004,"Open"))</f>
        <v/>
      </c>
      <c r="J138" s="12">
        <f>IF($A138="","",SUMIFS('Trade Log'!$M$5:$M$1004,'Trade Log'!$G$5:$G$1004,$A138,'Trade Log'!$B$5:$B$1004,"Cash Secured Put",'Trade Log'!$C$5:$C$1004,"Open"))</f>
        <v/>
      </c>
      <c r="K138" s="11">
        <f>IF($A138="","",SUMIFS('Trade Log'!$T$5:$T$1004,'Trade Log'!$G$5:$G$1004,$A138,'Trade Log'!$B$5:$B$1004,"Cash Secured Put",'Trade Log'!$C$5:$C$1004,"Open"))</f>
        <v/>
      </c>
      <c r="L138" s="12">
        <f>IF($A138="","",$I138*100)</f>
        <v/>
      </c>
      <c r="M138" s="19">
        <f>IFERROR($L138/$B138,0)</f>
        <v/>
      </c>
      <c r="N138" s="14" t="n"/>
    </row>
    <row r="139">
      <c r="A139" s="12" t="n"/>
      <c r="B139" s="14" t="n"/>
      <c r="C139" s="17" t="n"/>
      <c r="D139" s="17" t="n"/>
      <c r="E139" s="11">
        <f>IF($A139="","",IFERROR($B139*$C139,0))</f>
        <v/>
      </c>
      <c r="F139" s="11">
        <f>IF($A139="","",IFERROR($B139*$D139,0))</f>
        <v/>
      </c>
      <c r="G139" s="11">
        <f>IF($A139="","",$E139-$F139)</f>
        <v/>
      </c>
      <c r="H139" s="19">
        <f>IF($A139="","",IFERROR($E139/SUM($E$5:$E$154),0))</f>
        <v/>
      </c>
      <c r="I139" s="12">
        <f>IF($A139="","",SUMIFS('Trade Log'!$M$5:$M$1004,'Trade Log'!$G$5:$G$1004,$A139,'Trade Log'!$B$5:$B$1004,"Covered Call",'Trade Log'!$C$5:$C$1004,"Open"))</f>
        <v/>
      </c>
      <c r="J139" s="12">
        <f>IF($A139="","",SUMIFS('Trade Log'!$M$5:$M$1004,'Trade Log'!$G$5:$G$1004,$A139,'Trade Log'!$B$5:$B$1004,"Cash Secured Put",'Trade Log'!$C$5:$C$1004,"Open"))</f>
        <v/>
      </c>
      <c r="K139" s="11">
        <f>IF($A139="","",SUMIFS('Trade Log'!$T$5:$T$1004,'Trade Log'!$G$5:$G$1004,$A139,'Trade Log'!$B$5:$B$1004,"Cash Secured Put",'Trade Log'!$C$5:$C$1004,"Open"))</f>
        <v/>
      </c>
      <c r="L139" s="12">
        <f>IF($A139="","",$I139*100)</f>
        <v/>
      </c>
      <c r="M139" s="19">
        <f>IFERROR($L139/$B139,0)</f>
        <v/>
      </c>
      <c r="N139" s="14" t="n"/>
    </row>
    <row r="140">
      <c r="A140" s="12" t="n"/>
      <c r="B140" s="14" t="n"/>
      <c r="C140" s="17" t="n"/>
      <c r="D140" s="17" t="n"/>
      <c r="E140" s="11">
        <f>IF($A140="","",IFERROR($B140*$C140,0))</f>
        <v/>
      </c>
      <c r="F140" s="11">
        <f>IF($A140="","",IFERROR($B140*$D140,0))</f>
        <v/>
      </c>
      <c r="G140" s="11">
        <f>IF($A140="","",$E140-$F140)</f>
        <v/>
      </c>
      <c r="H140" s="19">
        <f>IF($A140="","",IFERROR($E140/SUM($E$5:$E$154),0))</f>
        <v/>
      </c>
      <c r="I140" s="12">
        <f>IF($A140="","",SUMIFS('Trade Log'!$M$5:$M$1004,'Trade Log'!$G$5:$G$1004,$A140,'Trade Log'!$B$5:$B$1004,"Covered Call",'Trade Log'!$C$5:$C$1004,"Open"))</f>
        <v/>
      </c>
      <c r="J140" s="12">
        <f>IF($A140="","",SUMIFS('Trade Log'!$M$5:$M$1004,'Trade Log'!$G$5:$G$1004,$A140,'Trade Log'!$B$5:$B$1004,"Cash Secured Put",'Trade Log'!$C$5:$C$1004,"Open"))</f>
        <v/>
      </c>
      <c r="K140" s="11">
        <f>IF($A140="","",SUMIFS('Trade Log'!$T$5:$T$1004,'Trade Log'!$G$5:$G$1004,$A140,'Trade Log'!$B$5:$B$1004,"Cash Secured Put",'Trade Log'!$C$5:$C$1004,"Open"))</f>
        <v/>
      </c>
      <c r="L140" s="12">
        <f>IF($A140="","",$I140*100)</f>
        <v/>
      </c>
      <c r="M140" s="19">
        <f>IFERROR($L140/$B140,0)</f>
        <v/>
      </c>
      <c r="N140" s="14" t="n"/>
    </row>
    <row r="141">
      <c r="A141" s="12" t="n"/>
      <c r="B141" s="14" t="n"/>
      <c r="C141" s="17" t="n"/>
      <c r="D141" s="17" t="n"/>
      <c r="E141" s="11">
        <f>IF($A141="","",IFERROR($B141*$C141,0))</f>
        <v/>
      </c>
      <c r="F141" s="11">
        <f>IF($A141="","",IFERROR($B141*$D141,0))</f>
        <v/>
      </c>
      <c r="G141" s="11">
        <f>IF($A141="","",$E141-$F141)</f>
        <v/>
      </c>
      <c r="H141" s="19">
        <f>IF($A141="","",IFERROR($E141/SUM($E$5:$E$154),0))</f>
        <v/>
      </c>
      <c r="I141" s="12">
        <f>IF($A141="","",SUMIFS('Trade Log'!$M$5:$M$1004,'Trade Log'!$G$5:$G$1004,$A141,'Trade Log'!$B$5:$B$1004,"Covered Call",'Trade Log'!$C$5:$C$1004,"Open"))</f>
        <v/>
      </c>
      <c r="J141" s="12">
        <f>IF($A141="","",SUMIFS('Trade Log'!$M$5:$M$1004,'Trade Log'!$G$5:$G$1004,$A141,'Trade Log'!$B$5:$B$1004,"Cash Secured Put",'Trade Log'!$C$5:$C$1004,"Open"))</f>
        <v/>
      </c>
      <c r="K141" s="11">
        <f>IF($A141="","",SUMIFS('Trade Log'!$T$5:$T$1004,'Trade Log'!$G$5:$G$1004,$A141,'Trade Log'!$B$5:$B$1004,"Cash Secured Put",'Trade Log'!$C$5:$C$1004,"Open"))</f>
        <v/>
      </c>
      <c r="L141" s="12">
        <f>IF($A141="","",$I141*100)</f>
        <v/>
      </c>
      <c r="M141" s="19">
        <f>IFERROR($L141/$B141,0)</f>
        <v/>
      </c>
      <c r="N141" s="14" t="n"/>
    </row>
    <row r="142">
      <c r="A142" s="12" t="n"/>
      <c r="B142" s="14" t="n"/>
      <c r="C142" s="17" t="n"/>
      <c r="D142" s="17" t="n"/>
      <c r="E142" s="11">
        <f>IF($A142="","",IFERROR($B142*$C142,0))</f>
        <v/>
      </c>
      <c r="F142" s="11">
        <f>IF($A142="","",IFERROR($B142*$D142,0))</f>
        <v/>
      </c>
      <c r="G142" s="11">
        <f>IF($A142="","",$E142-$F142)</f>
        <v/>
      </c>
      <c r="H142" s="19">
        <f>IF($A142="","",IFERROR($E142/SUM($E$5:$E$154),0))</f>
        <v/>
      </c>
      <c r="I142" s="12">
        <f>IF($A142="","",SUMIFS('Trade Log'!$M$5:$M$1004,'Trade Log'!$G$5:$G$1004,$A142,'Trade Log'!$B$5:$B$1004,"Covered Call",'Trade Log'!$C$5:$C$1004,"Open"))</f>
        <v/>
      </c>
      <c r="J142" s="12">
        <f>IF($A142="","",SUMIFS('Trade Log'!$M$5:$M$1004,'Trade Log'!$G$5:$G$1004,$A142,'Trade Log'!$B$5:$B$1004,"Cash Secured Put",'Trade Log'!$C$5:$C$1004,"Open"))</f>
        <v/>
      </c>
      <c r="K142" s="11">
        <f>IF($A142="","",SUMIFS('Trade Log'!$T$5:$T$1004,'Trade Log'!$G$5:$G$1004,$A142,'Trade Log'!$B$5:$B$1004,"Cash Secured Put",'Trade Log'!$C$5:$C$1004,"Open"))</f>
        <v/>
      </c>
      <c r="L142" s="12">
        <f>IF($A142="","",$I142*100)</f>
        <v/>
      </c>
      <c r="M142" s="19">
        <f>IFERROR($L142/$B142,0)</f>
        <v/>
      </c>
      <c r="N142" s="14" t="n"/>
    </row>
    <row r="143">
      <c r="A143" s="12" t="n"/>
      <c r="B143" s="14" t="n"/>
      <c r="C143" s="17" t="n"/>
      <c r="D143" s="17" t="n"/>
      <c r="E143" s="11">
        <f>IF($A143="","",IFERROR($B143*$C143,0))</f>
        <v/>
      </c>
      <c r="F143" s="11">
        <f>IF($A143="","",IFERROR($B143*$D143,0))</f>
        <v/>
      </c>
      <c r="G143" s="11">
        <f>IF($A143="","",$E143-$F143)</f>
        <v/>
      </c>
      <c r="H143" s="19">
        <f>IF($A143="","",IFERROR($E143/SUM($E$5:$E$154),0))</f>
        <v/>
      </c>
      <c r="I143" s="12">
        <f>IF($A143="","",SUMIFS('Trade Log'!$M$5:$M$1004,'Trade Log'!$G$5:$G$1004,$A143,'Trade Log'!$B$5:$B$1004,"Covered Call",'Trade Log'!$C$5:$C$1004,"Open"))</f>
        <v/>
      </c>
      <c r="J143" s="12">
        <f>IF($A143="","",SUMIFS('Trade Log'!$M$5:$M$1004,'Trade Log'!$G$5:$G$1004,$A143,'Trade Log'!$B$5:$B$1004,"Cash Secured Put",'Trade Log'!$C$5:$C$1004,"Open"))</f>
        <v/>
      </c>
      <c r="K143" s="11">
        <f>IF($A143="","",SUMIFS('Trade Log'!$T$5:$T$1004,'Trade Log'!$G$5:$G$1004,$A143,'Trade Log'!$B$5:$B$1004,"Cash Secured Put",'Trade Log'!$C$5:$C$1004,"Open"))</f>
        <v/>
      </c>
      <c r="L143" s="12">
        <f>IF($A143="","",$I143*100)</f>
        <v/>
      </c>
      <c r="M143" s="19">
        <f>IFERROR($L143/$B143,0)</f>
        <v/>
      </c>
      <c r="N143" s="14" t="n"/>
    </row>
    <row r="144">
      <c r="A144" s="12" t="n"/>
      <c r="B144" s="14" t="n"/>
      <c r="C144" s="17" t="n"/>
      <c r="D144" s="17" t="n"/>
      <c r="E144" s="11">
        <f>IF($A144="","",IFERROR($B144*$C144,0))</f>
        <v/>
      </c>
      <c r="F144" s="11">
        <f>IF($A144="","",IFERROR($B144*$D144,0))</f>
        <v/>
      </c>
      <c r="G144" s="11">
        <f>IF($A144="","",$E144-$F144)</f>
        <v/>
      </c>
      <c r="H144" s="19">
        <f>IF($A144="","",IFERROR($E144/SUM($E$5:$E$154),0))</f>
        <v/>
      </c>
      <c r="I144" s="12">
        <f>IF($A144="","",SUMIFS('Trade Log'!$M$5:$M$1004,'Trade Log'!$G$5:$G$1004,$A144,'Trade Log'!$B$5:$B$1004,"Covered Call",'Trade Log'!$C$5:$C$1004,"Open"))</f>
        <v/>
      </c>
      <c r="J144" s="12">
        <f>IF($A144="","",SUMIFS('Trade Log'!$M$5:$M$1004,'Trade Log'!$G$5:$G$1004,$A144,'Trade Log'!$B$5:$B$1004,"Cash Secured Put",'Trade Log'!$C$5:$C$1004,"Open"))</f>
        <v/>
      </c>
      <c r="K144" s="11">
        <f>IF($A144="","",SUMIFS('Trade Log'!$T$5:$T$1004,'Trade Log'!$G$5:$G$1004,$A144,'Trade Log'!$B$5:$B$1004,"Cash Secured Put",'Trade Log'!$C$5:$C$1004,"Open"))</f>
        <v/>
      </c>
      <c r="L144" s="12">
        <f>IF($A144="","",$I144*100)</f>
        <v/>
      </c>
      <c r="M144" s="19">
        <f>IFERROR($L144/$B144,0)</f>
        <v/>
      </c>
      <c r="N144" s="14" t="n"/>
    </row>
    <row r="145">
      <c r="A145" s="12" t="n"/>
      <c r="B145" s="14" t="n"/>
      <c r="C145" s="17" t="n"/>
      <c r="D145" s="17" t="n"/>
      <c r="E145" s="11">
        <f>IF($A145="","",IFERROR($B145*$C145,0))</f>
        <v/>
      </c>
      <c r="F145" s="11">
        <f>IF($A145="","",IFERROR($B145*$D145,0))</f>
        <v/>
      </c>
      <c r="G145" s="11">
        <f>IF($A145="","",$E145-$F145)</f>
        <v/>
      </c>
      <c r="H145" s="19">
        <f>IF($A145="","",IFERROR($E145/SUM($E$5:$E$154),0))</f>
        <v/>
      </c>
      <c r="I145" s="12">
        <f>IF($A145="","",SUMIFS('Trade Log'!$M$5:$M$1004,'Trade Log'!$G$5:$G$1004,$A145,'Trade Log'!$B$5:$B$1004,"Covered Call",'Trade Log'!$C$5:$C$1004,"Open"))</f>
        <v/>
      </c>
      <c r="J145" s="12">
        <f>IF($A145="","",SUMIFS('Trade Log'!$M$5:$M$1004,'Trade Log'!$G$5:$G$1004,$A145,'Trade Log'!$B$5:$B$1004,"Cash Secured Put",'Trade Log'!$C$5:$C$1004,"Open"))</f>
        <v/>
      </c>
      <c r="K145" s="11">
        <f>IF($A145="","",SUMIFS('Trade Log'!$T$5:$T$1004,'Trade Log'!$G$5:$G$1004,$A145,'Trade Log'!$B$5:$B$1004,"Cash Secured Put",'Trade Log'!$C$5:$C$1004,"Open"))</f>
        <v/>
      </c>
      <c r="L145" s="12">
        <f>IF($A145="","",$I145*100)</f>
        <v/>
      </c>
      <c r="M145" s="19">
        <f>IFERROR($L145/$B145,0)</f>
        <v/>
      </c>
      <c r="N145" s="14" t="n"/>
    </row>
    <row r="146">
      <c r="A146" s="12" t="n"/>
      <c r="B146" s="14" t="n"/>
      <c r="C146" s="17" t="n"/>
      <c r="D146" s="17" t="n"/>
      <c r="E146" s="11">
        <f>IF($A146="","",IFERROR($B146*$C146,0))</f>
        <v/>
      </c>
      <c r="F146" s="11">
        <f>IF($A146="","",IFERROR($B146*$D146,0))</f>
        <v/>
      </c>
      <c r="G146" s="11">
        <f>IF($A146="","",$E146-$F146)</f>
        <v/>
      </c>
      <c r="H146" s="19">
        <f>IF($A146="","",IFERROR($E146/SUM($E$5:$E$154),0))</f>
        <v/>
      </c>
      <c r="I146" s="12">
        <f>IF($A146="","",SUMIFS('Trade Log'!$M$5:$M$1004,'Trade Log'!$G$5:$G$1004,$A146,'Trade Log'!$B$5:$B$1004,"Covered Call",'Trade Log'!$C$5:$C$1004,"Open"))</f>
        <v/>
      </c>
      <c r="J146" s="12">
        <f>IF($A146="","",SUMIFS('Trade Log'!$M$5:$M$1004,'Trade Log'!$G$5:$G$1004,$A146,'Trade Log'!$B$5:$B$1004,"Cash Secured Put",'Trade Log'!$C$5:$C$1004,"Open"))</f>
        <v/>
      </c>
      <c r="K146" s="11">
        <f>IF($A146="","",SUMIFS('Trade Log'!$T$5:$T$1004,'Trade Log'!$G$5:$G$1004,$A146,'Trade Log'!$B$5:$B$1004,"Cash Secured Put",'Trade Log'!$C$5:$C$1004,"Open"))</f>
        <v/>
      </c>
      <c r="L146" s="12">
        <f>IF($A146="","",$I146*100)</f>
        <v/>
      </c>
      <c r="M146" s="19">
        <f>IFERROR($L146/$B146,0)</f>
        <v/>
      </c>
      <c r="N146" s="14" t="n"/>
    </row>
    <row r="147">
      <c r="A147" s="12" t="n"/>
      <c r="B147" s="14" t="n"/>
      <c r="C147" s="17" t="n"/>
      <c r="D147" s="17" t="n"/>
      <c r="E147" s="11">
        <f>IF($A147="","",IFERROR($B147*$C147,0))</f>
        <v/>
      </c>
      <c r="F147" s="11">
        <f>IF($A147="","",IFERROR($B147*$D147,0))</f>
        <v/>
      </c>
      <c r="G147" s="11">
        <f>IF($A147="","",$E147-$F147)</f>
        <v/>
      </c>
      <c r="H147" s="19">
        <f>IF($A147="","",IFERROR($E147/SUM($E$5:$E$154),0))</f>
        <v/>
      </c>
      <c r="I147" s="12">
        <f>IF($A147="","",SUMIFS('Trade Log'!$M$5:$M$1004,'Trade Log'!$G$5:$G$1004,$A147,'Trade Log'!$B$5:$B$1004,"Covered Call",'Trade Log'!$C$5:$C$1004,"Open"))</f>
        <v/>
      </c>
      <c r="J147" s="12">
        <f>IF($A147="","",SUMIFS('Trade Log'!$M$5:$M$1004,'Trade Log'!$G$5:$G$1004,$A147,'Trade Log'!$B$5:$B$1004,"Cash Secured Put",'Trade Log'!$C$5:$C$1004,"Open"))</f>
        <v/>
      </c>
      <c r="K147" s="11">
        <f>IF($A147="","",SUMIFS('Trade Log'!$T$5:$T$1004,'Trade Log'!$G$5:$G$1004,$A147,'Trade Log'!$B$5:$B$1004,"Cash Secured Put",'Trade Log'!$C$5:$C$1004,"Open"))</f>
        <v/>
      </c>
      <c r="L147" s="12">
        <f>IF($A147="","",$I147*100)</f>
        <v/>
      </c>
      <c r="M147" s="19">
        <f>IFERROR($L147/$B147,0)</f>
        <v/>
      </c>
      <c r="N147" s="14" t="n"/>
    </row>
    <row r="148">
      <c r="A148" s="12" t="n"/>
      <c r="B148" s="14" t="n"/>
      <c r="C148" s="17" t="n"/>
      <c r="D148" s="17" t="n"/>
      <c r="E148" s="11">
        <f>IF($A148="","",IFERROR($B148*$C148,0))</f>
        <v/>
      </c>
      <c r="F148" s="11">
        <f>IF($A148="","",IFERROR($B148*$D148,0))</f>
        <v/>
      </c>
      <c r="G148" s="11">
        <f>IF($A148="","",$E148-$F148)</f>
        <v/>
      </c>
      <c r="H148" s="19">
        <f>IF($A148="","",IFERROR($E148/SUM($E$5:$E$154),0))</f>
        <v/>
      </c>
      <c r="I148" s="12">
        <f>IF($A148="","",SUMIFS('Trade Log'!$M$5:$M$1004,'Trade Log'!$G$5:$G$1004,$A148,'Trade Log'!$B$5:$B$1004,"Covered Call",'Trade Log'!$C$5:$C$1004,"Open"))</f>
        <v/>
      </c>
      <c r="J148" s="12">
        <f>IF($A148="","",SUMIFS('Trade Log'!$M$5:$M$1004,'Trade Log'!$G$5:$G$1004,$A148,'Trade Log'!$B$5:$B$1004,"Cash Secured Put",'Trade Log'!$C$5:$C$1004,"Open"))</f>
        <v/>
      </c>
      <c r="K148" s="11">
        <f>IF($A148="","",SUMIFS('Trade Log'!$T$5:$T$1004,'Trade Log'!$G$5:$G$1004,$A148,'Trade Log'!$B$5:$B$1004,"Cash Secured Put",'Trade Log'!$C$5:$C$1004,"Open"))</f>
        <v/>
      </c>
      <c r="L148" s="12">
        <f>IF($A148="","",$I148*100)</f>
        <v/>
      </c>
      <c r="M148" s="19">
        <f>IFERROR($L148/$B148,0)</f>
        <v/>
      </c>
      <c r="N148" s="14" t="n"/>
    </row>
    <row r="149">
      <c r="A149" s="12" t="n"/>
      <c r="B149" s="14" t="n"/>
      <c r="C149" s="17" t="n"/>
      <c r="D149" s="17" t="n"/>
      <c r="E149" s="11">
        <f>IF($A149="","",IFERROR($B149*$C149,0))</f>
        <v/>
      </c>
      <c r="F149" s="11">
        <f>IF($A149="","",IFERROR($B149*$D149,0))</f>
        <v/>
      </c>
      <c r="G149" s="11">
        <f>IF($A149="","",$E149-$F149)</f>
        <v/>
      </c>
      <c r="H149" s="19">
        <f>IF($A149="","",IFERROR($E149/SUM($E$5:$E$154),0))</f>
        <v/>
      </c>
      <c r="I149" s="12">
        <f>IF($A149="","",SUMIFS('Trade Log'!$M$5:$M$1004,'Trade Log'!$G$5:$G$1004,$A149,'Trade Log'!$B$5:$B$1004,"Covered Call",'Trade Log'!$C$5:$C$1004,"Open"))</f>
        <v/>
      </c>
      <c r="J149" s="12">
        <f>IF($A149="","",SUMIFS('Trade Log'!$M$5:$M$1004,'Trade Log'!$G$5:$G$1004,$A149,'Trade Log'!$B$5:$B$1004,"Cash Secured Put",'Trade Log'!$C$5:$C$1004,"Open"))</f>
        <v/>
      </c>
      <c r="K149" s="11">
        <f>IF($A149="","",SUMIFS('Trade Log'!$T$5:$T$1004,'Trade Log'!$G$5:$G$1004,$A149,'Trade Log'!$B$5:$B$1004,"Cash Secured Put",'Trade Log'!$C$5:$C$1004,"Open"))</f>
        <v/>
      </c>
      <c r="L149" s="12">
        <f>IF($A149="","",$I149*100)</f>
        <v/>
      </c>
      <c r="M149" s="19">
        <f>IFERROR($L149/$B149,0)</f>
        <v/>
      </c>
      <c r="N149" s="14" t="n"/>
    </row>
    <row r="150">
      <c r="A150" s="12" t="n"/>
      <c r="B150" s="14" t="n"/>
      <c r="C150" s="17" t="n"/>
      <c r="D150" s="17" t="n"/>
      <c r="E150" s="11">
        <f>IF($A150="","",IFERROR($B150*$C150,0))</f>
        <v/>
      </c>
      <c r="F150" s="11">
        <f>IF($A150="","",IFERROR($B150*$D150,0))</f>
        <v/>
      </c>
      <c r="G150" s="11">
        <f>IF($A150="","",$E150-$F150)</f>
        <v/>
      </c>
      <c r="H150" s="19">
        <f>IF($A150="","",IFERROR($E150/SUM($E$5:$E$154),0))</f>
        <v/>
      </c>
      <c r="I150" s="12">
        <f>IF($A150="","",SUMIFS('Trade Log'!$M$5:$M$1004,'Trade Log'!$G$5:$G$1004,$A150,'Trade Log'!$B$5:$B$1004,"Covered Call",'Trade Log'!$C$5:$C$1004,"Open"))</f>
        <v/>
      </c>
      <c r="J150" s="12">
        <f>IF($A150="","",SUMIFS('Trade Log'!$M$5:$M$1004,'Trade Log'!$G$5:$G$1004,$A150,'Trade Log'!$B$5:$B$1004,"Cash Secured Put",'Trade Log'!$C$5:$C$1004,"Open"))</f>
        <v/>
      </c>
      <c r="K150" s="11">
        <f>IF($A150="","",SUMIFS('Trade Log'!$T$5:$T$1004,'Trade Log'!$G$5:$G$1004,$A150,'Trade Log'!$B$5:$B$1004,"Cash Secured Put",'Trade Log'!$C$5:$C$1004,"Open"))</f>
        <v/>
      </c>
      <c r="L150" s="12">
        <f>IF($A150="","",$I150*100)</f>
        <v/>
      </c>
      <c r="M150" s="19">
        <f>IFERROR($L150/$B150,0)</f>
        <v/>
      </c>
      <c r="N150" s="14" t="n"/>
    </row>
    <row r="151">
      <c r="A151" s="12" t="n"/>
      <c r="B151" s="14" t="n"/>
      <c r="C151" s="17" t="n"/>
      <c r="D151" s="17" t="n"/>
      <c r="E151" s="11">
        <f>IF($A151="","",IFERROR($B151*$C151,0))</f>
        <v/>
      </c>
      <c r="F151" s="11">
        <f>IF($A151="","",IFERROR($B151*$D151,0))</f>
        <v/>
      </c>
      <c r="G151" s="11">
        <f>IF($A151="","",$E151-$F151)</f>
        <v/>
      </c>
      <c r="H151" s="19">
        <f>IF($A151="","",IFERROR($E151/SUM($E$5:$E$154),0))</f>
        <v/>
      </c>
      <c r="I151" s="12">
        <f>IF($A151="","",SUMIFS('Trade Log'!$M$5:$M$1004,'Trade Log'!$G$5:$G$1004,$A151,'Trade Log'!$B$5:$B$1004,"Covered Call",'Trade Log'!$C$5:$C$1004,"Open"))</f>
        <v/>
      </c>
      <c r="J151" s="12">
        <f>IF($A151="","",SUMIFS('Trade Log'!$M$5:$M$1004,'Trade Log'!$G$5:$G$1004,$A151,'Trade Log'!$B$5:$B$1004,"Cash Secured Put",'Trade Log'!$C$5:$C$1004,"Open"))</f>
        <v/>
      </c>
      <c r="K151" s="11">
        <f>IF($A151="","",SUMIFS('Trade Log'!$T$5:$T$1004,'Trade Log'!$G$5:$G$1004,$A151,'Trade Log'!$B$5:$B$1004,"Cash Secured Put",'Trade Log'!$C$5:$C$1004,"Open"))</f>
        <v/>
      </c>
      <c r="L151" s="12">
        <f>IF($A151="","",$I151*100)</f>
        <v/>
      </c>
      <c r="M151" s="19">
        <f>IFERROR($L151/$B151,0)</f>
        <v/>
      </c>
      <c r="N151" s="14" t="n"/>
    </row>
    <row r="152">
      <c r="A152" s="12" t="n"/>
      <c r="B152" s="14" t="n"/>
      <c r="C152" s="17" t="n"/>
      <c r="D152" s="17" t="n"/>
      <c r="E152" s="11">
        <f>IF($A152="","",IFERROR($B152*$C152,0))</f>
        <v/>
      </c>
      <c r="F152" s="11">
        <f>IF($A152="","",IFERROR($B152*$D152,0))</f>
        <v/>
      </c>
      <c r="G152" s="11">
        <f>IF($A152="","",$E152-$F152)</f>
        <v/>
      </c>
      <c r="H152" s="19">
        <f>IF($A152="","",IFERROR($E152/SUM($E$5:$E$154),0))</f>
        <v/>
      </c>
      <c r="I152" s="12">
        <f>IF($A152="","",SUMIFS('Trade Log'!$M$5:$M$1004,'Trade Log'!$G$5:$G$1004,$A152,'Trade Log'!$B$5:$B$1004,"Covered Call",'Trade Log'!$C$5:$C$1004,"Open"))</f>
        <v/>
      </c>
      <c r="J152" s="12">
        <f>IF($A152="","",SUMIFS('Trade Log'!$M$5:$M$1004,'Trade Log'!$G$5:$G$1004,$A152,'Trade Log'!$B$5:$B$1004,"Cash Secured Put",'Trade Log'!$C$5:$C$1004,"Open"))</f>
        <v/>
      </c>
      <c r="K152" s="11">
        <f>IF($A152="","",SUMIFS('Trade Log'!$T$5:$T$1004,'Trade Log'!$G$5:$G$1004,$A152,'Trade Log'!$B$5:$B$1004,"Cash Secured Put",'Trade Log'!$C$5:$C$1004,"Open"))</f>
        <v/>
      </c>
      <c r="L152" s="12">
        <f>IF($A152="","",$I152*100)</f>
        <v/>
      </c>
      <c r="M152" s="19">
        <f>IFERROR($L152/$B152,0)</f>
        <v/>
      </c>
      <c r="N152" s="14" t="n"/>
    </row>
    <row r="153">
      <c r="A153" s="12" t="n"/>
      <c r="B153" s="14" t="n"/>
      <c r="C153" s="17" t="n"/>
      <c r="D153" s="17" t="n"/>
      <c r="E153" s="11">
        <f>IF($A153="","",IFERROR($B153*$C153,0))</f>
        <v/>
      </c>
      <c r="F153" s="11">
        <f>IF($A153="","",IFERROR($B153*$D153,0))</f>
        <v/>
      </c>
      <c r="G153" s="11">
        <f>IF($A153="","",$E153-$F153)</f>
        <v/>
      </c>
      <c r="H153" s="19">
        <f>IF($A153="","",IFERROR($E153/SUM($E$5:$E$154),0))</f>
        <v/>
      </c>
      <c r="I153" s="12">
        <f>IF($A153="","",SUMIFS('Trade Log'!$M$5:$M$1004,'Trade Log'!$G$5:$G$1004,$A153,'Trade Log'!$B$5:$B$1004,"Covered Call",'Trade Log'!$C$5:$C$1004,"Open"))</f>
        <v/>
      </c>
      <c r="J153" s="12">
        <f>IF($A153="","",SUMIFS('Trade Log'!$M$5:$M$1004,'Trade Log'!$G$5:$G$1004,$A153,'Trade Log'!$B$5:$B$1004,"Cash Secured Put",'Trade Log'!$C$5:$C$1004,"Open"))</f>
        <v/>
      </c>
      <c r="K153" s="11">
        <f>IF($A153="","",SUMIFS('Trade Log'!$T$5:$T$1004,'Trade Log'!$G$5:$G$1004,$A153,'Trade Log'!$B$5:$B$1004,"Cash Secured Put",'Trade Log'!$C$5:$C$1004,"Open"))</f>
        <v/>
      </c>
      <c r="L153" s="12">
        <f>IF($A153="","",$I153*100)</f>
        <v/>
      </c>
      <c r="M153" s="19">
        <f>IFERROR($L153/$B153,0)</f>
        <v/>
      </c>
      <c r="N153" s="14" t="n"/>
    </row>
    <row r="154">
      <c r="A154" s="12" t="n"/>
      <c r="B154" s="14" t="n"/>
      <c r="C154" s="17" t="n"/>
      <c r="D154" s="17" t="n"/>
      <c r="E154" s="11">
        <f>IF($A154="","",IFERROR($B154*$C154,0))</f>
        <v/>
      </c>
      <c r="F154" s="11">
        <f>IF($A154="","",IFERROR($B154*$D154,0))</f>
        <v/>
      </c>
      <c r="G154" s="11">
        <f>IF($A154="","",$E154-$F154)</f>
        <v/>
      </c>
      <c r="H154" s="19">
        <f>IF($A154="","",IFERROR($E154/SUM($E$5:$E$154),0))</f>
        <v/>
      </c>
      <c r="I154" s="12">
        <f>IF($A154="","",SUMIFS('Trade Log'!$M$5:$M$1004,'Trade Log'!$G$5:$G$1004,$A154,'Trade Log'!$B$5:$B$1004,"Covered Call",'Trade Log'!$C$5:$C$1004,"Open"))</f>
        <v/>
      </c>
      <c r="J154" s="12">
        <f>IF($A154="","",SUMIFS('Trade Log'!$M$5:$M$1004,'Trade Log'!$G$5:$G$1004,$A154,'Trade Log'!$B$5:$B$1004,"Cash Secured Put",'Trade Log'!$C$5:$C$1004,"Open"))</f>
        <v/>
      </c>
      <c r="K154" s="11">
        <f>IF($A154="","",SUMIFS('Trade Log'!$T$5:$T$1004,'Trade Log'!$G$5:$G$1004,$A154,'Trade Log'!$B$5:$B$1004,"Cash Secured Put",'Trade Log'!$C$5:$C$1004,"Open"))</f>
        <v/>
      </c>
      <c r="L154" s="12">
        <f>IF($A154="","",$I154*100)</f>
        <v/>
      </c>
      <c r="M154" s="19">
        <f>IFERROR($L154/$B154,0)</f>
        <v/>
      </c>
      <c r="N154" s="14" t="n"/>
    </row>
  </sheetData>
  <mergeCells count="2">
    <mergeCell ref="A2:N2"/>
    <mergeCell ref="A1:N1"/>
  </mergeCells>
  <conditionalFormatting sqref="G5:G154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0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0" customWidth="1" min="4" max="4"/>
    <col width="24" customWidth="1" min="5" max="5"/>
    <col width="34" customWidth="1" min="6" max="6"/>
    <col width="16" customWidth="1" min="7" max="7"/>
    <col width="13" customWidth="1" min="8" max="8"/>
    <col width="13" customWidth="1" min="9" max="9"/>
    <col width="13" customWidth="1" min="10" max="10"/>
    <col width="13" customWidth="1" min="11" max="11"/>
    <col width="12" customWidth="1" min="12" max="12"/>
    <col width="13" customWidth="1" min="13" max="13"/>
    <col width="34" customWidth="1" min="14" max="14"/>
    <col width="14" customWidth="1" min="15" max="15"/>
  </cols>
  <sheetData>
    <row r="1" ht="28" customHeight="1">
      <c r="A1" s="1" t="inlineStr">
        <is>
          <t>Trade Ideas &amp; Recommendation Log</t>
        </is>
      </c>
    </row>
    <row r="2" ht="34" customHeight="1">
      <c r="A2" s="2" t="inlineStr">
        <is>
          <t>Use this to feed examples over time: proposed setup, logic, risks, outcome, and what you want me to remember for future recommendations.</t>
        </is>
      </c>
    </row>
    <row r="4">
      <c r="A4" s="9" t="inlineStr">
        <is>
          <t>Idea ID</t>
        </is>
      </c>
      <c r="B4" s="9" t="inlineStr">
        <is>
          <t>Date</t>
        </is>
      </c>
      <c r="C4" s="9" t="inlineStr">
        <is>
          <t>Ticker</t>
        </is>
      </c>
      <c r="D4" s="9" t="inlineStr">
        <is>
          <t>Market View</t>
        </is>
      </c>
      <c r="E4" s="9" t="inlineStr">
        <is>
          <t>Setup / Strategy</t>
        </is>
      </c>
      <c r="F4" s="9" t="inlineStr">
        <is>
          <t>Legs</t>
        </is>
      </c>
      <c r="G4" s="9" t="inlineStr">
        <is>
          <t>Net Credit / Debit</t>
        </is>
      </c>
      <c r="H4" s="9" t="inlineStr">
        <is>
          <t>Max Profit</t>
        </is>
      </c>
      <c r="I4" s="9" t="inlineStr">
        <is>
          <t>Max Loss</t>
        </is>
      </c>
      <c r="J4" s="9" t="inlineStr">
        <is>
          <t>Breakeven</t>
        </is>
      </c>
      <c r="K4" s="9" t="inlineStr">
        <is>
          <t>Target</t>
        </is>
      </c>
      <c r="L4" s="9" t="inlineStr">
        <is>
          <t>Status</t>
        </is>
      </c>
      <c r="M4" s="9" t="inlineStr">
        <is>
          <t>Outcome P/L</t>
        </is>
      </c>
      <c r="N4" s="9" t="inlineStr">
        <is>
          <t>Lesson / Preference</t>
        </is>
      </c>
      <c r="O4" s="9" t="inlineStr">
        <is>
          <t>Link to Trade ID</t>
        </is>
      </c>
    </row>
    <row r="5">
      <c r="A5" s="12" t="n"/>
      <c r="B5" s="16" t="n"/>
      <c r="C5" s="12" t="n"/>
      <c r="D5" s="12" t="n"/>
      <c r="E5" s="12" t="n"/>
      <c r="F5" s="12" t="n"/>
      <c r="G5" s="11" t="n"/>
      <c r="H5" s="11" t="n"/>
      <c r="I5" s="11" t="n"/>
      <c r="J5" s="11" t="n"/>
      <c r="K5" s="11" t="n"/>
      <c r="L5" s="12" t="n"/>
      <c r="M5" s="11" t="n"/>
      <c r="N5" s="12" t="n"/>
      <c r="O5" s="12" t="n"/>
    </row>
    <row r="6">
      <c r="A6" s="12" t="n"/>
      <c r="B6" s="16" t="n"/>
      <c r="C6" s="12" t="n"/>
      <c r="D6" s="12" t="n"/>
      <c r="E6" s="12" t="n"/>
      <c r="F6" s="12" t="n"/>
      <c r="G6" s="11" t="n"/>
      <c r="H6" s="11" t="n"/>
      <c r="I6" s="11" t="n"/>
      <c r="J6" s="11" t="n"/>
      <c r="K6" s="11" t="n"/>
      <c r="L6" s="12" t="n"/>
      <c r="M6" s="11" t="n"/>
      <c r="N6" s="12" t="n"/>
      <c r="O6" s="12" t="n"/>
    </row>
    <row r="7">
      <c r="A7" s="12" t="n"/>
      <c r="B7" s="16" t="n"/>
      <c r="C7" s="12" t="n"/>
      <c r="D7" s="12" t="n"/>
      <c r="E7" s="12" t="n"/>
      <c r="F7" s="12" t="n"/>
      <c r="G7" s="11" t="n"/>
      <c r="H7" s="11" t="n"/>
      <c r="I7" s="11" t="n"/>
      <c r="J7" s="11" t="n"/>
      <c r="K7" s="11" t="n"/>
      <c r="L7" s="12" t="n"/>
      <c r="M7" s="11" t="n"/>
      <c r="N7" s="12" t="n"/>
      <c r="O7" s="12" t="n"/>
    </row>
    <row r="8">
      <c r="A8" s="12" t="n"/>
      <c r="B8" s="16" t="n"/>
      <c r="C8" s="12" t="n"/>
      <c r="D8" s="12" t="n"/>
      <c r="E8" s="12" t="n"/>
      <c r="F8" s="12" t="n"/>
      <c r="G8" s="11" t="n"/>
      <c r="H8" s="11" t="n"/>
      <c r="I8" s="11" t="n"/>
      <c r="J8" s="11" t="n"/>
      <c r="K8" s="11" t="n"/>
      <c r="L8" s="12" t="n"/>
      <c r="M8" s="11" t="n"/>
      <c r="N8" s="12" t="n"/>
      <c r="O8" s="12" t="n"/>
    </row>
    <row r="9">
      <c r="A9" s="12" t="n"/>
      <c r="B9" s="16" t="n"/>
      <c r="C9" s="12" t="n"/>
      <c r="D9" s="12" t="n"/>
      <c r="E9" s="12" t="n"/>
      <c r="F9" s="12" t="n"/>
      <c r="G9" s="11" t="n"/>
      <c r="H9" s="11" t="n"/>
      <c r="I9" s="11" t="n"/>
      <c r="J9" s="11" t="n"/>
      <c r="K9" s="11" t="n"/>
      <c r="L9" s="12" t="n"/>
      <c r="M9" s="11" t="n"/>
      <c r="N9" s="12" t="n"/>
      <c r="O9" s="12" t="n"/>
    </row>
    <row r="10">
      <c r="A10" s="12" t="n"/>
      <c r="B10" s="16" t="n"/>
      <c r="C10" s="12" t="n"/>
      <c r="D10" s="12" t="n"/>
      <c r="E10" s="12" t="n"/>
      <c r="F10" s="12" t="n"/>
      <c r="G10" s="11" t="n"/>
      <c r="H10" s="11" t="n"/>
      <c r="I10" s="11" t="n"/>
      <c r="J10" s="11" t="n"/>
      <c r="K10" s="11" t="n"/>
      <c r="L10" s="12" t="n"/>
      <c r="M10" s="11" t="n"/>
      <c r="N10" s="12" t="n"/>
      <c r="O10" s="12" t="n"/>
    </row>
    <row r="11">
      <c r="A11" s="12" t="n"/>
      <c r="B11" s="16" t="n"/>
      <c r="C11" s="12" t="n"/>
      <c r="D11" s="12" t="n"/>
      <c r="E11" s="12" t="n"/>
      <c r="F11" s="12" t="n"/>
      <c r="G11" s="11" t="n"/>
      <c r="H11" s="11" t="n"/>
      <c r="I11" s="11" t="n"/>
      <c r="J11" s="11" t="n"/>
      <c r="K11" s="11" t="n"/>
      <c r="L11" s="12" t="n"/>
      <c r="M11" s="11" t="n"/>
      <c r="N11" s="12" t="n"/>
      <c r="O11" s="12" t="n"/>
    </row>
    <row r="12">
      <c r="A12" s="12" t="n"/>
      <c r="B12" s="16" t="n"/>
      <c r="C12" s="12" t="n"/>
      <c r="D12" s="12" t="n"/>
      <c r="E12" s="12" t="n"/>
      <c r="F12" s="12" t="n"/>
      <c r="G12" s="11" t="n"/>
      <c r="H12" s="11" t="n"/>
      <c r="I12" s="11" t="n"/>
      <c r="J12" s="11" t="n"/>
      <c r="K12" s="11" t="n"/>
      <c r="L12" s="12" t="n"/>
      <c r="M12" s="11" t="n"/>
      <c r="N12" s="12" t="n"/>
      <c r="O12" s="12" t="n"/>
    </row>
    <row r="13">
      <c r="A13" s="12" t="n"/>
      <c r="B13" s="16" t="n"/>
      <c r="C13" s="12" t="n"/>
      <c r="D13" s="12" t="n"/>
      <c r="E13" s="12" t="n"/>
      <c r="F13" s="12" t="n"/>
      <c r="G13" s="11" t="n"/>
      <c r="H13" s="11" t="n"/>
      <c r="I13" s="11" t="n"/>
      <c r="J13" s="11" t="n"/>
      <c r="K13" s="11" t="n"/>
      <c r="L13" s="12" t="n"/>
      <c r="M13" s="11" t="n"/>
      <c r="N13" s="12" t="n"/>
      <c r="O13" s="12" t="n"/>
    </row>
    <row r="14">
      <c r="A14" s="12" t="n"/>
      <c r="B14" s="16" t="n"/>
      <c r="C14" s="12" t="n"/>
      <c r="D14" s="12" t="n"/>
      <c r="E14" s="12" t="n"/>
      <c r="F14" s="12" t="n"/>
      <c r="G14" s="11" t="n"/>
      <c r="H14" s="11" t="n"/>
      <c r="I14" s="11" t="n"/>
      <c r="J14" s="11" t="n"/>
      <c r="K14" s="11" t="n"/>
      <c r="L14" s="12" t="n"/>
      <c r="M14" s="11" t="n"/>
      <c r="N14" s="12" t="n"/>
      <c r="O14" s="12" t="n"/>
    </row>
    <row r="15">
      <c r="A15" s="12" t="n"/>
      <c r="B15" s="16" t="n"/>
      <c r="C15" s="12" t="n"/>
      <c r="D15" s="12" t="n"/>
      <c r="E15" s="12" t="n"/>
      <c r="F15" s="12" t="n"/>
      <c r="G15" s="11" t="n"/>
      <c r="H15" s="11" t="n"/>
      <c r="I15" s="11" t="n"/>
      <c r="J15" s="11" t="n"/>
      <c r="K15" s="11" t="n"/>
      <c r="L15" s="12" t="n"/>
      <c r="M15" s="11" t="n"/>
      <c r="N15" s="12" t="n"/>
      <c r="O15" s="12" t="n"/>
    </row>
    <row r="16">
      <c r="A16" s="12" t="n"/>
      <c r="B16" s="16" t="n"/>
      <c r="C16" s="12" t="n"/>
      <c r="D16" s="12" t="n"/>
      <c r="E16" s="12" t="n"/>
      <c r="F16" s="12" t="n"/>
      <c r="G16" s="11" t="n"/>
      <c r="H16" s="11" t="n"/>
      <c r="I16" s="11" t="n"/>
      <c r="J16" s="11" t="n"/>
      <c r="K16" s="11" t="n"/>
      <c r="L16" s="12" t="n"/>
      <c r="M16" s="11" t="n"/>
      <c r="N16" s="12" t="n"/>
      <c r="O16" s="12" t="n"/>
    </row>
    <row r="17">
      <c r="A17" s="12" t="n"/>
      <c r="B17" s="16" t="n"/>
      <c r="C17" s="12" t="n"/>
      <c r="D17" s="12" t="n"/>
      <c r="E17" s="12" t="n"/>
      <c r="F17" s="12" t="n"/>
      <c r="G17" s="11" t="n"/>
      <c r="H17" s="11" t="n"/>
      <c r="I17" s="11" t="n"/>
      <c r="J17" s="11" t="n"/>
      <c r="K17" s="11" t="n"/>
      <c r="L17" s="12" t="n"/>
      <c r="M17" s="11" t="n"/>
      <c r="N17" s="12" t="n"/>
      <c r="O17" s="12" t="n"/>
    </row>
    <row r="18">
      <c r="A18" s="12" t="n"/>
      <c r="B18" s="16" t="n"/>
      <c r="C18" s="12" t="n"/>
      <c r="D18" s="12" t="n"/>
      <c r="E18" s="12" t="n"/>
      <c r="F18" s="12" t="n"/>
      <c r="G18" s="11" t="n"/>
      <c r="H18" s="11" t="n"/>
      <c r="I18" s="11" t="n"/>
      <c r="J18" s="11" t="n"/>
      <c r="K18" s="11" t="n"/>
      <c r="L18" s="12" t="n"/>
      <c r="M18" s="11" t="n"/>
      <c r="N18" s="12" t="n"/>
      <c r="O18" s="12" t="n"/>
    </row>
    <row r="19">
      <c r="A19" s="12" t="n"/>
      <c r="B19" s="16" t="n"/>
      <c r="C19" s="12" t="n"/>
      <c r="D19" s="12" t="n"/>
      <c r="E19" s="12" t="n"/>
      <c r="F19" s="12" t="n"/>
      <c r="G19" s="11" t="n"/>
      <c r="H19" s="11" t="n"/>
      <c r="I19" s="11" t="n"/>
      <c r="J19" s="11" t="n"/>
      <c r="K19" s="11" t="n"/>
      <c r="L19" s="12" t="n"/>
      <c r="M19" s="11" t="n"/>
      <c r="N19" s="12" t="n"/>
      <c r="O19" s="12" t="n"/>
    </row>
    <row r="20">
      <c r="A20" s="12" t="n"/>
      <c r="B20" s="16" t="n"/>
      <c r="C20" s="12" t="n"/>
      <c r="D20" s="12" t="n"/>
      <c r="E20" s="12" t="n"/>
      <c r="F20" s="12" t="n"/>
      <c r="G20" s="11" t="n"/>
      <c r="H20" s="11" t="n"/>
      <c r="I20" s="11" t="n"/>
      <c r="J20" s="11" t="n"/>
      <c r="K20" s="11" t="n"/>
      <c r="L20" s="12" t="n"/>
      <c r="M20" s="11" t="n"/>
      <c r="N20" s="12" t="n"/>
      <c r="O20" s="12" t="n"/>
    </row>
    <row r="21">
      <c r="A21" s="12" t="n"/>
      <c r="B21" s="16" t="n"/>
      <c r="C21" s="12" t="n"/>
      <c r="D21" s="12" t="n"/>
      <c r="E21" s="12" t="n"/>
      <c r="F21" s="12" t="n"/>
      <c r="G21" s="11" t="n"/>
      <c r="H21" s="11" t="n"/>
      <c r="I21" s="11" t="n"/>
      <c r="J21" s="11" t="n"/>
      <c r="K21" s="11" t="n"/>
      <c r="L21" s="12" t="n"/>
      <c r="M21" s="11" t="n"/>
      <c r="N21" s="12" t="n"/>
      <c r="O21" s="12" t="n"/>
    </row>
    <row r="22">
      <c r="A22" s="12" t="n"/>
      <c r="B22" s="16" t="n"/>
      <c r="C22" s="12" t="n"/>
      <c r="D22" s="12" t="n"/>
      <c r="E22" s="12" t="n"/>
      <c r="F22" s="12" t="n"/>
      <c r="G22" s="11" t="n"/>
      <c r="H22" s="11" t="n"/>
      <c r="I22" s="11" t="n"/>
      <c r="J22" s="11" t="n"/>
      <c r="K22" s="11" t="n"/>
      <c r="L22" s="12" t="n"/>
      <c r="M22" s="11" t="n"/>
      <c r="N22" s="12" t="n"/>
      <c r="O22" s="12" t="n"/>
    </row>
    <row r="23">
      <c r="A23" s="12" t="n"/>
      <c r="B23" s="16" t="n"/>
      <c r="C23" s="12" t="n"/>
      <c r="D23" s="12" t="n"/>
      <c r="E23" s="12" t="n"/>
      <c r="F23" s="12" t="n"/>
      <c r="G23" s="11" t="n"/>
      <c r="H23" s="11" t="n"/>
      <c r="I23" s="11" t="n"/>
      <c r="J23" s="11" t="n"/>
      <c r="K23" s="11" t="n"/>
      <c r="L23" s="12" t="n"/>
      <c r="M23" s="11" t="n"/>
      <c r="N23" s="12" t="n"/>
      <c r="O23" s="12" t="n"/>
    </row>
    <row r="24">
      <c r="A24" s="12" t="n"/>
      <c r="B24" s="16" t="n"/>
      <c r="C24" s="12" t="n"/>
      <c r="D24" s="12" t="n"/>
      <c r="E24" s="12" t="n"/>
      <c r="F24" s="12" t="n"/>
      <c r="G24" s="11" t="n"/>
      <c r="H24" s="11" t="n"/>
      <c r="I24" s="11" t="n"/>
      <c r="J24" s="11" t="n"/>
      <c r="K24" s="11" t="n"/>
      <c r="L24" s="12" t="n"/>
      <c r="M24" s="11" t="n"/>
      <c r="N24" s="12" t="n"/>
      <c r="O24" s="12" t="n"/>
    </row>
    <row r="25">
      <c r="A25" s="12" t="n"/>
      <c r="B25" s="16" t="n"/>
      <c r="C25" s="12" t="n"/>
      <c r="D25" s="12" t="n"/>
      <c r="E25" s="12" t="n"/>
      <c r="F25" s="12" t="n"/>
      <c r="G25" s="11" t="n"/>
      <c r="H25" s="11" t="n"/>
      <c r="I25" s="11" t="n"/>
      <c r="J25" s="11" t="n"/>
      <c r="K25" s="11" t="n"/>
      <c r="L25" s="12" t="n"/>
      <c r="M25" s="11" t="n"/>
      <c r="N25" s="12" t="n"/>
      <c r="O25" s="12" t="n"/>
    </row>
    <row r="26">
      <c r="A26" s="12" t="n"/>
      <c r="B26" s="16" t="n"/>
      <c r="C26" s="12" t="n"/>
      <c r="D26" s="12" t="n"/>
      <c r="E26" s="12" t="n"/>
      <c r="F26" s="12" t="n"/>
      <c r="G26" s="11" t="n"/>
      <c r="H26" s="11" t="n"/>
      <c r="I26" s="11" t="n"/>
      <c r="J26" s="11" t="n"/>
      <c r="K26" s="11" t="n"/>
      <c r="L26" s="12" t="n"/>
      <c r="M26" s="11" t="n"/>
      <c r="N26" s="12" t="n"/>
      <c r="O26" s="12" t="n"/>
    </row>
    <row r="27">
      <c r="A27" s="12" t="n"/>
      <c r="B27" s="16" t="n"/>
      <c r="C27" s="12" t="n"/>
      <c r="D27" s="12" t="n"/>
      <c r="E27" s="12" t="n"/>
      <c r="F27" s="12" t="n"/>
      <c r="G27" s="11" t="n"/>
      <c r="H27" s="11" t="n"/>
      <c r="I27" s="11" t="n"/>
      <c r="J27" s="11" t="n"/>
      <c r="K27" s="11" t="n"/>
      <c r="L27" s="12" t="n"/>
      <c r="M27" s="11" t="n"/>
      <c r="N27" s="12" t="n"/>
      <c r="O27" s="12" t="n"/>
    </row>
    <row r="28">
      <c r="A28" s="12" t="n"/>
      <c r="B28" s="16" t="n"/>
      <c r="C28" s="12" t="n"/>
      <c r="D28" s="12" t="n"/>
      <c r="E28" s="12" t="n"/>
      <c r="F28" s="12" t="n"/>
      <c r="G28" s="11" t="n"/>
      <c r="H28" s="11" t="n"/>
      <c r="I28" s="11" t="n"/>
      <c r="J28" s="11" t="n"/>
      <c r="K28" s="11" t="n"/>
      <c r="L28" s="12" t="n"/>
      <c r="M28" s="11" t="n"/>
      <c r="N28" s="12" t="n"/>
      <c r="O28" s="12" t="n"/>
    </row>
    <row r="29">
      <c r="A29" s="12" t="n"/>
      <c r="B29" s="16" t="n"/>
      <c r="C29" s="12" t="n"/>
      <c r="D29" s="12" t="n"/>
      <c r="E29" s="12" t="n"/>
      <c r="F29" s="12" t="n"/>
      <c r="G29" s="11" t="n"/>
      <c r="H29" s="11" t="n"/>
      <c r="I29" s="11" t="n"/>
      <c r="J29" s="11" t="n"/>
      <c r="K29" s="11" t="n"/>
      <c r="L29" s="12" t="n"/>
      <c r="M29" s="11" t="n"/>
      <c r="N29" s="12" t="n"/>
      <c r="O29" s="12" t="n"/>
    </row>
    <row r="30">
      <c r="A30" s="12" t="n"/>
      <c r="B30" s="16" t="n"/>
      <c r="C30" s="12" t="n"/>
      <c r="D30" s="12" t="n"/>
      <c r="E30" s="12" t="n"/>
      <c r="F30" s="12" t="n"/>
      <c r="G30" s="11" t="n"/>
      <c r="H30" s="11" t="n"/>
      <c r="I30" s="11" t="n"/>
      <c r="J30" s="11" t="n"/>
      <c r="K30" s="11" t="n"/>
      <c r="L30" s="12" t="n"/>
      <c r="M30" s="11" t="n"/>
      <c r="N30" s="12" t="n"/>
      <c r="O30" s="12" t="n"/>
    </row>
    <row r="31">
      <c r="A31" s="12" t="n"/>
      <c r="B31" s="16" t="n"/>
      <c r="C31" s="12" t="n"/>
      <c r="D31" s="12" t="n"/>
      <c r="E31" s="12" t="n"/>
      <c r="F31" s="12" t="n"/>
      <c r="G31" s="11" t="n"/>
      <c r="H31" s="11" t="n"/>
      <c r="I31" s="11" t="n"/>
      <c r="J31" s="11" t="n"/>
      <c r="K31" s="11" t="n"/>
      <c r="L31" s="12" t="n"/>
      <c r="M31" s="11" t="n"/>
      <c r="N31" s="12" t="n"/>
      <c r="O31" s="12" t="n"/>
    </row>
    <row r="32">
      <c r="A32" s="12" t="n"/>
      <c r="B32" s="16" t="n"/>
      <c r="C32" s="12" t="n"/>
      <c r="D32" s="12" t="n"/>
      <c r="E32" s="12" t="n"/>
      <c r="F32" s="12" t="n"/>
      <c r="G32" s="11" t="n"/>
      <c r="H32" s="11" t="n"/>
      <c r="I32" s="11" t="n"/>
      <c r="J32" s="11" t="n"/>
      <c r="K32" s="11" t="n"/>
      <c r="L32" s="12" t="n"/>
      <c r="M32" s="11" t="n"/>
      <c r="N32" s="12" t="n"/>
      <c r="O32" s="12" t="n"/>
    </row>
    <row r="33">
      <c r="A33" s="12" t="n"/>
      <c r="B33" s="16" t="n"/>
      <c r="C33" s="12" t="n"/>
      <c r="D33" s="12" t="n"/>
      <c r="E33" s="12" t="n"/>
      <c r="F33" s="12" t="n"/>
      <c r="G33" s="11" t="n"/>
      <c r="H33" s="11" t="n"/>
      <c r="I33" s="11" t="n"/>
      <c r="J33" s="11" t="n"/>
      <c r="K33" s="11" t="n"/>
      <c r="L33" s="12" t="n"/>
      <c r="M33" s="11" t="n"/>
      <c r="N33" s="12" t="n"/>
      <c r="O33" s="12" t="n"/>
    </row>
    <row r="34">
      <c r="A34" s="12" t="n"/>
      <c r="B34" s="16" t="n"/>
      <c r="C34" s="12" t="n"/>
      <c r="D34" s="12" t="n"/>
      <c r="E34" s="12" t="n"/>
      <c r="F34" s="12" t="n"/>
      <c r="G34" s="11" t="n"/>
      <c r="H34" s="11" t="n"/>
      <c r="I34" s="11" t="n"/>
      <c r="J34" s="11" t="n"/>
      <c r="K34" s="11" t="n"/>
      <c r="L34" s="12" t="n"/>
      <c r="M34" s="11" t="n"/>
      <c r="N34" s="12" t="n"/>
      <c r="O34" s="12" t="n"/>
    </row>
    <row r="35">
      <c r="A35" s="12" t="n"/>
      <c r="B35" s="16" t="n"/>
      <c r="C35" s="12" t="n"/>
      <c r="D35" s="12" t="n"/>
      <c r="E35" s="12" t="n"/>
      <c r="F35" s="12" t="n"/>
      <c r="G35" s="11" t="n"/>
      <c r="H35" s="11" t="n"/>
      <c r="I35" s="11" t="n"/>
      <c r="J35" s="11" t="n"/>
      <c r="K35" s="11" t="n"/>
      <c r="L35" s="12" t="n"/>
      <c r="M35" s="11" t="n"/>
      <c r="N35" s="12" t="n"/>
      <c r="O35" s="12" t="n"/>
    </row>
    <row r="36">
      <c r="A36" s="12" t="n"/>
      <c r="B36" s="16" t="n"/>
      <c r="C36" s="12" t="n"/>
      <c r="D36" s="12" t="n"/>
      <c r="E36" s="12" t="n"/>
      <c r="F36" s="12" t="n"/>
      <c r="G36" s="11" t="n"/>
      <c r="H36" s="11" t="n"/>
      <c r="I36" s="11" t="n"/>
      <c r="J36" s="11" t="n"/>
      <c r="K36" s="11" t="n"/>
      <c r="L36" s="12" t="n"/>
      <c r="M36" s="11" t="n"/>
      <c r="N36" s="12" t="n"/>
      <c r="O36" s="12" t="n"/>
    </row>
    <row r="37">
      <c r="A37" s="12" t="n"/>
      <c r="B37" s="16" t="n"/>
      <c r="C37" s="12" t="n"/>
      <c r="D37" s="12" t="n"/>
      <c r="E37" s="12" t="n"/>
      <c r="F37" s="12" t="n"/>
      <c r="G37" s="11" t="n"/>
      <c r="H37" s="11" t="n"/>
      <c r="I37" s="11" t="n"/>
      <c r="J37" s="11" t="n"/>
      <c r="K37" s="11" t="n"/>
      <c r="L37" s="12" t="n"/>
      <c r="M37" s="11" t="n"/>
      <c r="N37" s="12" t="n"/>
      <c r="O37" s="12" t="n"/>
    </row>
    <row r="38">
      <c r="A38" s="12" t="n"/>
      <c r="B38" s="16" t="n"/>
      <c r="C38" s="12" t="n"/>
      <c r="D38" s="12" t="n"/>
      <c r="E38" s="12" t="n"/>
      <c r="F38" s="12" t="n"/>
      <c r="G38" s="11" t="n"/>
      <c r="H38" s="11" t="n"/>
      <c r="I38" s="11" t="n"/>
      <c r="J38" s="11" t="n"/>
      <c r="K38" s="11" t="n"/>
      <c r="L38" s="12" t="n"/>
      <c r="M38" s="11" t="n"/>
      <c r="N38" s="12" t="n"/>
      <c r="O38" s="12" t="n"/>
    </row>
    <row r="39">
      <c r="A39" s="12" t="n"/>
      <c r="B39" s="16" t="n"/>
      <c r="C39" s="12" t="n"/>
      <c r="D39" s="12" t="n"/>
      <c r="E39" s="12" t="n"/>
      <c r="F39" s="12" t="n"/>
      <c r="G39" s="11" t="n"/>
      <c r="H39" s="11" t="n"/>
      <c r="I39" s="11" t="n"/>
      <c r="J39" s="11" t="n"/>
      <c r="K39" s="11" t="n"/>
      <c r="L39" s="12" t="n"/>
      <c r="M39" s="11" t="n"/>
      <c r="N39" s="12" t="n"/>
      <c r="O39" s="12" t="n"/>
    </row>
    <row r="40">
      <c r="A40" s="12" t="n"/>
      <c r="B40" s="16" t="n"/>
      <c r="C40" s="12" t="n"/>
      <c r="D40" s="12" t="n"/>
      <c r="E40" s="12" t="n"/>
      <c r="F40" s="12" t="n"/>
      <c r="G40" s="11" t="n"/>
      <c r="H40" s="11" t="n"/>
      <c r="I40" s="11" t="n"/>
      <c r="J40" s="11" t="n"/>
      <c r="K40" s="11" t="n"/>
      <c r="L40" s="12" t="n"/>
      <c r="M40" s="11" t="n"/>
      <c r="N40" s="12" t="n"/>
      <c r="O40" s="12" t="n"/>
    </row>
    <row r="41">
      <c r="A41" s="12" t="n"/>
      <c r="B41" s="16" t="n"/>
      <c r="C41" s="12" t="n"/>
      <c r="D41" s="12" t="n"/>
      <c r="E41" s="12" t="n"/>
      <c r="F41" s="12" t="n"/>
      <c r="G41" s="11" t="n"/>
      <c r="H41" s="11" t="n"/>
      <c r="I41" s="11" t="n"/>
      <c r="J41" s="11" t="n"/>
      <c r="K41" s="11" t="n"/>
      <c r="L41" s="12" t="n"/>
      <c r="M41" s="11" t="n"/>
      <c r="N41" s="12" t="n"/>
      <c r="O41" s="12" t="n"/>
    </row>
    <row r="42">
      <c r="A42" s="12" t="n"/>
      <c r="B42" s="16" t="n"/>
      <c r="C42" s="12" t="n"/>
      <c r="D42" s="12" t="n"/>
      <c r="E42" s="12" t="n"/>
      <c r="F42" s="12" t="n"/>
      <c r="G42" s="11" t="n"/>
      <c r="H42" s="11" t="n"/>
      <c r="I42" s="11" t="n"/>
      <c r="J42" s="11" t="n"/>
      <c r="K42" s="11" t="n"/>
      <c r="L42" s="12" t="n"/>
      <c r="M42" s="11" t="n"/>
      <c r="N42" s="12" t="n"/>
      <c r="O42" s="12" t="n"/>
    </row>
    <row r="43">
      <c r="A43" s="12" t="n"/>
      <c r="B43" s="16" t="n"/>
      <c r="C43" s="12" t="n"/>
      <c r="D43" s="12" t="n"/>
      <c r="E43" s="12" t="n"/>
      <c r="F43" s="12" t="n"/>
      <c r="G43" s="11" t="n"/>
      <c r="H43" s="11" t="n"/>
      <c r="I43" s="11" t="n"/>
      <c r="J43" s="11" t="n"/>
      <c r="K43" s="11" t="n"/>
      <c r="L43" s="12" t="n"/>
      <c r="M43" s="11" t="n"/>
      <c r="N43" s="12" t="n"/>
      <c r="O43" s="12" t="n"/>
    </row>
    <row r="44">
      <c r="A44" s="12" t="n"/>
      <c r="B44" s="16" t="n"/>
      <c r="C44" s="12" t="n"/>
      <c r="D44" s="12" t="n"/>
      <c r="E44" s="12" t="n"/>
      <c r="F44" s="12" t="n"/>
      <c r="G44" s="11" t="n"/>
      <c r="H44" s="11" t="n"/>
      <c r="I44" s="11" t="n"/>
      <c r="J44" s="11" t="n"/>
      <c r="K44" s="11" t="n"/>
      <c r="L44" s="12" t="n"/>
      <c r="M44" s="11" t="n"/>
      <c r="N44" s="12" t="n"/>
      <c r="O44" s="12" t="n"/>
    </row>
    <row r="45">
      <c r="A45" s="12" t="n"/>
      <c r="B45" s="16" t="n"/>
      <c r="C45" s="12" t="n"/>
      <c r="D45" s="12" t="n"/>
      <c r="E45" s="12" t="n"/>
      <c r="F45" s="12" t="n"/>
      <c r="G45" s="11" t="n"/>
      <c r="H45" s="11" t="n"/>
      <c r="I45" s="11" t="n"/>
      <c r="J45" s="11" t="n"/>
      <c r="K45" s="11" t="n"/>
      <c r="L45" s="12" t="n"/>
      <c r="M45" s="11" t="n"/>
      <c r="N45" s="12" t="n"/>
      <c r="O45" s="12" t="n"/>
    </row>
    <row r="46">
      <c r="A46" s="12" t="n"/>
      <c r="B46" s="16" t="n"/>
      <c r="C46" s="12" t="n"/>
      <c r="D46" s="12" t="n"/>
      <c r="E46" s="12" t="n"/>
      <c r="F46" s="12" t="n"/>
      <c r="G46" s="11" t="n"/>
      <c r="H46" s="11" t="n"/>
      <c r="I46" s="11" t="n"/>
      <c r="J46" s="11" t="n"/>
      <c r="K46" s="11" t="n"/>
      <c r="L46" s="12" t="n"/>
      <c r="M46" s="11" t="n"/>
      <c r="N46" s="12" t="n"/>
      <c r="O46" s="12" t="n"/>
    </row>
    <row r="47">
      <c r="A47" s="12" t="n"/>
      <c r="B47" s="16" t="n"/>
      <c r="C47" s="12" t="n"/>
      <c r="D47" s="12" t="n"/>
      <c r="E47" s="12" t="n"/>
      <c r="F47" s="12" t="n"/>
      <c r="G47" s="11" t="n"/>
      <c r="H47" s="11" t="n"/>
      <c r="I47" s="11" t="n"/>
      <c r="J47" s="11" t="n"/>
      <c r="K47" s="11" t="n"/>
      <c r="L47" s="12" t="n"/>
      <c r="M47" s="11" t="n"/>
      <c r="N47" s="12" t="n"/>
      <c r="O47" s="12" t="n"/>
    </row>
    <row r="48">
      <c r="A48" s="12" t="n"/>
      <c r="B48" s="16" t="n"/>
      <c r="C48" s="12" t="n"/>
      <c r="D48" s="12" t="n"/>
      <c r="E48" s="12" t="n"/>
      <c r="F48" s="12" t="n"/>
      <c r="G48" s="11" t="n"/>
      <c r="H48" s="11" t="n"/>
      <c r="I48" s="11" t="n"/>
      <c r="J48" s="11" t="n"/>
      <c r="K48" s="11" t="n"/>
      <c r="L48" s="12" t="n"/>
      <c r="M48" s="11" t="n"/>
      <c r="N48" s="12" t="n"/>
      <c r="O48" s="12" t="n"/>
    </row>
    <row r="49">
      <c r="A49" s="12" t="n"/>
      <c r="B49" s="16" t="n"/>
      <c r="C49" s="12" t="n"/>
      <c r="D49" s="12" t="n"/>
      <c r="E49" s="12" t="n"/>
      <c r="F49" s="12" t="n"/>
      <c r="G49" s="11" t="n"/>
      <c r="H49" s="11" t="n"/>
      <c r="I49" s="11" t="n"/>
      <c r="J49" s="11" t="n"/>
      <c r="K49" s="11" t="n"/>
      <c r="L49" s="12" t="n"/>
      <c r="M49" s="11" t="n"/>
      <c r="N49" s="12" t="n"/>
      <c r="O49" s="12" t="n"/>
    </row>
    <row r="50">
      <c r="A50" s="12" t="n"/>
      <c r="B50" s="16" t="n"/>
      <c r="C50" s="12" t="n"/>
      <c r="D50" s="12" t="n"/>
      <c r="E50" s="12" t="n"/>
      <c r="F50" s="12" t="n"/>
      <c r="G50" s="11" t="n"/>
      <c r="H50" s="11" t="n"/>
      <c r="I50" s="11" t="n"/>
      <c r="J50" s="11" t="n"/>
      <c r="K50" s="11" t="n"/>
      <c r="L50" s="12" t="n"/>
      <c r="M50" s="11" t="n"/>
      <c r="N50" s="12" t="n"/>
      <c r="O50" s="12" t="n"/>
    </row>
    <row r="51">
      <c r="A51" s="12" t="n"/>
      <c r="B51" s="16" t="n"/>
      <c r="C51" s="12" t="n"/>
      <c r="D51" s="12" t="n"/>
      <c r="E51" s="12" t="n"/>
      <c r="F51" s="12" t="n"/>
      <c r="G51" s="11" t="n"/>
      <c r="H51" s="11" t="n"/>
      <c r="I51" s="11" t="n"/>
      <c r="J51" s="11" t="n"/>
      <c r="K51" s="11" t="n"/>
      <c r="L51" s="12" t="n"/>
      <c r="M51" s="11" t="n"/>
      <c r="N51" s="12" t="n"/>
      <c r="O51" s="12" t="n"/>
    </row>
    <row r="52">
      <c r="A52" s="12" t="n"/>
      <c r="B52" s="16" t="n"/>
      <c r="C52" s="12" t="n"/>
      <c r="D52" s="12" t="n"/>
      <c r="E52" s="12" t="n"/>
      <c r="F52" s="12" t="n"/>
      <c r="G52" s="11" t="n"/>
      <c r="H52" s="11" t="n"/>
      <c r="I52" s="11" t="n"/>
      <c r="J52" s="11" t="n"/>
      <c r="K52" s="11" t="n"/>
      <c r="L52" s="12" t="n"/>
      <c r="M52" s="11" t="n"/>
      <c r="N52" s="12" t="n"/>
      <c r="O52" s="12" t="n"/>
    </row>
    <row r="53">
      <c r="A53" s="12" t="n"/>
      <c r="B53" s="16" t="n"/>
      <c r="C53" s="12" t="n"/>
      <c r="D53" s="12" t="n"/>
      <c r="E53" s="12" t="n"/>
      <c r="F53" s="12" t="n"/>
      <c r="G53" s="11" t="n"/>
      <c r="H53" s="11" t="n"/>
      <c r="I53" s="11" t="n"/>
      <c r="J53" s="11" t="n"/>
      <c r="K53" s="11" t="n"/>
      <c r="L53" s="12" t="n"/>
      <c r="M53" s="11" t="n"/>
      <c r="N53" s="12" t="n"/>
      <c r="O53" s="12" t="n"/>
    </row>
    <row r="54">
      <c r="A54" s="12" t="n"/>
      <c r="B54" s="16" t="n"/>
      <c r="C54" s="12" t="n"/>
      <c r="D54" s="12" t="n"/>
      <c r="E54" s="12" t="n"/>
      <c r="F54" s="12" t="n"/>
      <c r="G54" s="11" t="n"/>
      <c r="H54" s="11" t="n"/>
      <c r="I54" s="11" t="n"/>
      <c r="J54" s="11" t="n"/>
      <c r="K54" s="11" t="n"/>
      <c r="L54" s="12" t="n"/>
      <c r="M54" s="11" t="n"/>
      <c r="N54" s="12" t="n"/>
      <c r="O54" s="12" t="n"/>
    </row>
    <row r="55">
      <c r="A55" s="12" t="n"/>
      <c r="B55" s="16" t="n"/>
      <c r="C55" s="12" t="n"/>
      <c r="D55" s="12" t="n"/>
      <c r="E55" s="12" t="n"/>
      <c r="F55" s="12" t="n"/>
      <c r="G55" s="11" t="n"/>
      <c r="H55" s="11" t="n"/>
      <c r="I55" s="11" t="n"/>
      <c r="J55" s="11" t="n"/>
      <c r="K55" s="11" t="n"/>
      <c r="L55" s="12" t="n"/>
      <c r="M55" s="11" t="n"/>
      <c r="N55" s="12" t="n"/>
      <c r="O55" s="12" t="n"/>
    </row>
    <row r="56">
      <c r="A56" s="12" t="n"/>
      <c r="B56" s="16" t="n"/>
      <c r="C56" s="12" t="n"/>
      <c r="D56" s="12" t="n"/>
      <c r="E56" s="12" t="n"/>
      <c r="F56" s="12" t="n"/>
      <c r="G56" s="11" t="n"/>
      <c r="H56" s="11" t="n"/>
      <c r="I56" s="11" t="n"/>
      <c r="J56" s="11" t="n"/>
      <c r="K56" s="11" t="n"/>
      <c r="L56" s="12" t="n"/>
      <c r="M56" s="11" t="n"/>
      <c r="N56" s="12" t="n"/>
      <c r="O56" s="12" t="n"/>
    </row>
    <row r="57">
      <c r="A57" s="12" t="n"/>
      <c r="B57" s="16" t="n"/>
      <c r="C57" s="12" t="n"/>
      <c r="D57" s="12" t="n"/>
      <c r="E57" s="12" t="n"/>
      <c r="F57" s="12" t="n"/>
      <c r="G57" s="11" t="n"/>
      <c r="H57" s="11" t="n"/>
      <c r="I57" s="11" t="n"/>
      <c r="J57" s="11" t="n"/>
      <c r="K57" s="11" t="n"/>
      <c r="L57" s="12" t="n"/>
      <c r="M57" s="11" t="n"/>
      <c r="N57" s="12" t="n"/>
      <c r="O57" s="12" t="n"/>
    </row>
    <row r="58">
      <c r="A58" s="12" t="n"/>
      <c r="B58" s="16" t="n"/>
      <c r="C58" s="12" t="n"/>
      <c r="D58" s="12" t="n"/>
      <c r="E58" s="12" t="n"/>
      <c r="F58" s="12" t="n"/>
      <c r="G58" s="11" t="n"/>
      <c r="H58" s="11" t="n"/>
      <c r="I58" s="11" t="n"/>
      <c r="J58" s="11" t="n"/>
      <c r="K58" s="11" t="n"/>
      <c r="L58" s="12" t="n"/>
      <c r="M58" s="11" t="n"/>
      <c r="N58" s="12" t="n"/>
      <c r="O58" s="12" t="n"/>
    </row>
    <row r="59">
      <c r="A59" s="12" t="n"/>
      <c r="B59" s="16" t="n"/>
      <c r="C59" s="12" t="n"/>
      <c r="D59" s="12" t="n"/>
      <c r="E59" s="12" t="n"/>
      <c r="F59" s="12" t="n"/>
      <c r="G59" s="11" t="n"/>
      <c r="H59" s="11" t="n"/>
      <c r="I59" s="11" t="n"/>
      <c r="J59" s="11" t="n"/>
      <c r="K59" s="11" t="n"/>
      <c r="L59" s="12" t="n"/>
      <c r="M59" s="11" t="n"/>
      <c r="N59" s="12" t="n"/>
      <c r="O59" s="12" t="n"/>
    </row>
    <row r="60">
      <c r="A60" s="12" t="n"/>
      <c r="B60" s="16" t="n"/>
      <c r="C60" s="12" t="n"/>
      <c r="D60" s="12" t="n"/>
      <c r="E60" s="12" t="n"/>
      <c r="F60" s="12" t="n"/>
      <c r="G60" s="11" t="n"/>
      <c r="H60" s="11" t="n"/>
      <c r="I60" s="11" t="n"/>
      <c r="J60" s="11" t="n"/>
      <c r="K60" s="11" t="n"/>
      <c r="L60" s="12" t="n"/>
      <c r="M60" s="11" t="n"/>
      <c r="N60" s="12" t="n"/>
      <c r="O60" s="12" t="n"/>
    </row>
    <row r="61">
      <c r="A61" s="12" t="n"/>
      <c r="B61" s="16" t="n"/>
      <c r="C61" s="12" t="n"/>
      <c r="D61" s="12" t="n"/>
      <c r="E61" s="12" t="n"/>
      <c r="F61" s="12" t="n"/>
      <c r="G61" s="11" t="n"/>
      <c r="H61" s="11" t="n"/>
      <c r="I61" s="11" t="n"/>
      <c r="J61" s="11" t="n"/>
      <c r="K61" s="11" t="n"/>
      <c r="L61" s="12" t="n"/>
      <c r="M61" s="11" t="n"/>
      <c r="N61" s="12" t="n"/>
      <c r="O61" s="12" t="n"/>
    </row>
    <row r="62">
      <c r="A62" s="12" t="n"/>
      <c r="B62" s="16" t="n"/>
      <c r="C62" s="12" t="n"/>
      <c r="D62" s="12" t="n"/>
      <c r="E62" s="12" t="n"/>
      <c r="F62" s="12" t="n"/>
      <c r="G62" s="11" t="n"/>
      <c r="H62" s="11" t="n"/>
      <c r="I62" s="11" t="n"/>
      <c r="J62" s="11" t="n"/>
      <c r="K62" s="11" t="n"/>
      <c r="L62" s="12" t="n"/>
      <c r="M62" s="11" t="n"/>
      <c r="N62" s="12" t="n"/>
      <c r="O62" s="12" t="n"/>
    </row>
    <row r="63">
      <c r="A63" s="12" t="n"/>
      <c r="B63" s="16" t="n"/>
      <c r="C63" s="12" t="n"/>
      <c r="D63" s="12" t="n"/>
      <c r="E63" s="12" t="n"/>
      <c r="F63" s="12" t="n"/>
      <c r="G63" s="11" t="n"/>
      <c r="H63" s="11" t="n"/>
      <c r="I63" s="11" t="n"/>
      <c r="J63" s="11" t="n"/>
      <c r="K63" s="11" t="n"/>
      <c r="L63" s="12" t="n"/>
      <c r="M63" s="11" t="n"/>
      <c r="N63" s="12" t="n"/>
      <c r="O63" s="12" t="n"/>
    </row>
    <row r="64">
      <c r="A64" s="12" t="n"/>
      <c r="B64" s="16" t="n"/>
      <c r="C64" s="12" t="n"/>
      <c r="D64" s="12" t="n"/>
      <c r="E64" s="12" t="n"/>
      <c r="F64" s="12" t="n"/>
      <c r="G64" s="11" t="n"/>
      <c r="H64" s="11" t="n"/>
      <c r="I64" s="11" t="n"/>
      <c r="J64" s="11" t="n"/>
      <c r="K64" s="11" t="n"/>
      <c r="L64" s="12" t="n"/>
      <c r="M64" s="11" t="n"/>
      <c r="N64" s="12" t="n"/>
      <c r="O64" s="12" t="n"/>
    </row>
    <row r="65">
      <c r="A65" s="12" t="n"/>
      <c r="B65" s="16" t="n"/>
      <c r="C65" s="12" t="n"/>
      <c r="D65" s="12" t="n"/>
      <c r="E65" s="12" t="n"/>
      <c r="F65" s="12" t="n"/>
      <c r="G65" s="11" t="n"/>
      <c r="H65" s="11" t="n"/>
      <c r="I65" s="11" t="n"/>
      <c r="J65" s="11" t="n"/>
      <c r="K65" s="11" t="n"/>
      <c r="L65" s="12" t="n"/>
      <c r="M65" s="11" t="n"/>
      <c r="N65" s="12" t="n"/>
      <c r="O65" s="12" t="n"/>
    </row>
    <row r="66">
      <c r="A66" s="12" t="n"/>
      <c r="B66" s="16" t="n"/>
      <c r="C66" s="12" t="n"/>
      <c r="D66" s="12" t="n"/>
      <c r="E66" s="12" t="n"/>
      <c r="F66" s="12" t="n"/>
      <c r="G66" s="11" t="n"/>
      <c r="H66" s="11" t="n"/>
      <c r="I66" s="11" t="n"/>
      <c r="J66" s="11" t="n"/>
      <c r="K66" s="11" t="n"/>
      <c r="L66" s="12" t="n"/>
      <c r="M66" s="11" t="n"/>
      <c r="N66" s="12" t="n"/>
      <c r="O66" s="12" t="n"/>
    </row>
    <row r="67">
      <c r="A67" s="12" t="n"/>
      <c r="B67" s="16" t="n"/>
      <c r="C67" s="12" t="n"/>
      <c r="D67" s="12" t="n"/>
      <c r="E67" s="12" t="n"/>
      <c r="F67" s="12" t="n"/>
      <c r="G67" s="11" t="n"/>
      <c r="H67" s="11" t="n"/>
      <c r="I67" s="11" t="n"/>
      <c r="J67" s="11" t="n"/>
      <c r="K67" s="11" t="n"/>
      <c r="L67" s="12" t="n"/>
      <c r="M67" s="11" t="n"/>
      <c r="N67" s="12" t="n"/>
      <c r="O67" s="12" t="n"/>
    </row>
    <row r="68">
      <c r="A68" s="12" t="n"/>
      <c r="B68" s="16" t="n"/>
      <c r="C68" s="12" t="n"/>
      <c r="D68" s="12" t="n"/>
      <c r="E68" s="12" t="n"/>
      <c r="F68" s="12" t="n"/>
      <c r="G68" s="11" t="n"/>
      <c r="H68" s="11" t="n"/>
      <c r="I68" s="11" t="n"/>
      <c r="J68" s="11" t="n"/>
      <c r="K68" s="11" t="n"/>
      <c r="L68" s="12" t="n"/>
      <c r="M68" s="11" t="n"/>
      <c r="N68" s="12" t="n"/>
      <c r="O68" s="12" t="n"/>
    </row>
    <row r="69">
      <c r="A69" s="12" t="n"/>
      <c r="B69" s="16" t="n"/>
      <c r="C69" s="12" t="n"/>
      <c r="D69" s="12" t="n"/>
      <c r="E69" s="12" t="n"/>
      <c r="F69" s="12" t="n"/>
      <c r="G69" s="11" t="n"/>
      <c r="H69" s="11" t="n"/>
      <c r="I69" s="11" t="n"/>
      <c r="J69" s="11" t="n"/>
      <c r="K69" s="11" t="n"/>
      <c r="L69" s="12" t="n"/>
      <c r="M69" s="11" t="n"/>
      <c r="N69" s="12" t="n"/>
      <c r="O69" s="12" t="n"/>
    </row>
    <row r="70">
      <c r="A70" s="12" t="n"/>
      <c r="B70" s="16" t="n"/>
      <c r="C70" s="12" t="n"/>
      <c r="D70" s="12" t="n"/>
      <c r="E70" s="12" t="n"/>
      <c r="F70" s="12" t="n"/>
      <c r="G70" s="11" t="n"/>
      <c r="H70" s="11" t="n"/>
      <c r="I70" s="11" t="n"/>
      <c r="J70" s="11" t="n"/>
      <c r="K70" s="11" t="n"/>
      <c r="L70" s="12" t="n"/>
      <c r="M70" s="11" t="n"/>
      <c r="N70" s="12" t="n"/>
      <c r="O70" s="12" t="n"/>
    </row>
    <row r="71">
      <c r="A71" s="12" t="n"/>
      <c r="B71" s="16" t="n"/>
      <c r="C71" s="12" t="n"/>
      <c r="D71" s="12" t="n"/>
      <c r="E71" s="12" t="n"/>
      <c r="F71" s="12" t="n"/>
      <c r="G71" s="11" t="n"/>
      <c r="H71" s="11" t="n"/>
      <c r="I71" s="11" t="n"/>
      <c r="J71" s="11" t="n"/>
      <c r="K71" s="11" t="n"/>
      <c r="L71" s="12" t="n"/>
      <c r="M71" s="11" t="n"/>
      <c r="N71" s="12" t="n"/>
      <c r="O71" s="12" t="n"/>
    </row>
    <row r="72">
      <c r="A72" s="12" t="n"/>
      <c r="B72" s="16" t="n"/>
      <c r="C72" s="12" t="n"/>
      <c r="D72" s="12" t="n"/>
      <c r="E72" s="12" t="n"/>
      <c r="F72" s="12" t="n"/>
      <c r="G72" s="11" t="n"/>
      <c r="H72" s="11" t="n"/>
      <c r="I72" s="11" t="n"/>
      <c r="J72" s="11" t="n"/>
      <c r="K72" s="11" t="n"/>
      <c r="L72" s="12" t="n"/>
      <c r="M72" s="11" t="n"/>
      <c r="N72" s="12" t="n"/>
      <c r="O72" s="12" t="n"/>
    </row>
    <row r="73">
      <c r="A73" s="12" t="n"/>
      <c r="B73" s="16" t="n"/>
      <c r="C73" s="12" t="n"/>
      <c r="D73" s="12" t="n"/>
      <c r="E73" s="12" t="n"/>
      <c r="F73" s="12" t="n"/>
      <c r="G73" s="11" t="n"/>
      <c r="H73" s="11" t="n"/>
      <c r="I73" s="11" t="n"/>
      <c r="J73" s="11" t="n"/>
      <c r="K73" s="11" t="n"/>
      <c r="L73" s="12" t="n"/>
      <c r="M73" s="11" t="n"/>
      <c r="N73" s="12" t="n"/>
      <c r="O73" s="12" t="n"/>
    </row>
    <row r="74">
      <c r="A74" s="12" t="n"/>
      <c r="B74" s="16" t="n"/>
      <c r="C74" s="12" t="n"/>
      <c r="D74" s="12" t="n"/>
      <c r="E74" s="12" t="n"/>
      <c r="F74" s="12" t="n"/>
      <c r="G74" s="11" t="n"/>
      <c r="H74" s="11" t="n"/>
      <c r="I74" s="11" t="n"/>
      <c r="J74" s="11" t="n"/>
      <c r="K74" s="11" t="n"/>
      <c r="L74" s="12" t="n"/>
      <c r="M74" s="11" t="n"/>
      <c r="N74" s="12" t="n"/>
      <c r="O74" s="12" t="n"/>
    </row>
    <row r="75">
      <c r="A75" s="12" t="n"/>
      <c r="B75" s="16" t="n"/>
      <c r="C75" s="12" t="n"/>
      <c r="D75" s="12" t="n"/>
      <c r="E75" s="12" t="n"/>
      <c r="F75" s="12" t="n"/>
      <c r="G75" s="11" t="n"/>
      <c r="H75" s="11" t="n"/>
      <c r="I75" s="11" t="n"/>
      <c r="J75" s="11" t="n"/>
      <c r="K75" s="11" t="n"/>
      <c r="L75" s="12" t="n"/>
      <c r="M75" s="11" t="n"/>
      <c r="N75" s="12" t="n"/>
      <c r="O75" s="12" t="n"/>
    </row>
    <row r="76">
      <c r="A76" s="12" t="n"/>
      <c r="B76" s="16" t="n"/>
      <c r="C76" s="12" t="n"/>
      <c r="D76" s="12" t="n"/>
      <c r="E76" s="12" t="n"/>
      <c r="F76" s="12" t="n"/>
      <c r="G76" s="11" t="n"/>
      <c r="H76" s="11" t="n"/>
      <c r="I76" s="11" t="n"/>
      <c r="J76" s="11" t="n"/>
      <c r="K76" s="11" t="n"/>
      <c r="L76" s="12" t="n"/>
      <c r="M76" s="11" t="n"/>
      <c r="N76" s="12" t="n"/>
      <c r="O76" s="12" t="n"/>
    </row>
    <row r="77">
      <c r="A77" s="12" t="n"/>
      <c r="B77" s="16" t="n"/>
      <c r="C77" s="12" t="n"/>
      <c r="D77" s="12" t="n"/>
      <c r="E77" s="12" t="n"/>
      <c r="F77" s="12" t="n"/>
      <c r="G77" s="11" t="n"/>
      <c r="H77" s="11" t="n"/>
      <c r="I77" s="11" t="n"/>
      <c r="J77" s="11" t="n"/>
      <c r="K77" s="11" t="n"/>
      <c r="L77" s="12" t="n"/>
      <c r="M77" s="11" t="n"/>
      <c r="N77" s="12" t="n"/>
      <c r="O77" s="12" t="n"/>
    </row>
    <row r="78">
      <c r="A78" s="12" t="n"/>
      <c r="B78" s="16" t="n"/>
      <c r="C78" s="12" t="n"/>
      <c r="D78" s="12" t="n"/>
      <c r="E78" s="12" t="n"/>
      <c r="F78" s="12" t="n"/>
      <c r="G78" s="11" t="n"/>
      <c r="H78" s="11" t="n"/>
      <c r="I78" s="11" t="n"/>
      <c r="J78" s="11" t="n"/>
      <c r="K78" s="11" t="n"/>
      <c r="L78" s="12" t="n"/>
      <c r="M78" s="11" t="n"/>
      <c r="N78" s="12" t="n"/>
      <c r="O78" s="12" t="n"/>
    </row>
    <row r="79">
      <c r="A79" s="12" t="n"/>
      <c r="B79" s="16" t="n"/>
      <c r="C79" s="12" t="n"/>
      <c r="D79" s="12" t="n"/>
      <c r="E79" s="12" t="n"/>
      <c r="F79" s="12" t="n"/>
      <c r="G79" s="11" t="n"/>
      <c r="H79" s="11" t="n"/>
      <c r="I79" s="11" t="n"/>
      <c r="J79" s="11" t="n"/>
      <c r="K79" s="11" t="n"/>
      <c r="L79" s="12" t="n"/>
      <c r="M79" s="11" t="n"/>
      <c r="N79" s="12" t="n"/>
      <c r="O79" s="12" t="n"/>
    </row>
    <row r="80">
      <c r="A80" s="12" t="n"/>
      <c r="B80" s="16" t="n"/>
      <c r="C80" s="12" t="n"/>
      <c r="D80" s="12" t="n"/>
      <c r="E80" s="12" t="n"/>
      <c r="F80" s="12" t="n"/>
      <c r="G80" s="11" t="n"/>
      <c r="H80" s="11" t="n"/>
      <c r="I80" s="11" t="n"/>
      <c r="J80" s="11" t="n"/>
      <c r="K80" s="11" t="n"/>
      <c r="L80" s="12" t="n"/>
      <c r="M80" s="11" t="n"/>
      <c r="N80" s="12" t="n"/>
      <c r="O80" s="12" t="n"/>
    </row>
    <row r="81">
      <c r="A81" s="12" t="n"/>
      <c r="B81" s="16" t="n"/>
      <c r="C81" s="12" t="n"/>
      <c r="D81" s="12" t="n"/>
      <c r="E81" s="12" t="n"/>
      <c r="F81" s="12" t="n"/>
      <c r="G81" s="11" t="n"/>
      <c r="H81" s="11" t="n"/>
      <c r="I81" s="11" t="n"/>
      <c r="J81" s="11" t="n"/>
      <c r="K81" s="11" t="n"/>
      <c r="L81" s="12" t="n"/>
      <c r="M81" s="11" t="n"/>
      <c r="N81" s="12" t="n"/>
      <c r="O81" s="12" t="n"/>
    </row>
    <row r="82">
      <c r="A82" s="12" t="n"/>
      <c r="B82" s="16" t="n"/>
      <c r="C82" s="12" t="n"/>
      <c r="D82" s="12" t="n"/>
      <c r="E82" s="12" t="n"/>
      <c r="F82" s="12" t="n"/>
      <c r="G82" s="11" t="n"/>
      <c r="H82" s="11" t="n"/>
      <c r="I82" s="11" t="n"/>
      <c r="J82" s="11" t="n"/>
      <c r="K82" s="11" t="n"/>
      <c r="L82" s="12" t="n"/>
      <c r="M82" s="11" t="n"/>
      <c r="N82" s="12" t="n"/>
      <c r="O82" s="12" t="n"/>
    </row>
    <row r="83">
      <c r="A83" s="12" t="n"/>
      <c r="B83" s="16" t="n"/>
      <c r="C83" s="12" t="n"/>
      <c r="D83" s="12" t="n"/>
      <c r="E83" s="12" t="n"/>
      <c r="F83" s="12" t="n"/>
      <c r="G83" s="11" t="n"/>
      <c r="H83" s="11" t="n"/>
      <c r="I83" s="11" t="n"/>
      <c r="J83" s="11" t="n"/>
      <c r="K83" s="11" t="n"/>
      <c r="L83" s="12" t="n"/>
      <c r="M83" s="11" t="n"/>
      <c r="N83" s="12" t="n"/>
      <c r="O83" s="12" t="n"/>
    </row>
    <row r="84">
      <c r="A84" s="12" t="n"/>
      <c r="B84" s="16" t="n"/>
      <c r="C84" s="12" t="n"/>
      <c r="D84" s="12" t="n"/>
      <c r="E84" s="12" t="n"/>
      <c r="F84" s="12" t="n"/>
      <c r="G84" s="11" t="n"/>
      <c r="H84" s="11" t="n"/>
      <c r="I84" s="11" t="n"/>
      <c r="J84" s="11" t="n"/>
      <c r="K84" s="11" t="n"/>
      <c r="L84" s="12" t="n"/>
      <c r="M84" s="11" t="n"/>
      <c r="N84" s="12" t="n"/>
      <c r="O84" s="12" t="n"/>
    </row>
    <row r="85">
      <c r="A85" s="12" t="n"/>
      <c r="B85" s="16" t="n"/>
      <c r="C85" s="12" t="n"/>
      <c r="D85" s="12" t="n"/>
      <c r="E85" s="12" t="n"/>
      <c r="F85" s="12" t="n"/>
      <c r="G85" s="11" t="n"/>
      <c r="H85" s="11" t="n"/>
      <c r="I85" s="11" t="n"/>
      <c r="J85" s="11" t="n"/>
      <c r="K85" s="11" t="n"/>
      <c r="L85" s="12" t="n"/>
      <c r="M85" s="11" t="n"/>
      <c r="N85" s="12" t="n"/>
      <c r="O85" s="12" t="n"/>
    </row>
    <row r="86">
      <c r="A86" s="12" t="n"/>
      <c r="B86" s="16" t="n"/>
      <c r="C86" s="12" t="n"/>
      <c r="D86" s="12" t="n"/>
      <c r="E86" s="12" t="n"/>
      <c r="F86" s="12" t="n"/>
      <c r="G86" s="11" t="n"/>
      <c r="H86" s="11" t="n"/>
      <c r="I86" s="11" t="n"/>
      <c r="J86" s="11" t="n"/>
      <c r="K86" s="11" t="n"/>
      <c r="L86" s="12" t="n"/>
      <c r="M86" s="11" t="n"/>
      <c r="N86" s="12" t="n"/>
      <c r="O86" s="12" t="n"/>
    </row>
    <row r="87">
      <c r="A87" s="12" t="n"/>
      <c r="B87" s="16" t="n"/>
      <c r="C87" s="12" t="n"/>
      <c r="D87" s="12" t="n"/>
      <c r="E87" s="12" t="n"/>
      <c r="F87" s="12" t="n"/>
      <c r="G87" s="11" t="n"/>
      <c r="H87" s="11" t="n"/>
      <c r="I87" s="11" t="n"/>
      <c r="J87" s="11" t="n"/>
      <c r="K87" s="11" t="n"/>
      <c r="L87" s="12" t="n"/>
      <c r="M87" s="11" t="n"/>
      <c r="N87" s="12" t="n"/>
      <c r="O87" s="12" t="n"/>
    </row>
    <row r="88">
      <c r="A88" s="12" t="n"/>
      <c r="B88" s="16" t="n"/>
      <c r="C88" s="12" t="n"/>
      <c r="D88" s="12" t="n"/>
      <c r="E88" s="12" t="n"/>
      <c r="F88" s="12" t="n"/>
      <c r="G88" s="11" t="n"/>
      <c r="H88" s="11" t="n"/>
      <c r="I88" s="11" t="n"/>
      <c r="J88" s="11" t="n"/>
      <c r="K88" s="11" t="n"/>
      <c r="L88" s="12" t="n"/>
      <c r="M88" s="11" t="n"/>
      <c r="N88" s="12" t="n"/>
      <c r="O88" s="12" t="n"/>
    </row>
    <row r="89">
      <c r="A89" s="12" t="n"/>
      <c r="B89" s="16" t="n"/>
      <c r="C89" s="12" t="n"/>
      <c r="D89" s="12" t="n"/>
      <c r="E89" s="12" t="n"/>
      <c r="F89" s="12" t="n"/>
      <c r="G89" s="11" t="n"/>
      <c r="H89" s="11" t="n"/>
      <c r="I89" s="11" t="n"/>
      <c r="J89" s="11" t="n"/>
      <c r="K89" s="11" t="n"/>
      <c r="L89" s="12" t="n"/>
      <c r="M89" s="11" t="n"/>
      <c r="N89" s="12" t="n"/>
      <c r="O89" s="12" t="n"/>
    </row>
    <row r="90">
      <c r="A90" s="12" t="n"/>
      <c r="B90" s="16" t="n"/>
      <c r="C90" s="12" t="n"/>
      <c r="D90" s="12" t="n"/>
      <c r="E90" s="12" t="n"/>
      <c r="F90" s="12" t="n"/>
      <c r="G90" s="11" t="n"/>
      <c r="H90" s="11" t="n"/>
      <c r="I90" s="11" t="n"/>
      <c r="J90" s="11" t="n"/>
      <c r="K90" s="11" t="n"/>
      <c r="L90" s="12" t="n"/>
      <c r="M90" s="11" t="n"/>
      <c r="N90" s="12" t="n"/>
      <c r="O90" s="12" t="n"/>
    </row>
    <row r="91">
      <c r="A91" s="12" t="n"/>
      <c r="B91" s="16" t="n"/>
      <c r="C91" s="12" t="n"/>
      <c r="D91" s="12" t="n"/>
      <c r="E91" s="12" t="n"/>
      <c r="F91" s="12" t="n"/>
      <c r="G91" s="11" t="n"/>
      <c r="H91" s="11" t="n"/>
      <c r="I91" s="11" t="n"/>
      <c r="J91" s="11" t="n"/>
      <c r="K91" s="11" t="n"/>
      <c r="L91" s="12" t="n"/>
      <c r="M91" s="11" t="n"/>
      <c r="N91" s="12" t="n"/>
      <c r="O91" s="12" t="n"/>
    </row>
    <row r="92">
      <c r="A92" s="12" t="n"/>
      <c r="B92" s="16" t="n"/>
      <c r="C92" s="12" t="n"/>
      <c r="D92" s="12" t="n"/>
      <c r="E92" s="12" t="n"/>
      <c r="F92" s="12" t="n"/>
      <c r="G92" s="11" t="n"/>
      <c r="H92" s="11" t="n"/>
      <c r="I92" s="11" t="n"/>
      <c r="J92" s="11" t="n"/>
      <c r="K92" s="11" t="n"/>
      <c r="L92" s="12" t="n"/>
      <c r="M92" s="11" t="n"/>
      <c r="N92" s="12" t="n"/>
      <c r="O92" s="12" t="n"/>
    </row>
    <row r="93">
      <c r="A93" s="12" t="n"/>
      <c r="B93" s="16" t="n"/>
      <c r="C93" s="12" t="n"/>
      <c r="D93" s="12" t="n"/>
      <c r="E93" s="12" t="n"/>
      <c r="F93" s="12" t="n"/>
      <c r="G93" s="11" t="n"/>
      <c r="H93" s="11" t="n"/>
      <c r="I93" s="11" t="n"/>
      <c r="J93" s="11" t="n"/>
      <c r="K93" s="11" t="n"/>
      <c r="L93" s="12" t="n"/>
      <c r="M93" s="11" t="n"/>
      <c r="N93" s="12" t="n"/>
      <c r="O93" s="12" t="n"/>
    </row>
    <row r="94">
      <c r="A94" s="12" t="n"/>
      <c r="B94" s="16" t="n"/>
      <c r="C94" s="12" t="n"/>
      <c r="D94" s="12" t="n"/>
      <c r="E94" s="12" t="n"/>
      <c r="F94" s="12" t="n"/>
      <c r="G94" s="11" t="n"/>
      <c r="H94" s="11" t="n"/>
      <c r="I94" s="11" t="n"/>
      <c r="J94" s="11" t="n"/>
      <c r="K94" s="11" t="n"/>
      <c r="L94" s="12" t="n"/>
      <c r="M94" s="11" t="n"/>
      <c r="N94" s="12" t="n"/>
      <c r="O94" s="12" t="n"/>
    </row>
    <row r="95">
      <c r="A95" s="12" t="n"/>
      <c r="B95" s="16" t="n"/>
      <c r="C95" s="12" t="n"/>
      <c r="D95" s="12" t="n"/>
      <c r="E95" s="12" t="n"/>
      <c r="F95" s="12" t="n"/>
      <c r="G95" s="11" t="n"/>
      <c r="H95" s="11" t="n"/>
      <c r="I95" s="11" t="n"/>
      <c r="J95" s="11" t="n"/>
      <c r="K95" s="11" t="n"/>
      <c r="L95" s="12" t="n"/>
      <c r="M95" s="11" t="n"/>
      <c r="N95" s="12" t="n"/>
      <c r="O95" s="12" t="n"/>
    </row>
    <row r="96">
      <c r="A96" s="12" t="n"/>
      <c r="B96" s="16" t="n"/>
      <c r="C96" s="12" t="n"/>
      <c r="D96" s="12" t="n"/>
      <c r="E96" s="12" t="n"/>
      <c r="F96" s="12" t="n"/>
      <c r="G96" s="11" t="n"/>
      <c r="H96" s="11" t="n"/>
      <c r="I96" s="11" t="n"/>
      <c r="J96" s="11" t="n"/>
      <c r="K96" s="11" t="n"/>
      <c r="L96" s="12" t="n"/>
      <c r="M96" s="11" t="n"/>
      <c r="N96" s="12" t="n"/>
      <c r="O96" s="12" t="n"/>
    </row>
    <row r="97">
      <c r="A97" s="12" t="n"/>
      <c r="B97" s="16" t="n"/>
      <c r="C97" s="12" t="n"/>
      <c r="D97" s="12" t="n"/>
      <c r="E97" s="12" t="n"/>
      <c r="F97" s="12" t="n"/>
      <c r="G97" s="11" t="n"/>
      <c r="H97" s="11" t="n"/>
      <c r="I97" s="11" t="n"/>
      <c r="J97" s="11" t="n"/>
      <c r="K97" s="11" t="n"/>
      <c r="L97" s="12" t="n"/>
      <c r="M97" s="11" t="n"/>
      <c r="N97" s="12" t="n"/>
      <c r="O97" s="12" t="n"/>
    </row>
    <row r="98">
      <c r="A98" s="12" t="n"/>
      <c r="B98" s="16" t="n"/>
      <c r="C98" s="12" t="n"/>
      <c r="D98" s="12" t="n"/>
      <c r="E98" s="12" t="n"/>
      <c r="F98" s="12" t="n"/>
      <c r="G98" s="11" t="n"/>
      <c r="H98" s="11" t="n"/>
      <c r="I98" s="11" t="n"/>
      <c r="J98" s="11" t="n"/>
      <c r="K98" s="11" t="n"/>
      <c r="L98" s="12" t="n"/>
      <c r="M98" s="11" t="n"/>
      <c r="N98" s="12" t="n"/>
      <c r="O98" s="12" t="n"/>
    </row>
    <row r="99">
      <c r="A99" s="12" t="n"/>
      <c r="B99" s="16" t="n"/>
      <c r="C99" s="12" t="n"/>
      <c r="D99" s="12" t="n"/>
      <c r="E99" s="12" t="n"/>
      <c r="F99" s="12" t="n"/>
      <c r="G99" s="11" t="n"/>
      <c r="H99" s="11" t="n"/>
      <c r="I99" s="11" t="n"/>
      <c r="J99" s="11" t="n"/>
      <c r="K99" s="11" t="n"/>
      <c r="L99" s="12" t="n"/>
      <c r="M99" s="11" t="n"/>
      <c r="N99" s="12" t="n"/>
      <c r="O99" s="12" t="n"/>
    </row>
    <row r="100">
      <c r="A100" s="12" t="n"/>
      <c r="B100" s="16" t="n"/>
      <c r="C100" s="12" t="n"/>
      <c r="D100" s="12" t="n"/>
      <c r="E100" s="12" t="n"/>
      <c r="F100" s="12" t="n"/>
      <c r="G100" s="11" t="n"/>
      <c r="H100" s="11" t="n"/>
      <c r="I100" s="11" t="n"/>
      <c r="J100" s="11" t="n"/>
      <c r="K100" s="11" t="n"/>
      <c r="L100" s="12" t="n"/>
      <c r="M100" s="11" t="n"/>
      <c r="N100" s="12" t="n"/>
      <c r="O100" s="12" t="n"/>
    </row>
    <row r="101">
      <c r="A101" s="12" t="n"/>
      <c r="B101" s="16" t="n"/>
      <c r="C101" s="12" t="n"/>
      <c r="D101" s="12" t="n"/>
      <c r="E101" s="12" t="n"/>
      <c r="F101" s="12" t="n"/>
      <c r="G101" s="11" t="n"/>
      <c r="H101" s="11" t="n"/>
      <c r="I101" s="11" t="n"/>
      <c r="J101" s="11" t="n"/>
      <c r="K101" s="11" t="n"/>
      <c r="L101" s="12" t="n"/>
      <c r="M101" s="11" t="n"/>
      <c r="N101" s="12" t="n"/>
      <c r="O101" s="12" t="n"/>
    </row>
    <row r="102">
      <c r="A102" s="12" t="n"/>
      <c r="B102" s="16" t="n"/>
      <c r="C102" s="12" t="n"/>
      <c r="D102" s="12" t="n"/>
      <c r="E102" s="12" t="n"/>
      <c r="F102" s="12" t="n"/>
      <c r="G102" s="11" t="n"/>
      <c r="H102" s="11" t="n"/>
      <c r="I102" s="11" t="n"/>
      <c r="J102" s="11" t="n"/>
      <c r="K102" s="11" t="n"/>
      <c r="L102" s="12" t="n"/>
      <c r="M102" s="11" t="n"/>
      <c r="N102" s="12" t="n"/>
      <c r="O102" s="12" t="n"/>
    </row>
    <row r="103">
      <c r="A103" s="12" t="n"/>
      <c r="B103" s="16" t="n"/>
      <c r="C103" s="12" t="n"/>
      <c r="D103" s="12" t="n"/>
      <c r="E103" s="12" t="n"/>
      <c r="F103" s="12" t="n"/>
      <c r="G103" s="11" t="n"/>
      <c r="H103" s="11" t="n"/>
      <c r="I103" s="11" t="n"/>
      <c r="J103" s="11" t="n"/>
      <c r="K103" s="11" t="n"/>
      <c r="L103" s="12" t="n"/>
      <c r="M103" s="11" t="n"/>
      <c r="N103" s="12" t="n"/>
      <c r="O103" s="12" t="n"/>
    </row>
    <row r="104">
      <c r="A104" s="12" t="n"/>
      <c r="B104" s="16" t="n"/>
      <c r="C104" s="12" t="n"/>
      <c r="D104" s="12" t="n"/>
      <c r="E104" s="12" t="n"/>
      <c r="F104" s="12" t="n"/>
      <c r="G104" s="11" t="n"/>
      <c r="H104" s="11" t="n"/>
      <c r="I104" s="11" t="n"/>
      <c r="J104" s="11" t="n"/>
      <c r="K104" s="11" t="n"/>
      <c r="L104" s="12" t="n"/>
      <c r="M104" s="11" t="n"/>
      <c r="N104" s="12" t="n"/>
      <c r="O104" s="12" t="n"/>
    </row>
    <row r="105">
      <c r="A105" s="12" t="n"/>
      <c r="B105" s="16" t="n"/>
      <c r="C105" s="12" t="n"/>
      <c r="D105" s="12" t="n"/>
      <c r="E105" s="12" t="n"/>
      <c r="F105" s="12" t="n"/>
      <c r="G105" s="11" t="n"/>
      <c r="H105" s="11" t="n"/>
      <c r="I105" s="11" t="n"/>
      <c r="J105" s="11" t="n"/>
      <c r="K105" s="11" t="n"/>
      <c r="L105" s="12" t="n"/>
      <c r="M105" s="11" t="n"/>
      <c r="N105" s="12" t="n"/>
      <c r="O105" s="12" t="n"/>
    </row>
    <row r="106">
      <c r="A106" s="12" t="n"/>
      <c r="B106" s="16" t="n"/>
      <c r="C106" s="12" t="n"/>
      <c r="D106" s="12" t="n"/>
      <c r="E106" s="12" t="n"/>
      <c r="F106" s="12" t="n"/>
      <c r="G106" s="11" t="n"/>
      <c r="H106" s="11" t="n"/>
      <c r="I106" s="11" t="n"/>
      <c r="J106" s="11" t="n"/>
      <c r="K106" s="11" t="n"/>
      <c r="L106" s="12" t="n"/>
      <c r="M106" s="11" t="n"/>
      <c r="N106" s="12" t="n"/>
      <c r="O106" s="12" t="n"/>
    </row>
    <row r="107">
      <c r="A107" s="12" t="n"/>
      <c r="B107" s="16" t="n"/>
      <c r="C107" s="12" t="n"/>
      <c r="D107" s="12" t="n"/>
      <c r="E107" s="12" t="n"/>
      <c r="F107" s="12" t="n"/>
      <c r="G107" s="11" t="n"/>
      <c r="H107" s="11" t="n"/>
      <c r="I107" s="11" t="n"/>
      <c r="J107" s="11" t="n"/>
      <c r="K107" s="11" t="n"/>
      <c r="L107" s="12" t="n"/>
      <c r="M107" s="11" t="n"/>
      <c r="N107" s="12" t="n"/>
      <c r="O107" s="12" t="n"/>
    </row>
    <row r="108">
      <c r="A108" s="12" t="n"/>
      <c r="B108" s="16" t="n"/>
      <c r="C108" s="12" t="n"/>
      <c r="D108" s="12" t="n"/>
      <c r="E108" s="12" t="n"/>
      <c r="F108" s="12" t="n"/>
      <c r="G108" s="11" t="n"/>
      <c r="H108" s="11" t="n"/>
      <c r="I108" s="11" t="n"/>
      <c r="J108" s="11" t="n"/>
      <c r="K108" s="11" t="n"/>
      <c r="L108" s="12" t="n"/>
      <c r="M108" s="11" t="n"/>
      <c r="N108" s="12" t="n"/>
      <c r="O108" s="12" t="n"/>
    </row>
    <row r="109">
      <c r="A109" s="12" t="n"/>
      <c r="B109" s="16" t="n"/>
      <c r="C109" s="12" t="n"/>
      <c r="D109" s="12" t="n"/>
      <c r="E109" s="12" t="n"/>
      <c r="F109" s="12" t="n"/>
      <c r="G109" s="11" t="n"/>
      <c r="H109" s="11" t="n"/>
      <c r="I109" s="11" t="n"/>
      <c r="J109" s="11" t="n"/>
      <c r="K109" s="11" t="n"/>
      <c r="L109" s="12" t="n"/>
      <c r="M109" s="11" t="n"/>
      <c r="N109" s="12" t="n"/>
      <c r="O109" s="12" t="n"/>
    </row>
    <row r="110">
      <c r="A110" s="12" t="n"/>
      <c r="B110" s="16" t="n"/>
      <c r="C110" s="12" t="n"/>
      <c r="D110" s="12" t="n"/>
      <c r="E110" s="12" t="n"/>
      <c r="F110" s="12" t="n"/>
      <c r="G110" s="11" t="n"/>
      <c r="H110" s="11" t="n"/>
      <c r="I110" s="11" t="n"/>
      <c r="J110" s="11" t="n"/>
      <c r="K110" s="11" t="n"/>
      <c r="L110" s="12" t="n"/>
      <c r="M110" s="11" t="n"/>
      <c r="N110" s="12" t="n"/>
      <c r="O110" s="12" t="n"/>
    </row>
    <row r="111">
      <c r="A111" s="12" t="n"/>
      <c r="B111" s="16" t="n"/>
      <c r="C111" s="12" t="n"/>
      <c r="D111" s="12" t="n"/>
      <c r="E111" s="12" t="n"/>
      <c r="F111" s="12" t="n"/>
      <c r="G111" s="11" t="n"/>
      <c r="H111" s="11" t="n"/>
      <c r="I111" s="11" t="n"/>
      <c r="J111" s="11" t="n"/>
      <c r="K111" s="11" t="n"/>
      <c r="L111" s="12" t="n"/>
      <c r="M111" s="11" t="n"/>
      <c r="N111" s="12" t="n"/>
      <c r="O111" s="12" t="n"/>
    </row>
    <row r="112">
      <c r="A112" s="12" t="n"/>
      <c r="B112" s="16" t="n"/>
      <c r="C112" s="12" t="n"/>
      <c r="D112" s="12" t="n"/>
      <c r="E112" s="12" t="n"/>
      <c r="F112" s="12" t="n"/>
      <c r="G112" s="11" t="n"/>
      <c r="H112" s="11" t="n"/>
      <c r="I112" s="11" t="n"/>
      <c r="J112" s="11" t="n"/>
      <c r="K112" s="11" t="n"/>
      <c r="L112" s="12" t="n"/>
      <c r="M112" s="11" t="n"/>
      <c r="N112" s="12" t="n"/>
      <c r="O112" s="12" t="n"/>
    </row>
    <row r="113">
      <c r="A113" s="12" t="n"/>
      <c r="B113" s="16" t="n"/>
      <c r="C113" s="12" t="n"/>
      <c r="D113" s="12" t="n"/>
      <c r="E113" s="12" t="n"/>
      <c r="F113" s="12" t="n"/>
      <c r="G113" s="11" t="n"/>
      <c r="H113" s="11" t="n"/>
      <c r="I113" s="11" t="n"/>
      <c r="J113" s="11" t="n"/>
      <c r="K113" s="11" t="n"/>
      <c r="L113" s="12" t="n"/>
      <c r="M113" s="11" t="n"/>
      <c r="N113" s="12" t="n"/>
      <c r="O113" s="12" t="n"/>
    </row>
    <row r="114">
      <c r="A114" s="12" t="n"/>
      <c r="B114" s="16" t="n"/>
      <c r="C114" s="12" t="n"/>
      <c r="D114" s="12" t="n"/>
      <c r="E114" s="12" t="n"/>
      <c r="F114" s="12" t="n"/>
      <c r="G114" s="11" t="n"/>
      <c r="H114" s="11" t="n"/>
      <c r="I114" s="11" t="n"/>
      <c r="J114" s="11" t="n"/>
      <c r="K114" s="11" t="n"/>
      <c r="L114" s="12" t="n"/>
      <c r="M114" s="11" t="n"/>
      <c r="N114" s="12" t="n"/>
      <c r="O114" s="12" t="n"/>
    </row>
    <row r="115">
      <c r="A115" s="12" t="n"/>
      <c r="B115" s="16" t="n"/>
      <c r="C115" s="12" t="n"/>
      <c r="D115" s="12" t="n"/>
      <c r="E115" s="12" t="n"/>
      <c r="F115" s="12" t="n"/>
      <c r="G115" s="11" t="n"/>
      <c r="H115" s="11" t="n"/>
      <c r="I115" s="11" t="n"/>
      <c r="J115" s="11" t="n"/>
      <c r="K115" s="11" t="n"/>
      <c r="L115" s="12" t="n"/>
      <c r="M115" s="11" t="n"/>
      <c r="N115" s="12" t="n"/>
      <c r="O115" s="12" t="n"/>
    </row>
    <row r="116">
      <c r="A116" s="12" t="n"/>
      <c r="B116" s="16" t="n"/>
      <c r="C116" s="12" t="n"/>
      <c r="D116" s="12" t="n"/>
      <c r="E116" s="12" t="n"/>
      <c r="F116" s="12" t="n"/>
      <c r="G116" s="11" t="n"/>
      <c r="H116" s="11" t="n"/>
      <c r="I116" s="11" t="n"/>
      <c r="J116" s="11" t="n"/>
      <c r="K116" s="11" t="n"/>
      <c r="L116" s="12" t="n"/>
      <c r="M116" s="11" t="n"/>
      <c r="N116" s="12" t="n"/>
      <c r="O116" s="12" t="n"/>
    </row>
    <row r="117">
      <c r="A117" s="12" t="n"/>
      <c r="B117" s="16" t="n"/>
      <c r="C117" s="12" t="n"/>
      <c r="D117" s="12" t="n"/>
      <c r="E117" s="12" t="n"/>
      <c r="F117" s="12" t="n"/>
      <c r="G117" s="11" t="n"/>
      <c r="H117" s="11" t="n"/>
      <c r="I117" s="11" t="n"/>
      <c r="J117" s="11" t="n"/>
      <c r="K117" s="11" t="n"/>
      <c r="L117" s="12" t="n"/>
      <c r="M117" s="11" t="n"/>
      <c r="N117" s="12" t="n"/>
      <c r="O117" s="12" t="n"/>
    </row>
    <row r="118">
      <c r="A118" s="12" t="n"/>
      <c r="B118" s="16" t="n"/>
      <c r="C118" s="12" t="n"/>
      <c r="D118" s="12" t="n"/>
      <c r="E118" s="12" t="n"/>
      <c r="F118" s="12" t="n"/>
      <c r="G118" s="11" t="n"/>
      <c r="H118" s="11" t="n"/>
      <c r="I118" s="11" t="n"/>
      <c r="J118" s="11" t="n"/>
      <c r="K118" s="11" t="n"/>
      <c r="L118" s="12" t="n"/>
      <c r="M118" s="11" t="n"/>
      <c r="N118" s="12" t="n"/>
      <c r="O118" s="12" t="n"/>
    </row>
    <row r="119">
      <c r="A119" s="12" t="n"/>
      <c r="B119" s="16" t="n"/>
      <c r="C119" s="12" t="n"/>
      <c r="D119" s="12" t="n"/>
      <c r="E119" s="12" t="n"/>
      <c r="F119" s="12" t="n"/>
      <c r="G119" s="11" t="n"/>
      <c r="H119" s="11" t="n"/>
      <c r="I119" s="11" t="n"/>
      <c r="J119" s="11" t="n"/>
      <c r="K119" s="11" t="n"/>
      <c r="L119" s="12" t="n"/>
      <c r="M119" s="11" t="n"/>
      <c r="N119" s="12" t="n"/>
      <c r="O119" s="12" t="n"/>
    </row>
    <row r="120">
      <c r="A120" s="12" t="n"/>
      <c r="B120" s="16" t="n"/>
      <c r="C120" s="12" t="n"/>
      <c r="D120" s="12" t="n"/>
      <c r="E120" s="12" t="n"/>
      <c r="F120" s="12" t="n"/>
      <c r="G120" s="11" t="n"/>
      <c r="H120" s="11" t="n"/>
      <c r="I120" s="11" t="n"/>
      <c r="J120" s="11" t="n"/>
      <c r="K120" s="11" t="n"/>
      <c r="L120" s="12" t="n"/>
      <c r="M120" s="11" t="n"/>
      <c r="N120" s="12" t="n"/>
      <c r="O120" s="12" t="n"/>
    </row>
    <row r="121">
      <c r="A121" s="12" t="n"/>
      <c r="B121" s="16" t="n"/>
      <c r="C121" s="12" t="n"/>
      <c r="D121" s="12" t="n"/>
      <c r="E121" s="12" t="n"/>
      <c r="F121" s="12" t="n"/>
      <c r="G121" s="11" t="n"/>
      <c r="H121" s="11" t="n"/>
      <c r="I121" s="11" t="n"/>
      <c r="J121" s="11" t="n"/>
      <c r="K121" s="11" t="n"/>
      <c r="L121" s="12" t="n"/>
      <c r="M121" s="11" t="n"/>
      <c r="N121" s="12" t="n"/>
      <c r="O121" s="12" t="n"/>
    </row>
    <row r="122">
      <c r="A122" s="12" t="n"/>
      <c r="B122" s="16" t="n"/>
      <c r="C122" s="12" t="n"/>
      <c r="D122" s="12" t="n"/>
      <c r="E122" s="12" t="n"/>
      <c r="F122" s="12" t="n"/>
      <c r="G122" s="11" t="n"/>
      <c r="H122" s="11" t="n"/>
      <c r="I122" s="11" t="n"/>
      <c r="J122" s="11" t="n"/>
      <c r="K122" s="11" t="n"/>
      <c r="L122" s="12" t="n"/>
      <c r="M122" s="11" t="n"/>
      <c r="N122" s="12" t="n"/>
      <c r="O122" s="12" t="n"/>
    </row>
    <row r="123">
      <c r="A123" s="12" t="n"/>
      <c r="B123" s="16" t="n"/>
      <c r="C123" s="12" t="n"/>
      <c r="D123" s="12" t="n"/>
      <c r="E123" s="12" t="n"/>
      <c r="F123" s="12" t="n"/>
      <c r="G123" s="11" t="n"/>
      <c r="H123" s="11" t="n"/>
      <c r="I123" s="11" t="n"/>
      <c r="J123" s="11" t="n"/>
      <c r="K123" s="11" t="n"/>
      <c r="L123" s="12" t="n"/>
      <c r="M123" s="11" t="n"/>
      <c r="N123" s="12" t="n"/>
      <c r="O123" s="12" t="n"/>
    </row>
    <row r="124">
      <c r="A124" s="12" t="n"/>
      <c r="B124" s="16" t="n"/>
      <c r="C124" s="12" t="n"/>
      <c r="D124" s="12" t="n"/>
      <c r="E124" s="12" t="n"/>
      <c r="F124" s="12" t="n"/>
      <c r="G124" s="11" t="n"/>
      <c r="H124" s="11" t="n"/>
      <c r="I124" s="11" t="n"/>
      <c r="J124" s="11" t="n"/>
      <c r="K124" s="11" t="n"/>
      <c r="L124" s="12" t="n"/>
      <c r="M124" s="11" t="n"/>
      <c r="N124" s="12" t="n"/>
      <c r="O124" s="12" t="n"/>
    </row>
    <row r="125">
      <c r="A125" s="12" t="n"/>
      <c r="B125" s="16" t="n"/>
      <c r="C125" s="12" t="n"/>
      <c r="D125" s="12" t="n"/>
      <c r="E125" s="12" t="n"/>
      <c r="F125" s="12" t="n"/>
      <c r="G125" s="11" t="n"/>
      <c r="H125" s="11" t="n"/>
      <c r="I125" s="11" t="n"/>
      <c r="J125" s="11" t="n"/>
      <c r="K125" s="11" t="n"/>
      <c r="L125" s="12" t="n"/>
      <c r="M125" s="11" t="n"/>
      <c r="N125" s="12" t="n"/>
      <c r="O125" s="12" t="n"/>
    </row>
    <row r="126">
      <c r="A126" s="12" t="n"/>
      <c r="B126" s="16" t="n"/>
      <c r="C126" s="12" t="n"/>
      <c r="D126" s="12" t="n"/>
      <c r="E126" s="12" t="n"/>
      <c r="F126" s="12" t="n"/>
      <c r="G126" s="11" t="n"/>
      <c r="H126" s="11" t="n"/>
      <c r="I126" s="11" t="n"/>
      <c r="J126" s="11" t="n"/>
      <c r="K126" s="11" t="n"/>
      <c r="L126" s="12" t="n"/>
      <c r="M126" s="11" t="n"/>
      <c r="N126" s="12" t="n"/>
      <c r="O126" s="12" t="n"/>
    </row>
    <row r="127">
      <c r="A127" s="12" t="n"/>
      <c r="B127" s="16" t="n"/>
      <c r="C127" s="12" t="n"/>
      <c r="D127" s="12" t="n"/>
      <c r="E127" s="12" t="n"/>
      <c r="F127" s="12" t="n"/>
      <c r="G127" s="11" t="n"/>
      <c r="H127" s="11" t="n"/>
      <c r="I127" s="11" t="n"/>
      <c r="J127" s="11" t="n"/>
      <c r="K127" s="11" t="n"/>
      <c r="L127" s="12" t="n"/>
      <c r="M127" s="11" t="n"/>
      <c r="N127" s="12" t="n"/>
      <c r="O127" s="12" t="n"/>
    </row>
    <row r="128">
      <c r="A128" s="12" t="n"/>
      <c r="B128" s="16" t="n"/>
      <c r="C128" s="12" t="n"/>
      <c r="D128" s="12" t="n"/>
      <c r="E128" s="12" t="n"/>
      <c r="F128" s="12" t="n"/>
      <c r="G128" s="11" t="n"/>
      <c r="H128" s="11" t="n"/>
      <c r="I128" s="11" t="n"/>
      <c r="J128" s="11" t="n"/>
      <c r="K128" s="11" t="n"/>
      <c r="L128" s="12" t="n"/>
      <c r="M128" s="11" t="n"/>
      <c r="N128" s="12" t="n"/>
      <c r="O128" s="12" t="n"/>
    </row>
    <row r="129">
      <c r="A129" s="12" t="n"/>
      <c r="B129" s="16" t="n"/>
      <c r="C129" s="12" t="n"/>
      <c r="D129" s="12" t="n"/>
      <c r="E129" s="12" t="n"/>
      <c r="F129" s="12" t="n"/>
      <c r="G129" s="11" t="n"/>
      <c r="H129" s="11" t="n"/>
      <c r="I129" s="11" t="n"/>
      <c r="J129" s="11" t="n"/>
      <c r="K129" s="11" t="n"/>
      <c r="L129" s="12" t="n"/>
      <c r="M129" s="11" t="n"/>
      <c r="N129" s="12" t="n"/>
      <c r="O129" s="12" t="n"/>
    </row>
    <row r="130">
      <c r="A130" s="12" t="n"/>
      <c r="B130" s="16" t="n"/>
      <c r="C130" s="12" t="n"/>
      <c r="D130" s="12" t="n"/>
      <c r="E130" s="12" t="n"/>
      <c r="F130" s="12" t="n"/>
      <c r="G130" s="11" t="n"/>
      <c r="H130" s="11" t="n"/>
      <c r="I130" s="11" t="n"/>
      <c r="J130" s="11" t="n"/>
      <c r="K130" s="11" t="n"/>
      <c r="L130" s="12" t="n"/>
      <c r="M130" s="11" t="n"/>
      <c r="N130" s="12" t="n"/>
      <c r="O130" s="12" t="n"/>
    </row>
    <row r="131">
      <c r="A131" s="12" t="n"/>
      <c r="B131" s="16" t="n"/>
      <c r="C131" s="12" t="n"/>
      <c r="D131" s="12" t="n"/>
      <c r="E131" s="12" t="n"/>
      <c r="F131" s="12" t="n"/>
      <c r="G131" s="11" t="n"/>
      <c r="H131" s="11" t="n"/>
      <c r="I131" s="11" t="n"/>
      <c r="J131" s="11" t="n"/>
      <c r="K131" s="11" t="n"/>
      <c r="L131" s="12" t="n"/>
      <c r="M131" s="11" t="n"/>
      <c r="N131" s="12" t="n"/>
      <c r="O131" s="12" t="n"/>
    </row>
    <row r="132">
      <c r="A132" s="12" t="n"/>
      <c r="B132" s="16" t="n"/>
      <c r="C132" s="12" t="n"/>
      <c r="D132" s="12" t="n"/>
      <c r="E132" s="12" t="n"/>
      <c r="F132" s="12" t="n"/>
      <c r="G132" s="11" t="n"/>
      <c r="H132" s="11" t="n"/>
      <c r="I132" s="11" t="n"/>
      <c r="J132" s="11" t="n"/>
      <c r="K132" s="11" t="n"/>
      <c r="L132" s="12" t="n"/>
      <c r="M132" s="11" t="n"/>
      <c r="N132" s="12" t="n"/>
      <c r="O132" s="12" t="n"/>
    </row>
    <row r="133">
      <c r="A133" s="12" t="n"/>
      <c r="B133" s="16" t="n"/>
      <c r="C133" s="12" t="n"/>
      <c r="D133" s="12" t="n"/>
      <c r="E133" s="12" t="n"/>
      <c r="F133" s="12" t="n"/>
      <c r="G133" s="11" t="n"/>
      <c r="H133" s="11" t="n"/>
      <c r="I133" s="11" t="n"/>
      <c r="J133" s="11" t="n"/>
      <c r="K133" s="11" t="n"/>
      <c r="L133" s="12" t="n"/>
      <c r="M133" s="11" t="n"/>
      <c r="N133" s="12" t="n"/>
      <c r="O133" s="12" t="n"/>
    </row>
    <row r="134">
      <c r="A134" s="12" t="n"/>
      <c r="B134" s="16" t="n"/>
      <c r="C134" s="12" t="n"/>
      <c r="D134" s="12" t="n"/>
      <c r="E134" s="12" t="n"/>
      <c r="F134" s="12" t="n"/>
      <c r="G134" s="11" t="n"/>
      <c r="H134" s="11" t="n"/>
      <c r="I134" s="11" t="n"/>
      <c r="J134" s="11" t="n"/>
      <c r="K134" s="11" t="n"/>
      <c r="L134" s="12" t="n"/>
      <c r="M134" s="11" t="n"/>
      <c r="N134" s="12" t="n"/>
      <c r="O134" s="12" t="n"/>
    </row>
    <row r="135">
      <c r="A135" s="12" t="n"/>
      <c r="B135" s="16" t="n"/>
      <c r="C135" s="12" t="n"/>
      <c r="D135" s="12" t="n"/>
      <c r="E135" s="12" t="n"/>
      <c r="F135" s="12" t="n"/>
      <c r="G135" s="11" t="n"/>
      <c r="H135" s="11" t="n"/>
      <c r="I135" s="11" t="n"/>
      <c r="J135" s="11" t="n"/>
      <c r="K135" s="11" t="n"/>
      <c r="L135" s="12" t="n"/>
      <c r="M135" s="11" t="n"/>
      <c r="N135" s="12" t="n"/>
      <c r="O135" s="12" t="n"/>
    </row>
    <row r="136">
      <c r="A136" s="12" t="n"/>
      <c r="B136" s="16" t="n"/>
      <c r="C136" s="12" t="n"/>
      <c r="D136" s="12" t="n"/>
      <c r="E136" s="12" t="n"/>
      <c r="F136" s="12" t="n"/>
      <c r="G136" s="11" t="n"/>
      <c r="H136" s="11" t="n"/>
      <c r="I136" s="11" t="n"/>
      <c r="J136" s="11" t="n"/>
      <c r="K136" s="11" t="n"/>
      <c r="L136" s="12" t="n"/>
      <c r="M136" s="11" t="n"/>
      <c r="N136" s="12" t="n"/>
      <c r="O136" s="12" t="n"/>
    </row>
    <row r="137">
      <c r="A137" s="12" t="n"/>
      <c r="B137" s="16" t="n"/>
      <c r="C137" s="12" t="n"/>
      <c r="D137" s="12" t="n"/>
      <c r="E137" s="12" t="n"/>
      <c r="F137" s="12" t="n"/>
      <c r="G137" s="11" t="n"/>
      <c r="H137" s="11" t="n"/>
      <c r="I137" s="11" t="n"/>
      <c r="J137" s="11" t="n"/>
      <c r="K137" s="11" t="n"/>
      <c r="L137" s="12" t="n"/>
      <c r="M137" s="11" t="n"/>
      <c r="N137" s="12" t="n"/>
      <c r="O137" s="12" t="n"/>
    </row>
    <row r="138">
      <c r="A138" s="12" t="n"/>
      <c r="B138" s="16" t="n"/>
      <c r="C138" s="12" t="n"/>
      <c r="D138" s="12" t="n"/>
      <c r="E138" s="12" t="n"/>
      <c r="F138" s="12" t="n"/>
      <c r="G138" s="11" t="n"/>
      <c r="H138" s="11" t="n"/>
      <c r="I138" s="11" t="n"/>
      <c r="J138" s="11" t="n"/>
      <c r="K138" s="11" t="n"/>
      <c r="L138" s="12" t="n"/>
      <c r="M138" s="11" t="n"/>
      <c r="N138" s="12" t="n"/>
      <c r="O138" s="12" t="n"/>
    </row>
    <row r="139">
      <c r="A139" s="12" t="n"/>
      <c r="B139" s="16" t="n"/>
      <c r="C139" s="12" t="n"/>
      <c r="D139" s="12" t="n"/>
      <c r="E139" s="12" t="n"/>
      <c r="F139" s="12" t="n"/>
      <c r="G139" s="11" t="n"/>
      <c r="H139" s="11" t="n"/>
      <c r="I139" s="11" t="n"/>
      <c r="J139" s="11" t="n"/>
      <c r="K139" s="11" t="n"/>
      <c r="L139" s="12" t="n"/>
      <c r="M139" s="11" t="n"/>
      <c r="N139" s="12" t="n"/>
      <c r="O139" s="12" t="n"/>
    </row>
    <row r="140">
      <c r="A140" s="12" t="n"/>
      <c r="B140" s="16" t="n"/>
      <c r="C140" s="12" t="n"/>
      <c r="D140" s="12" t="n"/>
      <c r="E140" s="12" t="n"/>
      <c r="F140" s="12" t="n"/>
      <c r="G140" s="11" t="n"/>
      <c r="H140" s="11" t="n"/>
      <c r="I140" s="11" t="n"/>
      <c r="J140" s="11" t="n"/>
      <c r="K140" s="11" t="n"/>
      <c r="L140" s="12" t="n"/>
      <c r="M140" s="11" t="n"/>
      <c r="N140" s="12" t="n"/>
      <c r="O140" s="12" t="n"/>
    </row>
    <row r="141">
      <c r="A141" s="12" t="n"/>
      <c r="B141" s="16" t="n"/>
      <c r="C141" s="12" t="n"/>
      <c r="D141" s="12" t="n"/>
      <c r="E141" s="12" t="n"/>
      <c r="F141" s="12" t="n"/>
      <c r="G141" s="11" t="n"/>
      <c r="H141" s="11" t="n"/>
      <c r="I141" s="11" t="n"/>
      <c r="J141" s="11" t="n"/>
      <c r="K141" s="11" t="n"/>
      <c r="L141" s="12" t="n"/>
      <c r="M141" s="11" t="n"/>
      <c r="N141" s="12" t="n"/>
      <c r="O141" s="12" t="n"/>
    </row>
    <row r="142">
      <c r="A142" s="12" t="n"/>
      <c r="B142" s="16" t="n"/>
      <c r="C142" s="12" t="n"/>
      <c r="D142" s="12" t="n"/>
      <c r="E142" s="12" t="n"/>
      <c r="F142" s="12" t="n"/>
      <c r="G142" s="11" t="n"/>
      <c r="H142" s="11" t="n"/>
      <c r="I142" s="11" t="n"/>
      <c r="J142" s="11" t="n"/>
      <c r="K142" s="11" t="n"/>
      <c r="L142" s="12" t="n"/>
      <c r="M142" s="11" t="n"/>
      <c r="N142" s="12" t="n"/>
      <c r="O142" s="12" t="n"/>
    </row>
    <row r="143">
      <c r="A143" s="12" t="n"/>
      <c r="B143" s="16" t="n"/>
      <c r="C143" s="12" t="n"/>
      <c r="D143" s="12" t="n"/>
      <c r="E143" s="12" t="n"/>
      <c r="F143" s="12" t="n"/>
      <c r="G143" s="11" t="n"/>
      <c r="H143" s="11" t="n"/>
      <c r="I143" s="11" t="n"/>
      <c r="J143" s="11" t="n"/>
      <c r="K143" s="11" t="n"/>
      <c r="L143" s="12" t="n"/>
      <c r="M143" s="11" t="n"/>
      <c r="N143" s="12" t="n"/>
      <c r="O143" s="12" t="n"/>
    </row>
    <row r="144">
      <c r="A144" s="12" t="n"/>
      <c r="B144" s="16" t="n"/>
      <c r="C144" s="12" t="n"/>
      <c r="D144" s="12" t="n"/>
      <c r="E144" s="12" t="n"/>
      <c r="F144" s="12" t="n"/>
      <c r="G144" s="11" t="n"/>
      <c r="H144" s="11" t="n"/>
      <c r="I144" s="11" t="n"/>
      <c r="J144" s="11" t="n"/>
      <c r="K144" s="11" t="n"/>
      <c r="L144" s="12" t="n"/>
      <c r="M144" s="11" t="n"/>
      <c r="N144" s="12" t="n"/>
      <c r="O144" s="12" t="n"/>
    </row>
    <row r="145">
      <c r="A145" s="12" t="n"/>
      <c r="B145" s="16" t="n"/>
      <c r="C145" s="12" t="n"/>
      <c r="D145" s="12" t="n"/>
      <c r="E145" s="12" t="n"/>
      <c r="F145" s="12" t="n"/>
      <c r="G145" s="11" t="n"/>
      <c r="H145" s="11" t="n"/>
      <c r="I145" s="11" t="n"/>
      <c r="J145" s="11" t="n"/>
      <c r="K145" s="11" t="n"/>
      <c r="L145" s="12" t="n"/>
      <c r="M145" s="11" t="n"/>
      <c r="N145" s="12" t="n"/>
      <c r="O145" s="12" t="n"/>
    </row>
    <row r="146">
      <c r="A146" s="12" t="n"/>
      <c r="B146" s="16" t="n"/>
      <c r="C146" s="12" t="n"/>
      <c r="D146" s="12" t="n"/>
      <c r="E146" s="12" t="n"/>
      <c r="F146" s="12" t="n"/>
      <c r="G146" s="11" t="n"/>
      <c r="H146" s="11" t="n"/>
      <c r="I146" s="11" t="n"/>
      <c r="J146" s="11" t="n"/>
      <c r="K146" s="11" t="n"/>
      <c r="L146" s="12" t="n"/>
      <c r="M146" s="11" t="n"/>
      <c r="N146" s="12" t="n"/>
      <c r="O146" s="12" t="n"/>
    </row>
    <row r="147">
      <c r="A147" s="12" t="n"/>
      <c r="B147" s="16" t="n"/>
      <c r="C147" s="12" t="n"/>
      <c r="D147" s="12" t="n"/>
      <c r="E147" s="12" t="n"/>
      <c r="F147" s="12" t="n"/>
      <c r="G147" s="11" t="n"/>
      <c r="H147" s="11" t="n"/>
      <c r="I147" s="11" t="n"/>
      <c r="J147" s="11" t="n"/>
      <c r="K147" s="11" t="n"/>
      <c r="L147" s="12" t="n"/>
      <c r="M147" s="11" t="n"/>
      <c r="N147" s="12" t="n"/>
      <c r="O147" s="12" t="n"/>
    </row>
    <row r="148">
      <c r="A148" s="12" t="n"/>
      <c r="B148" s="16" t="n"/>
      <c r="C148" s="12" t="n"/>
      <c r="D148" s="12" t="n"/>
      <c r="E148" s="12" t="n"/>
      <c r="F148" s="12" t="n"/>
      <c r="G148" s="11" t="n"/>
      <c r="H148" s="11" t="n"/>
      <c r="I148" s="11" t="n"/>
      <c r="J148" s="11" t="n"/>
      <c r="K148" s="11" t="n"/>
      <c r="L148" s="12" t="n"/>
      <c r="M148" s="11" t="n"/>
      <c r="N148" s="12" t="n"/>
      <c r="O148" s="12" t="n"/>
    </row>
    <row r="149">
      <c r="A149" s="12" t="n"/>
      <c r="B149" s="16" t="n"/>
      <c r="C149" s="12" t="n"/>
      <c r="D149" s="12" t="n"/>
      <c r="E149" s="12" t="n"/>
      <c r="F149" s="12" t="n"/>
      <c r="G149" s="11" t="n"/>
      <c r="H149" s="11" t="n"/>
      <c r="I149" s="11" t="n"/>
      <c r="J149" s="11" t="n"/>
      <c r="K149" s="11" t="n"/>
      <c r="L149" s="12" t="n"/>
      <c r="M149" s="11" t="n"/>
      <c r="N149" s="12" t="n"/>
      <c r="O149" s="12" t="n"/>
    </row>
    <row r="150">
      <c r="A150" s="12" t="n"/>
      <c r="B150" s="16" t="n"/>
      <c r="C150" s="12" t="n"/>
      <c r="D150" s="12" t="n"/>
      <c r="E150" s="12" t="n"/>
      <c r="F150" s="12" t="n"/>
      <c r="G150" s="11" t="n"/>
      <c r="H150" s="11" t="n"/>
      <c r="I150" s="11" t="n"/>
      <c r="J150" s="11" t="n"/>
      <c r="K150" s="11" t="n"/>
      <c r="L150" s="12" t="n"/>
      <c r="M150" s="11" t="n"/>
      <c r="N150" s="12" t="n"/>
      <c r="O150" s="12" t="n"/>
    </row>
    <row r="151">
      <c r="A151" s="12" t="n"/>
      <c r="B151" s="16" t="n"/>
      <c r="C151" s="12" t="n"/>
      <c r="D151" s="12" t="n"/>
      <c r="E151" s="12" t="n"/>
      <c r="F151" s="12" t="n"/>
      <c r="G151" s="11" t="n"/>
      <c r="H151" s="11" t="n"/>
      <c r="I151" s="11" t="n"/>
      <c r="J151" s="11" t="n"/>
      <c r="K151" s="11" t="n"/>
      <c r="L151" s="12" t="n"/>
      <c r="M151" s="11" t="n"/>
      <c r="N151" s="12" t="n"/>
      <c r="O151" s="12" t="n"/>
    </row>
    <row r="152">
      <c r="A152" s="12" t="n"/>
      <c r="B152" s="16" t="n"/>
      <c r="C152" s="12" t="n"/>
      <c r="D152" s="12" t="n"/>
      <c r="E152" s="12" t="n"/>
      <c r="F152" s="12" t="n"/>
      <c r="G152" s="11" t="n"/>
      <c r="H152" s="11" t="n"/>
      <c r="I152" s="11" t="n"/>
      <c r="J152" s="11" t="n"/>
      <c r="K152" s="11" t="n"/>
      <c r="L152" s="12" t="n"/>
      <c r="M152" s="11" t="n"/>
      <c r="N152" s="12" t="n"/>
      <c r="O152" s="12" t="n"/>
    </row>
    <row r="153">
      <c r="A153" s="12" t="n"/>
      <c r="B153" s="16" t="n"/>
      <c r="C153" s="12" t="n"/>
      <c r="D153" s="12" t="n"/>
      <c r="E153" s="12" t="n"/>
      <c r="F153" s="12" t="n"/>
      <c r="G153" s="11" t="n"/>
      <c r="H153" s="11" t="n"/>
      <c r="I153" s="11" t="n"/>
      <c r="J153" s="11" t="n"/>
      <c r="K153" s="11" t="n"/>
      <c r="L153" s="12" t="n"/>
      <c r="M153" s="11" t="n"/>
      <c r="N153" s="12" t="n"/>
      <c r="O153" s="12" t="n"/>
    </row>
    <row r="154">
      <c r="A154" s="12" t="n"/>
      <c r="B154" s="16" t="n"/>
      <c r="C154" s="12" t="n"/>
      <c r="D154" s="12" t="n"/>
      <c r="E154" s="12" t="n"/>
      <c r="F154" s="12" t="n"/>
      <c r="G154" s="11" t="n"/>
      <c r="H154" s="11" t="n"/>
      <c r="I154" s="11" t="n"/>
      <c r="J154" s="11" t="n"/>
      <c r="K154" s="11" t="n"/>
      <c r="L154" s="12" t="n"/>
      <c r="M154" s="11" t="n"/>
      <c r="N154" s="12" t="n"/>
      <c r="O154" s="12" t="n"/>
    </row>
    <row r="155">
      <c r="A155" s="12" t="n"/>
      <c r="B155" s="16" t="n"/>
      <c r="C155" s="12" t="n"/>
      <c r="D155" s="12" t="n"/>
      <c r="E155" s="12" t="n"/>
      <c r="F155" s="12" t="n"/>
      <c r="G155" s="11" t="n"/>
      <c r="H155" s="11" t="n"/>
      <c r="I155" s="11" t="n"/>
      <c r="J155" s="11" t="n"/>
      <c r="K155" s="11" t="n"/>
      <c r="L155" s="12" t="n"/>
      <c r="M155" s="11" t="n"/>
      <c r="N155" s="12" t="n"/>
      <c r="O155" s="12" t="n"/>
    </row>
    <row r="156">
      <c r="A156" s="12" t="n"/>
      <c r="B156" s="16" t="n"/>
      <c r="C156" s="12" t="n"/>
      <c r="D156" s="12" t="n"/>
      <c r="E156" s="12" t="n"/>
      <c r="F156" s="12" t="n"/>
      <c r="G156" s="11" t="n"/>
      <c r="H156" s="11" t="n"/>
      <c r="I156" s="11" t="n"/>
      <c r="J156" s="11" t="n"/>
      <c r="K156" s="11" t="n"/>
      <c r="L156" s="12" t="n"/>
      <c r="M156" s="11" t="n"/>
      <c r="N156" s="12" t="n"/>
      <c r="O156" s="12" t="n"/>
    </row>
    <row r="157">
      <c r="A157" s="12" t="n"/>
      <c r="B157" s="16" t="n"/>
      <c r="C157" s="12" t="n"/>
      <c r="D157" s="12" t="n"/>
      <c r="E157" s="12" t="n"/>
      <c r="F157" s="12" t="n"/>
      <c r="G157" s="11" t="n"/>
      <c r="H157" s="11" t="n"/>
      <c r="I157" s="11" t="n"/>
      <c r="J157" s="11" t="n"/>
      <c r="K157" s="11" t="n"/>
      <c r="L157" s="12" t="n"/>
      <c r="M157" s="11" t="n"/>
      <c r="N157" s="12" t="n"/>
      <c r="O157" s="12" t="n"/>
    </row>
    <row r="158">
      <c r="A158" s="12" t="n"/>
      <c r="B158" s="16" t="n"/>
      <c r="C158" s="12" t="n"/>
      <c r="D158" s="12" t="n"/>
      <c r="E158" s="12" t="n"/>
      <c r="F158" s="12" t="n"/>
      <c r="G158" s="11" t="n"/>
      <c r="H158" s="11" t="n"/>
      <c r="I158" s="11" t="n"/>
      <c r="J158" s="11" t="n"/>
      <c r="K158" s="11" t="n"/>
      <c r="L158" s="12" t="n"/>
      <c r="M158" s="11" t="n"/>
      <c r="N158" s="12" t="n"/>
      <c r="O158" s="12" t="n"/>
    </row>
    <row r="159">
      <c r="A159" s="12" t="n"/>
      <c r="B159" s="16" t="n"/>
      <c r="C159" s="12" t="n"/>
      <c r="D159" s="12" t="n"/>
      <c r="E159" s="12" t="n"/>
      <c r="F159" s="12" t="n"/>
      <c r="G159" s="11" t="n"/>
      <c r="H159" s="11" t="n"/>
      <c r="I159" s="11" t="n"/>
      <c r="J159" s="11" t="n"/>
      <c r="K159" s="11" t="n"/>
      <c r="L159" s="12" t="n"/>
      <c r="M159" s="11" t="n"/>
      <c r="N159" s="12" t="n"/>
      <c r="O159" s="12" t="n"/>
    </row>
    <row r="160">
      <c r="A160" s="12" t="n"/>
      <c r="B160" s="16" t="n"/>
      <c r="C160" s="12" t="n"/>
      <c r="D160" s="12" t="n"/>
      <c r="E160" s="12" t="n"/>
      <c r="F160" s="12" t="n"/>
      <c r="G160" s="11" t="n"/>
      <c r="H160" s="11" t="n"/>
      <c r="I160" s="11" t="n"/>
      <c r="J160" s="11" t="n"/>
      <c r="K160" s="11" t="n"/>
      <c r="L160" s="12" t="n"/>
      <c r="M160" s="11" t="n"/>
      <c r="N160" s="12" t="n"/>
      <c r="O160" s="12" t="n"/>
    </row>
    <row r="161">
      <c r="A161" s="12" t="n"/>
      <c r="B161" s="16" t="n"/>
      <c r="C161" s="12" t="n"/>
      <c r="D161" s="12" t="n"/>
      <c r="E161" s="12" t="n"/>
      <c r="F161" s="12" t="n"/>
      <c r="G161" s="11" t="n"/>
      <c r="H161" s="11" t="n"/>
      <c r="I161" s="11" t="n"/>
      <c r="J161" s="11" t="n"/>
      <c r="K161" s="11" t="n"/>
      <c r="L161" s="12" t="n"/>
      <c r="M161" s="11" t="n"/>
      <c r="N161" s="12" t="n"/>
      <c r="O161" s="12" t="n"/>
    </row>
    <row r="162">
      <c r="A162" s="12" t="n"/>
      <c r="B162" s="16" t="n"/>
      <c r="C162" s="12" t="n"/>
      <c r="D162" s="12" t="n"/>
      <c r="E162" s="12" t="n"/>
      <c r="F162" s="12" t="n"/>
      <c r="G162" s="11" t="n"/>
      <c r="H162" s="11" t="n"/>
      <c r="I162" s="11" t="n"/>
      <c r="J162" s="11" t="n"/>
      <c r="K162" s="11" t="n"/>
      <c r="L162" s="12" t="n"/>
      <c r="M162" s="11" t="n"/>
      <c r="N162" s="12" t="n"/>
      <c r="O162" s="12" t="n"/>
    </row>
    <row r="163">
      <c r="A163" s="12" t="n"/>
      <c r="B163" s="16" t="n"/>
      <c r="C163" s="12" t="n"/>
      <c r="D163" s="12" t="n"/>
      <c r="E163" s="12" t="n"/>
      <c r="F163" s="12" t="n"/>
      <c r="G163" s="11" t="n"/>
      <c r="H163" s="11" t="n"/>
      <c r="I163" s="11" t="n"/>
      <c r="J163" s="11" t="n"/>
      <c r="K163" s="11" t="n"/>
      <c r="L163" s="12" t="n"/>
      <c r="M163" s="11" t="n"/>
      <c r="N163" s="12" t="n"/>
      <c r="O163" s="12" t="n"/>
    </row>
    <row r="164">
      <c r="A164" s="12" t="n"/>
      <c r="B164" s="16" t="n"/>
      <c r="C164" s="12" t="n"/>
      <c r="D164" s="12" t="n"/>
      <c r="E164" s="12" t="n"/>
      <c r="F164" s="12" t="n"/>
      <c r="G164" s="11" t="n"/>
      <c r="H164" s="11" t="n"/>
      <c r="I164" s="11" t="n"/>
      <c r="J164" s="11" t="n"/>
      <c r="K164" s="11" t="n"/>
      <c r="L164" s="12" t="n"/>
      <c r="M164" s="11" t="n"/>
      <c r="N164" s="12" t="n"/>
      <c r="O164" s="12" t="n"/>
    </row>
    <row r="165">
      <c r="A165" s="12" t="n"/>
      <c r="B165" s="16" t="n"/>
      <c r="C165" s="12" t="n"/>
      <c r="D165" s="12" t="n"/>
      <c r="E165" s="12" t="n"/>
      <c r="F165" s="12" t="n"/>
      <c r="G165" s="11" t="n"/>
      <c r="H165" s="11" t="n"/>
      <c r="I165" s="11" t="n"/>
      <c r="J165" s="11" t="n"/>
      <c r="K165" s="11" t="n"/>
      <c r="L165" s="12" t="n"/>
      <c r="M165" s="11" t="n"/>
      <c r="N165" s="12" t="n"/>
      <c r="O165" s="12" t="n"/>
    </row>
    <row r="166">
      <c r="A166" s="12" t="n"/>
      <c r="B166" s="16" t="n"/>
      <c r="C166" s="12" t="n"/>
      <c r="D166" s="12" t="n"/>
      <c r="E166" s="12" t="n"/>
      <c r="F166" s="12" t="n"/>
      <c r="G166" s="11" t="n"/>
      <c r="H166" s="11" t="n"/>
      <c r="I166" s="11" t="n"/>
      <c r="J166" s="11" t="n"/>
      <c r="K166" s="11" t="n"/>
      <c r="L166" s="12" t="n"/>
      <c r="M166" s="11" t="n"/>
      <c r="N166" s="12" t="n"/>
      <c r="O166" s="12" t="n"/>
    </row>
    <row r="167">
      <c r="A167" s="12" t="n"/>
      <c r="B167" s="16" t="n"/>
      <c r="C167" s="12" t="n"/>
      <c r="D167" s="12" t="n"/>
      <c r="E167" s="12" t="n"/>
      <c r="F167" s="12" t="n"/>
      <c r="G167" s="11" t="n"/>
      <c r="H167" s="11" t="n"/>
      <c r="I167" s="11" t="n"/>
      <c r="J167" s="11" t="n"/>
      <c r="K167" s="11" t="n"/>
      <c r="L167" s="12" t="n"/>
      <c r="M167" s="11" t="n"/>
      <c r="N167" s="12" t="n"/>
      <c r="O167" s="12" t="n"/>
    </row>
    <row r="168">
      <c r="A168" s="12" t="n"/>
      <c r="B168" s="16" t="n"/>
      <c r="C168" s="12" t="n"/>
      <c r="D168" s="12" t="n"/>
      <c r="E168" s="12" t="n"/>
      <c r="F168" s="12" t="n"/>
      <c r="G168" s="11" t="n"/>
      <c r="H168" s="11" t="n"/>
      <c r="I168" s="11" t="n"/>
      <c r="J168" s="11" t="n"/>
      <c r="K168" s="11" t="n"/>
      <c r="L168" s="12" t="n"/>
      <c r="M168" s="11" t="n"/>
      <c r="N168" s="12" t="n"/>
      <c r="O168" s="12" t="n"/>
    </row>
    <row r="169">
      <c r="A169" s="12" t="n"/>
      <c r="B169" s="16" t="n"/>
      <c r="C169" s="12" t="n"/>
      <c r="D169" s="12" t="n"/>
      <c r="E169" s="12" t="n"/>
      <c r="F169" s="12" t="n"/>
      <c r="G169" s="11" t="n"/>
      <c r="H169" s="11" t="n"/>
      <c r="I169" s="11" t="n"/>
      <c r="J169" s="11" t="n"/>
      <c r="K169" s="11" t="n"/>
      <c r="L169" s="12" t="n"/>
      <c r="M169" s="11" t="n"/>
      <c r="N169" s="12" t="n"/>
      <c r="O169" s="12" t="n"/>
    </row>
    <row r="170">
      <c r="A170" s="12" t="n"/>
      <c r="B170" s="16" t="n"/>
      <c r="C170" s="12" t="n"/>
      <c r="D170" s="12" t="n"/>
      <c r="E170" s="12" t="n"/>
      <c r="F170" s="12" t="n"/>
      <c r="G170" s="11" t="n"/>
      <c r="H170" s="11" t="n"/>
      <c r="I170" s="11" t="n"/>
      <c r="J170" s="11" t="n"/>
      <c r="K170" s="11" t="n"/>
      <c r="L170" s="12" t="n"/>
      <c r="M170" s="11" t="n"/>
      <c r="N170" s="12" t="n"/>
      <c r="O170" s="12" t="n"/>
    </row>
    <row r="171">
      <c r="A171" s="12" t="n"/>
      <c r="B171" s="16" t="n"/>
      <c r="C171" s="12" t="n"/>
      <c r="D171" s="12" t="n"/>
      <c r="E171" s="12" t="n"/>
      <c r="F171" s="12" t="n"/>
      <c r="G171" s="11" t="n"/>
      <c r="H171" s="11" t="n"/>
      <c r="I171" s="11" t="n"/>
      <c r="J171" s="11" t="n"/>
      <c r="K171" s="11" t="n"/>
      <c r="L171" s="12" t="n"/>
      <c r="M171" s="11" t="n"/>
      <c r="N171" s="12" t="n"/>
      <c r="O171" s="12" t="n"/>
    </row>
    <row r="172">
      <c r="A172" s="12" t="n"/>
      <c r="B172" s="16" t="n"/>
      <c r="C172" s="12" t="n"/>
      <c r="D172" s="12" t="n"/>
      <c r="E172" s="12" t="n"/>
      <c r="F172" s="12" t="n"/>
      <c r="G172" s="11" t="n"/>
      <c r="H172" s="11" t="n"/>
      <c r="I172" s="11" t="n"/>
      <c r="J172" s="11" t="n"/>
      <c r="K172" s="11" t="n"/>
      <c r="L172" s="12" t="n"/>
      <c r="M172" s="11" t="n"/>
      <c r="N172" s="12" t="n"/>
      <c r="O172" s="12" t="n"/>
    </row>
    <row r="173">
      <c r="A173" s="12" t="n"/>
      <c r="B173" s="16" t="n"/>
      <c r="C173" s="12" t="n"/>
      <c r="D173" s="12" t="n"/>
      <c r="E173" s="12" t="n"/>
      <c r="F173" s="12" t="n"/>
      <c r="G173" s="11" t="n"/>
      <c r="H173" s="11" t="n"/>
      <c r="I173" s="11" t="n"/>
      <c r="J173" s="11" t="n"/>
      <c r="K173" s="11" t="n"/>
      <c r="L173" s="12" t="n"/>
      <c r="M173" s="11" t="n"/>
      <c r="N173" s="12" t="n"/>
      <c r="O173" s="12" t="n"/>
    </row>
    <row r="174">
      <c r="A174" s="12" t="n"/>
      <c r="B174" s="16" t="n"/>
      <c r="C174" s="12" t="n"/>
      <c r="D174" s="12" t="n"/>
      <c r="E174" s="12" t="n"/>
      <c r="F174" s="12" t="n"/>
      <c r="G174" s="11" t="n"/>
      <c r="H174" s="11" t="n"/>
      <c r="I174" s="11" t="n"/>
      <c r="J174" s="11" t="n"/>
      <c r="K174" s="11" t="n"/>
      <c r="L174" s="12" t="n"/>
      <c r="M174" s="11" t="n"/>
      <c r="N174" s="12" t="n"/>
      <c r="O174" s="12" t="n"/>
    </row>
    <row r="175">
      <c r="A175" s="12" t="n"/>
      <c r="B175" s="16" t="n"/>
      <c r="C175" s="12" t="n"/>
      <c r="D175" s="12" t="n"/>
      <c r="E175" s="12" t="n"/>
      <c r="F175" s="12" t="n"/>
      <c r="G175" s="11" t="n"/>
      <c r="H175" s="11" t="n"/>
      <c r="I175" s="11" t="n"/>
      <c r="J175" s="11" t="n"/>
      <c r="K175" s="11" t="n"/>
      <c r="L175" s="12" t="n"/>
      <c r="M175" s="11" t="n"/>
      <c r="N175" s="12" t="n"/>
      <c r="O175" s="12" t="n"/>
    </row>
    <row r="176">
      <c r="A176" s="12" t="n"/>
      <c r="B176" s="16" t="n"/>
      <c r="C176" s="12" t="n"/>
      <c r="D176" s="12" t="n"/>
      <c r="E176" s="12" t="n"/>
      <c r="F176" s="12" t="n"/>
      <c r="G176" s="11" t="n"/>
      <c r="H176" s="11" t="n"/>
      <c r="I176" s="11" t="n"/>
      <c r="J176" s="11" t="n"/>
      <c r="K176" s="11" t="n"/>
      <c r="L176" s="12" t="n"/>
      <c r="M176" s="11" t="n"/>
      <c r="N176" s="12" t="n"/>
      <c r="O176" s="12" t="n"/>
    </row>
    <row r="177">
      <c r="A177" s="12" t="n"/>
      <c r="B177" s="16" t="n"/>
      <c r="C177" s="12" t="n"/>
      <c r="D177" s="12" t="n"/>
      <c r="E177" s="12" t="n"/>
      <c r="F177" s="12" t="n"/>
      <c r="G177" s="11" t="n"/>
      <c r="H177" s="11" t="n"/>
      <c r="I177" s="11" t="n"/>
      <c r="J177" s="11" t="n"/>
      <c r="K177" s="11" t="n"/>
      <c r="L177" s="12" t="n"/>
      <c r="M177" s="11" t="n"/>
      <c r="N177" s="12" t="n"/>
      <c r="O177" s="12" t="n"/>
    </row>
    <row r="178">
      <c r="A178" s="12" t="n"/>
      <c r="B178" s="16" t="n"/>
      <c r="C178" s="12" t="n"/>
      <c r="D178" s="12" t="n"/>
      <c r="E178" s="12" t="n"/>
      <c r="F178" s="12" t="n"/>
      <c r="G178" s="11" t="n"/>
      <c r="H178" s="11" t="n"/>
      <c r="I178" s="11" t="n"/>
      <c r="J178" s="11" t="n"/>
      <c r="K178" s="11" t="n"/>
      <c r="L178" s="12" t="n"/>
      <c r="M178" s="11" t="n"/>
      <c r="N178" s="12" t="n"/>
      <c r="O178" s="12" t="n"/>
    </row>
    <row r="179">
      <c r="A179" s="12" t="n"/>
      <c r="B179" s="16" t="n"/>
      <c r="C179" s="12" t="n"/>
      <c r="D179" s="12" t="n"/>
      <c r="E179" s="12" t="n"/>
      <c r="F179" s="12" t="n"/>
      <c r="G179" s="11" t="n"/>
      <c r="H179" s="11" t="n"/>
      <c r="I179" s="11" t="n"/>
      <c r="J179" s="11" t="n"/>
      <c r="K179" s="11" t="n"/>
      <c r="L179" s="12" t="n"/>
      <c r="M179" s="11" t="n"/>
      <c r="N179" s="12" t="n"/>
      <c r="O179" s="12" t="n"/>
    </row>
    <row r="180">
      <c r="A180" s="12" t="n"/>
      <c r="B180" s="16" t="n"/>
      <c r="C180" s="12" t="n"/>
      <c r="D180" s="12" t="n"/>
      <c r="E180" s="12" t="n"/>
      <c r="F180" s="12" t="n"/>
      <c r="G180" s="11" t="n"/>
      <c r="H180" s="11" t="n"/>
      <c r="I180" s="11" t="n"/>
      <c r="J180" s="11" t="n"/>
      <c r="K180" s="11" t="n"/>
      <c r="L180" s="12" t="n"/>
      <c r="M180" s="11" t="n"/>
      <c r="N180" s="12" t="n"/>
      <c r="O180" s="12" t="n"/>
    </row>
    <row r="181">
      <c r="A181" s="12" t="n"/>
      <c r="B181" s="16" t="n"/>
      <c r="C181" s="12" t="n"/>
      <c r="D181" s="12" t="n"/>
      <c r="E181" s="12" t="n"/>
      <c r="F181" s="12" t="n"/>
      <c r="G181" s="11" t="n"/>
      <c r="H181" s="11" t="n"/>
      <c r="I181" s="11" t="n"/>
      <c r="J181" s="11" t="n"/>
      <c r="K181" s="11" t="n"/>
      <c r="L181" s="12" t="n"/>
      <c r="M181" s="11" t="n"/>
      <c r="N181" s="12" t="n"/>
      <c r="O181" s="12" t="n"/>
    </row>
    <row r="182">
      <c r="A182" s="12" t="n"/>
      <c r="B182" s="16" t="n"/>
      <c r="C182" s="12" t="n"/>
      <c r="D182" s="12" t="n"/>
      <c r="E182" s="12" t="n"/>
      <c r="F182" s="12" t="n"/>
      <c r="G182" s="11" t="n"/>
      <c r="H182" s="11" t="n"/>
      <c r="I182" s="11" t="n"/>
      <c r="J182" s="11" t="n"/>
      <c r="K182" s="11" t="n"/>
      <c r="L182" s="12" t="n"/>
      <c r="M182" s="11" t="n"/>
      <c r="N182" s="12" t="n"/>
      <c r="O182" s="12" t="n"/>
    </row>
    <row r="183">
      <c r="A183" s="12" t="n"/>
      <c r="B183" s="16" t="n"/>
      <c r="C183" s="12" t="n"/>
      <c r="D183" s="12" t="n"/>
      <c r="E183" s="12" t="n"/>
      <c r="F183" s="12" t="n"/>
      <c r="G183" s="11" t="n"/>
      <c r="H183" s="11" t="n"/>
      <c r="I183" s="11" t="n"/>
      <c r="J183" s="11" t="n"/>
      <c r="K183" s="11" t="n"/>
      <c r="L183" s="12" t="n"/>
      <c r="M183" s="11" t="n"/>
      <c r="N183" s="12" t="n"/>
      <c r="O183" s="12" t="n"/>
    </row>
    <row r="184">
      <c r="A184" s="12" t="n"/>
      <c r="B184" s="16" t="n"/>
      <c r="C184" s="12" t="n"/>
      <c r="D184" s="12" t="n"/>
      <c r="E184" s="12" t="n"/>
      <c r="F184" s="12" t="n"/>
      <c r="G184" s="11" t="n"/>
      <c r="H184" s="11" t="n"/>
      <c r="I184" s="11" t="n"/>
      <c r="J184" s="11" t="n"/>
      <c r="K184" s="11" t="n"/>
      <c r="L184" s="12" t="n"/>
      <c r="M184" s="11" t="n"/>
      <c r="N184" s="12" t="n"/>
      <c r="O184" s="12" t="n"/>
    </row>
    <row r="185">
      <c r="A185" s="12" t="n"/>
      <c r="B185" s="16" t="n"/>
      <c r="C185" s="12" t="n"/>
      <c r="D185" s="12" t="n"/>
      <c r="E185" s="12" t="n"/>
      <c r="F185" s="12" t="n"/>
      <c r="G185" s="11" t="n"/>
      <c r="H185" s="11" t="n"/>
      <c r="I185" s="11" t="n"/>
      <c r="J185" s="11" t="n"/>
      <c r="K185" s="11" t="n"/>
      <c r="L185" s="12" t="n"/>
      <c r="M185" s="11" t="n"/>
      <c r="N185" s="12" t="n"/>
      <c r="O185" s="12" t="n"/>
    </row>
    <row r="186">
      <c r="A186" s="12" t="n"/>
      <c r="B186" s="16" t="n"/>
      <c r="C186" s="12" t="n"/>
      <c r="D186" s="12" t="n"/>
      <c r="E186" s="12" t="n"/>
      <c r="F186" s="12" t="n"/>
      <c r="G186" s="11" t="n"/>
      <c r="H186" s="11" t="n"/>
      <c r="I186" s="11" t="n"/>
      <c r="J186" s="11" t="n"/>
      <c r="K186" s="11" t="n"/>
      <c r="L186" s="12" t="n"/>
      <c r="M186" s="11" t="n"/>
      <c r="N186" s="12" t="n"/>
      <c r="O186" s="12" t="n"/>
    </row>
    <row r="187">
      <c r="A187" s="12" t="n"/>
      <c r="B187" s="16" t="n"/>
      <c r="C187" s="12" t="n"/>
      <c r="D187" s="12" t="n"/>
      <c r="E187" s="12" t="n"/>
      <c r="F187" s="12" t="n"/>
      <c r="G187" s="11" t="n"/>
      <c r="H187" s="11" t="n"/>
      <c r="I187" s="11" t="n"/>
      <c r="J187" s="11" t="n"/>
      <c r="K187" s="11" t="n"/>
      <c r="L187" s="12" t="n"/>
      <c r="M187" s="11" t="n"/>
      <c r="N187" s="12" t="n"/>
      <c r="O187" s="12" t="n"/>
    </row>
    <row r="188">
      <c r="A188" s="12" t="n"/>
      <c r="B188" s="16" t="n"/>
      <c r="C188" s="12" t="n"/>
      <c r="D188" s="12" t="n"/>
      <c r="E188" s="12" t="n"/>
      <c r="F188" s="12" t="n"/>
      <c r="G188" s="11" t="n"/>
      <c r="H188" s="11" t="n"/>
      <c r="I188" s="11" t="n"/>
      <c r="J188" s="11" t="n"/>
      <c r="K188" s="11" t="n"/>
      <c r="L188" s="12" t="n"/>
      <c r="M188" s="11" t="n"/>
      <c r="N188" s="12" t="n"/>
      <c r="O188" s="12" t="n"/>
    </row>
    <row r="189">
      <c r="A189" s="12" t="n"/>
      <c r="B189" s="16" t="n"/>
      <c r="C189" s="12" t="n"/>
      <c r="D189" s="12" t="n"/>
      <c r="E189" s="12" t="n"/>
      <c r="F189" s="12" t="n"/>
      <c r="G189" s="11" t="n"/>
      <c r="H189" s="11" t="n"/>
      <c r="I189" s="11" t="n"/>
      <c r="J189" s="11" t="n"/>
      <c r="K189" s="11" t="n"/>
      <c r="L189" s="12" t="n"/>
      <c r="M189" s="11" t="n"/>
      <c r="N189" s="12" t="n"/>
      <c r="O189" s="12" t="n"/>
    </row>
    <row r="190">
      <c r="A190" s="12" t="n"/>
      <c r="B190" s="16" t="n"/>
      <c r="C190" s="12" t="n"/>
      <c r="D190" s="12" t="n"/>
      <c r="E190" s="12" t="n"/>
      <c r="F190" s="12" t="n"/>
      <c r="G190" s="11" t="n"/>
      <c r="H190" s="11" t="n"/>
      <c r="I190" s="11" t="n"/>
      <c r="J190" s="11" t="n"/>
      <c r="K190" s="11" t="n"/>
      <c r="L190" s="12" t="n"/>
      <c r="M190" s="11" t="n"/>
      <c r="N190" s="12" t="n"/>
      <c r="O190" s="12" t="n"/>
    </row>
    <row r="191">
      <c r="A191" s="12" t="n"/>
      <c r="B191" s="16" t="n"/>
      <c r="C191" s="12" t="n"/>
      <c r="D191" s="12" t="n"/>
      <c r="E191" s="12" t="n"/>
      <c r="F191" s="12" t="n"/>
      <c r="G191" s="11" t="n"/>
      <c r="H191" s="11" t="n"/>
      <c r="I191" s="11" t="n"/>
      <c r="J191" s="11" t="n"/>
      <c r="K191" s="11" t="n"/>
      <c r="L191" s="12" t="n"/>
      <c r="M191" s="11" t="n"/>
      <c r="N191" s="12" t="n"/>
      <c r="O191" s="12" t="n"/>
    </row>
    <row r="192">
      <c r="A192" s="12" t="n"/>
      <c r="B192" s="16" t="n"/>
      <c r="C192" s="12" t="n"/>
      <c r="D192" s="12" t="n"/>
      <c r="E192" s="12" t="n"/>
      <c r="F192" s="12" t="n"/>
      <c r="G192" s="11" t="n"/>
      <c r="H192" s="11" t="n"/>
      <c r="I192" s="11" t="n"/>
      <c r="J192" s="11" t="n"/>
      <c r="K192" s="11" t="n"/>
      <c r="L192" s="12" t="n"/>
      <c r="M192" s="11" t="n"/>
      <c r="N192" s="12" t="n"/>
      <c r="O192" s="12" t="n"/>
    </row>
    <row r="193">
      <c r="A193" s="12" t="n"/>
      <c r="B193" s="16" t="n"/>
      <c r="C193" s="12" t="n"/>
      <c r="D193" s="12" t="n"/>
      <c r="E193" s="12" t="n"/>
      <c r="F193" s="12" t="n"/>
      <c r="G193" s="11" t="n"/>
      <c r="H193" s="11" t="n"/>
      <c r="I193" s="11" t="n"/>
      <c r="J193" s="11" t="n"/>
      <c r="K193" s="11" t="n"/>
      <c r="L193" s="12" t="n"/>
      <c r="M193" s="11" t="n"/>
      <c r="N193" s="12" t="n"/>
      <c r="O193" s="12" t="n"/>
    </row>
    <row r="194">
      <c r="A194" s="12" t="n"/>
      <c r="B194" s="16" t="n"/>
      <c r="C194" s="12" t="n"/>
      <c r="D194" s="12" t="n"/>
      <c r="E194" s="12" t="n"/>
      <c r="F194" s="12" t="n"/>
      <c r="G194" s="11" t="n"/>
      <c r="H194" s="11" t="n"/>
      <c r="I194" s="11" t="n"/>
      <c r="J194" s="11" t="n"/>
      <c r="K194" s="11" t="n"/>
      <c r="L194" s="12" t="n"/>
      <c r="M194" s="11" t="n"/>
      <c r="N194" s="12" t="n"/>
      <c r="O194" s="12" t="n"/>
    </row>
    <row r="195">
      <c r="A195" s="12" t="n"/>
      <c r="B195" s="16" t="n"/>
      <c r="C195" s="12" t="n"/>
      <c r="D195" s="12" t="n"/>
      <c r="E195" s="12" t="n"/>
      <c r="F195" s="12" t="n"/>
      <c r="G195" s="11" t="n"/>
      <c r="H195" s="11" t="n"/>
      <c r="I195" s="11" t="n"/>
      <c r="J195" s="11" t="n"/>
      <c r="K195" s="11" t="n"/>
      <c r="L195" s="12" t="n"/>
      <c r="M195" s="11" t="n"/>
      <c r="N195" s="12" t="n"/>
      <c r="O195" s="12" t="n"/>
    </row>
    <row r="196">
      <c r="A196" s="12" t="n"/>
      <c r="B196" s="16" t="n"/>
      <c r="C196" s="12" t="n"/>
      <c r="D196" s="12" t="n"/>
      <c r="E196" s="12" t="n"/>
      <c r="F196" s="12" t="n"/>
      <c r="G196" s="11" t="n"/>
      <c r="H196" s="11" t="n"/>
      <c r="I196" s="11" t="n"/>
      <c r="J196" s="11" t="n"/>
      <c r="K196" s="11" t="n"/>
      <c r="L196" s="12" t="n"/>
      <c r="M196" s="11" t="n"/>
      <c r="N196" s="12" t="n"/>
      <c r="O196" s="12" t="n"/>
    </row>
    <row r="197">
      <c r="A197" s="12" t="n"/>
      <c r="B197" s="16" t="n"/>
      <c r="C197" s="12" t="n"/>
      <c r="D197" s="12" t="n"/>
      <c r="E197" s="12" t="n"/>
      <c r="F197" s="12" t="n"/>
      <c r="G197" s="11" t="n"/>
      <c r="H197" s="11" t="n"/>
      <c r="I197" s="11" t="n"/>
      <c r="J197" s="11" t="n"/>
      <c r="K197" s="11" t="n"/>
      <c r="L197" s="12" t="n"/>
      <c r="M197" s="11" t="n"/>
      <c r="N197" s="12" t="n"/>
      <c r="O197" s="12" t="n"/>
    </row>
    <row r="198">
      <c r="A198" s="12" t="n"/>
      <c r="B198" s="16" t="n"/>
      <c r="C198" s="12" t="n"/>
      <c r="D198" s="12" t="n"/>
      <c r="E198" s="12" t="n"/>
      <c r="F198" s="12" t="n"/>
      <c r="G198" s="11" t="n"/>
      <c r="H198" s="11" t="n"/>
      <c r="I198" s="11" t="n"/>
      <c r="J198" s="11" t="n"/>
      <c r="K198" s="11" t="n"/>
      <c r="L198" s="12" t="n"/>
      <c r="M198" s="11" t="n"/>
      <c r="N198" s="12" t="n"/>
      <c r="O198" s="12" t="n"/>
    </row>
    <row r="199">
      <c r="A199" s="12" t="n"/>
      <c r="B199" s="16" t="n"/>
      <c r="C199" s="12" t="n"/>
      <c r="D199" s="12" t="n"/>
      <c r="E199" s="12" t="n"/>
      <c r="F199" s="12" t="n"/>
      <c r="G199" s="11" t="n"/>
      <c r="H199" s="11" t="n"/>
      <c r="I199" s="11" t="n"/>
      <c r="J199" s="11" t="n"/>
      <c r="K199" s="11" t="n"/>
      <c r="L199" s="12" t="n"/>
      <c r="M199" s="11" t="n"/>
      <c r="N199" s="12" t="n"/>
      <c r="O199" s="12" t="n"/>
    </row>
    <row r="200">
      <c r="A200" s="12" t="n"/>
      <c r="B200" s="16" t="n"/>
      <c r="C200" s="12" t="n"/>
      <c r="D200" s="12" t="n"/>
      <c r="E200" s="12" t="n"/>
      <c r="F200" s="12" t="n"/>
      <c r="G200" s="11" t="n"/>
      <c r="H200" s="11" t="n"/>
      <c r="I200" s="11" t="n"/>
      <c r="J200" s="11" t="n"/>
      <c r="K200" s="11" t="n"/>
      <c r="L200" s="12" t="n"/>
      <c r="M200" s="11" t="n"/>
      <c r="N200" s="12" t="n"/>
      <c r="O200" s="12" t="n"/>
    </row>
    <row r="201">
      <c r="A201" s="12" t="n"/>
      <c r="B201" s="16" t="n"/>
      <c r="C201" s="12" t="n"/>
      <c r="D201" s="12" t="n"/>
      <c r="E201" s="12" t="n"/>
      <c r="F201" s="12" t="n"/>
      <c r="G201" s="11" t="n"/>
      <c r="H201" s="11" t="n"/>
      <c r="I201" s="11" t="n"/>
      <c r="J201" s="11" t="n"/>
      <c r="K201" s="11" t="n"/>
      <c r="L201" s="12" t="n"/>
      <c r="M201" s="11" t="n"/>
      <c r="N201" s="12" t="n"/>
      <c r="O201" s="12" t="n"/>
    </row>
    <row r="202">
      <c r="A202" s="12" t="n"/>
      <c r="B202" s="16" t="n"/>
      <c r="C202" s="12" t="n"/>
      <c r="D202" s="12" t="n"/>
      <c r="E202" s="12" t="n"/>
      <c r="F202" s="12" t="n"/>
      <c r="G202" s="11" t="n"/>
      <c r="H202" s="11" t="n"/>
      <c r="I202" s="11" t="n"/>
      <c r="J202" s="11" t="n"/>
      <c r="K202" s="11" t="n"/>
      <c r="L202" s="12" t="n"/>
      <c r="M202" s="11" t="n"/>
      <c r="N202" s="12" t="n"/>
      <c r="O202" s="12" t="n"/>
    </row>
    <row r="203">
      <c r="A203" s="12" t="n"/>
      <c r="B203" s="16" t="n"/>
      <c r="C203" s="12" t="n"/>
      <c r="D203" s="12" t="n"/>
      <c r="E203" s="12" t="n"/>
      <c r="F203" s="12" t="n"/>
      <c r="G203" s="11" t="n"/>
      <c r="H203" s="11" t="n"/>
      <c r="I203" s="11" t="n"/>
      <c r="J203" s="11" t="n"/>
      <c r="K203" s="11" t="n"/>
      <c r="L203" s="12" t="n"/>
      <c r="M203" s="11" t="n"/>
      <c r="N203" s="12" t="n"/>
      <c r="O203" s="12" t="n"/>
    </row>
    <row r="204">
      <c r="A204" s="12" t="n"/>
      <c r="B204" s="16" t="n"/>
      <c r="C204" s="12" t="n"/>
      <c r="D204" s="12" t="n"/>
      <c r="E204" s="12" t="n"/>
      <c r="F204" s="12" t="n"/>
      <c r="G204" s="11" t="n"/>
      <c r="H204" s="11" t="n"/>
      <c r="I204" s="11" t="n"/>
      <c r="J204" s="11" t="n"/>
      <c r="K204" s="11" t="n"/>
      <c r="L204" s="12" t="n"/>
      <c r="M204" s="11" t="n"/>
      <c r="N204" s="12" t="n"/>
      <c r="O204" s="12" t="n"/>
    </row>
  </sheetData>
  <mergeCells count="2">
    <mergeCell ref="A1:O1"/>
    <mergeCell ref="A2:O2"/>
  </mergeCells>
  <dataValidations count="2">
    <dataValidation sqref="L5:L204" showDropDown="0" showInputMessage="0" showErrorMessage="0" allowBlank="1" type="list">
      <formula1>"Researching,Proposed,Entered,Passed,Closed,Archived"</formula1>
    </dataValidation>
    <dataValidation sqref="D5:D204" showDropDown="0" showInputMessage="0" showErrorMessage="0" allowBlank="1" type="list">
      <formula1>"Bullish,Neutral-Bullish,Neutral,Neutral-Bearish,Bearish,Volatility"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42" customWidth="1" min="6" max="6"/>
    <col width="28" customWidth="1" min="7" max="7"/>
  </cols>
  <sheetData>
    <row r="1" ht="28" customHeight="1">
      <c r="A1" s="1" t="inlineStr">
        <is>
          <t>Workbook Checks</t>
        </is>
      </c>
    </row>
    <row r="2" ht="34" customHeight="1">
      <c r="A2" s="2" t="inlineStr">
        <is>
          <t>Quick checks for missing inputs and possible formula issues.</t>
        </is>
      </c>
    </row>
    <row r="4">
      <c r="A4" s="9" t="inlineStr">
        <is>
          <t>Check</t>
        </is>
      </c>
      <c r="B4" s="9" t="inlineStr">
        <is>
          <t>Actual</t>
        </is>
      </c>
      <c r="C4" s="9" t="inlineStr">
        <is>
          <t>Expected</t>
        </is>
      </c>
      <c r="D4" s="9" t="inlineStr">
        <is>
          <t>Difference</t>
        </is>
      </c>
      <c r="E4" s="9" t="inlineStr">
        <is>
          <t>Status</t>
        </is>
      </c>
      <c r="F4" s="9" t="inlineStr">
        <is>
          <t>Notes</t>
        </is>
      </c>
      <c r="G4" s="9" t="inlineStr">
        <is>
          <t>Fix</t>
        </is>
      </c>
    </row>
    <row r="5">
      <c r="A5" s="12" t="inlineStr">
        <is>
          <t>Trade rows missing ticker</t>
        </is>
      </c>
      <c r="B5" s="12">
        <f>COUNTIFS('Trade Log'!$A$5:$A$1004,"&lt;&gt;",'Trade Log'!$G$5:$G$1004,"")</f>
        <v/>
      </c>
      <c r="C5" s="12" t="n">
        <v>0</v>
      </c>
      <c r="D5" s="12">
        <f>B5-C5</f>
        <v/>
      </c>
      <c r="E5" s="12">
        <f>IF(D5=0,"OK","Review")</f>
        <v/>
      </c>
      <c r="F5" s="12" t="inlineStr">
        <is>
          <t>Every trade should have a ticker.</t>
        </is>
      </c>
      <c r="G5" s="12" t="inlineStr">
        <is>
          <t>Fill Trade Log ticker.</t>
        </is>
      </c>
    </row>
    <row r="6">
      <c r="A6" s="12" t="inlineStr">
        <is>
          <t>Closed trades missing close date</t>
        </is>
      </c>
      <c r="B6" s="12">
        <f>COUNTIFS('Trade Log'!$C$5:$C$1004,"Closed",'Trade Log'!$E$5:$E$1004,"")</f>
        <v/>
      </c>
      <c r="C6" s="12" t="n">
        <v>0</v>
      </c>
      <c r="D6" s="12">
        <f>B6-C6</f>
        <v/>
      </c>
      <c r="E6" s="12">
        <f>IF(D6=0,"OK","Review")</f>
        <v/>
      </c>
      <c r="F6" s="12" t="inlineStr">
        <is>
          <t>Closed trades need a close date for monthly reporting.</t>
        </is>
      </c>
      <c r="G6" s="12" t="inlineStr">
        <is>
          <t>Add close date.</t>
        </is>
      </c>
    </row>
    <row r="7">
      <c r="A7" s="12" t="inlineStr">
        <is>
          <t>Open CSP collateral missing</t>
        </is>
      </c>
      <c r="B7" s="12">
        <f>COUNTIFS('Trade Log'!$B$5:$B$1004,"Cash Secured Put",'Trade Log'!$C$5:$C$1004,"Open",'Trade Log'!$T$5:$T$1004,0)</f>
        <v/>
      </c>
      <c r="C7" s="12" t="n">
        <v>0</v>
      </c>
      <c r="D7" s="12">
        <f>B7-C7</f>
        <v/>
      </c>
      <c r="E7" s="12">
        <f>IF(D7=0,"OK","Review")</f>
        <v/>
      </c>
      <c r="F7" s="12" t="inlineStr">
        <is>
          <t>Open CSP rows should calculate collateral.</t>
        </is>
      </c>
      <c r="G7" s="12" t="inlineStr">
        <is>
          <t>Check strike and qty.</t>
        </is>
      </c>
    </row>
    <row r="8">
      <c r="A8" s="12" t="inlineStr">
        <is>
          <t>Portfolio rows missing price</t>
        </is>
      </c>
      <c r="B8" s="12">
        <f>COUNTIFS(Portfolio!$A$5:$A$154,"&lt;&gt;",Portfolio!$C$5:$C$154,"")</f>
        <v/>
      </c>
      <c r="C8" s="12" t="n">
        <v>0</v>
      </c>
      <c r="D8" s="12">
        <f>B8-C8</f>
        <v/>
      </c>
      <c r="E8" s="12">
        <f>IF(D8=0,"OK","Review")</f>
        <v/>
      </c>
      <c r="F8" s="12" t="inlineStr">
        <is>
          <t>Current prices drive weights.</t>
        </is>
      </c>
      <c r="G8" s="12" t="inlineStr">
        <is>
          <t>Enter price or remove unused ticker.</t>
        </is>
      </c>
    </row>
    <row r="9">
      <c r="A9" s="12" t="inlineStr">
        <is>
          <t>Overall status</t>
        </is>
      </c>
      <c r="B9" s="12">
        <f>COUNTIF($E$5:$E$8,"Review")</f>
        <v/>
      </c>
      <c r="C9" s="12" t="n">
        <v>0</v>
      </c>
      <c r="D9" s="12">
        <f>B9-C9</f>
        <v/>
      </c>
      <c r="E9" s="12">
        <f>IF(B9=0,"OK","Review")</f>
        <v/>
      </c>
      <c r="F9" s="12" t="inlineStr">
        <is>
          <t>Rolls up checks above.</t>
        </is>
      </c>
      <c r="G9" s="12" t="inlineStr">
        <is>
          <t>Resolve Review rows.</t>
        </is>
      </c>
    </row>
  </sheetData>
  <mergeCells count="2">
    <mergeCell ref="A2:G2"/>
    <mergeCell ref="A1:G1"/>
  </mergeCells>
  <conditionalFormatting sqref="E5:E9">
    <cfRule type="expression" priority="1" dxfId="1">
      <formula>E5="OK"</formula>
    </cfRule>
    <cfRule type="expression" priority="2" dxfId="2">
      <formula>E5="Review"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sheetData>
    <row r="1">
      <c r="A1" s="23" t="inlineStr">
        <is>
          <t>Strategies</t>
        </is>
      </c>
      <c r="B1" s="23" t="inlineStr">
        <is>
          <t>Statuses</t>
        </is>
      </c>
      <c r="C1" s="23" t="inlineStr">
        <is>
          <t>Assets</t>
        </is>
      </c>
      <c r="D1" s="23" t="inlineStr">
        <is>
          <t>Actions</t>
        </is>
      </c>
      <c r="E1" s="23" t="inlineStr">
        <is>
          <t>Option Types</t>
        </is>
      </c>
      <c r="F1" s="23" t="inlineStr">
        <is>
          <t>Idea Statuses</t>
        </is>
      </c>
    </row>
    <row r="2">
      <c r="A2" t="inlineStr">
        <is>
          <t>Covered Call</t>
        </is>
      </c>
      <c r="B2" t="inlineStr">
        <is>
          <t>Open</t>
        </is>
      </c>
      <c r="C2" t="inlineStr">
        <is>
          <t>Stock</t>
        </is>
      </c>
      <c r="D2" t="inlineStr">
        <is>
          <t>Buy</t>
        </is>
      </c>
      <c r="E2" t="inlineStr">
        <is>
          <t>Call</t>
        </is>
      </c>
      <c r="F2" t="inlineStr">
        <is>
          <t>Researching</t>
        </is>
      </c>
    </row>
    <row r="3">
      <c r="A3" t="inlineStr">
        <is>
          <t>Cash Secured Put</t>
        </is>
      </c>
      <c r="B3" t="inlineStr">
        <is>
          <t>Closed</t>
        </is>
      </c>
      <c r="C3" t="inlineStr">
        <is>
          <t>Option</t>
        </is>
      </c>
      <c r="D3" t="inlineStr">
        <is>
          <t>Sell</t>
        </is>
      </c>
      <c r="E3" t="inlineStr">
        <is>
          <t>Put</t>
        </is>
      </c>
      <c r="F3" t="inlineStr">
        <is>
          <t>Proposed</t>
        </is>
      </c>
    </row>
    <row r="4">
      <c r="A4" t="inlineStr">
        <is>
          <t>Long Call/Put</t>
        </is>
      </c>
      <c r="B4" t="inlineStr">
        <is>
          <t>Expired</t>
        </is>
      </c>
      <c r="C4" t="inlineStr">
        <is>
          <t>Option Spread</t>
        </is>
      </c>
      <c r="D4" t="inlineStr">
        <is>
          <t>Expire</t>
        </is>
      </c>
      <c r="F4" t="inlineStr">
        <is>
          <t>Entered</t>
        </is>
      </c>
    </row>
    <row r="5">
      <c r="A5" t="inlineStr">
        <is>
          <t>Debit Spread</t>
        </is>
      </c>
      <c r="B5" t="inlineStr">
        <is>
          <t>Assigned</t>
        </is>
      </c>
      <c r="C5" t="inlineStr">
        <is>
          <t>Cash</t>
        </is>
      </c>
      <c r="D5" t="inlineStr">
        <is>
          <t>Assign</t>
        </is>
      </c>
      <c r="F5" t="inlineStr">
        <is>
          <t>Passed</t>
        </is>
      </c>
    </row>
    <row r="6">
      <c r="A6" t="inlineStr">
        <is>
          <t>Stock Sale</t>
        </is>
      </c>
      <c r="B6" t="inlineStr">
        <is>
          <t>Rolled</t>
        </is>
      </c>
      <c r="F6" t="inlineStr">
        <is>
          <t>Closed</t>
        </is>
      </c>
    </row>
    <row r="7">
      <c r="A7" t="inlineStr">
        <is>
          <t>Stock Buy</t>
        </is>
      </c>
      <c r="B7" t="inlineStr">
        <is>
          <t>Watch</t>
        </is>
      </c>
      <c r="F7" t="inlineStr">
        <is>
          <t>Archived</t>
        </is>
      </c>
    </row>
    <row r="8">
      <c r="A8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2026-06-12T04:18:30Z</dcterms:created>
  <dcterms:modified xmlns:dcterms="http://purl.org/dc/terms/" xmlns:xsi="http://www.w3.org/2001/XMLSchema-instance" xsi:type="dcterms:W3CDTF">2026-06-12T04:18:31Z</dcterms:modified>
</cp:coreProperties>
</file>